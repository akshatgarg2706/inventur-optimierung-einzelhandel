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A:\Inventur Optimization\"/>
    </mc:Choice>
  </mc:AlternateContent>
  <xr:revisionPtr revIDLastSave="0" documentId="13_ncr:1_{3566C102-059E-447F-84F6-836CCD260B9C}" xr6:coauthVersionLast="47" xr6:coauthVersionMax="47" xr10:uidLastSave="{00000000-0000-0000-0000-000000000000}"/>
  <bookViews>
    <workbookView xWindow="-110" yWindow="-110" windowWidth="25820" windowHeight="15500" activeTab="5" xr2:uid="{083E06AA-CCF4-451D-8997-78AA5568352D}"/>
  </bookViews>
  <sheets>
    <sheet name="Stammdaten" sheetId="8" r:id="rId1"/>
    <sheet name="Rohdaten" sheetId="1" r:id="rId2"/>
    <sheet name="ABC_Analyse" sheetId="2" r:id="rId3"/>
    <sheet name="Schwundanalyse" sheetId="3" r:id="rId4"/>
    <sheet name="Ursachenanalyse" sheetId="4" r:id="rId5"/>
    <sheet name="Prognose" sheetId="5" r:id="rId6"/>
    <sheet name="Dashboard" sheetId="6" r:id="rId7"/>
    <sheet name="Ergebnisse" sheetId="7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6" l="1"/>
  <c r="J5" i="6"/>
  <c r="G5" i="6"/>
  <c r="A7" i="6"/>
  <c r="AA9" i="1"/>
  <c r="AA14" i="1"/>
  <c r="AA18" i="1"/>
  <c r="AA20" i="1"/>
  <c r="AA24" i="1"/>
  <c r="AA68" i="1"/>
  <c r="AA75" i="1"/>
  <c r="AA78" i="1"/>
  <c r="AA86" i="1"/>
  <c r="AA90" i="1"/>
  <c r="AA121" i="1"/>
  <c r="AA132" i="1"/>
  <c r="AA138" i="1"/>
  <c r="AA139" i="1"/>
  <c r="AA142" i="1"/>
  <c r="AA163" i="1"/>
  <c r="AA166" i="1"/>
  <c r="AA197" i="1"/>
  <c r="AA211" i="1"/>
  <c r="AA245" i="1"/>
  <c r="AA248" i="1"/>
  <c r="AA251" i="1"/>
  <c r="AA257" i="1"/>
  <c r="AA258" i="1"/>
  <c r="AA259" i="1"/>
  <c r="AA261" i="1"/>
  <c r="AA262" i="1"/>
  <c r="AA281" i="1"/>
  <c r="AA282" i="1"/>
  <c r="AA285" i="1"/>
  <c r="AA292" i="1"/>
  <c r="AA302" i="1"/>
  <c r="AA314" i="1"/>
  <c r="AA318" i="1"/>
  <c r="AA366" i="1"/>
  <c r="AA380" i="1"/>
  <c r="AA389" i="1"/>
  <c r="AA427" i="1"/>
  <c r="AA442" i="1"/>
  <c r="AA444" i="1"/>
  <c r="AA463" i="1"/>
  <c r="AA480" i="1"/>
  <c r="AA488" i="1"/>
  <c r="AA496" i="1"/>
  <c r="AA508" i="1"/>
  <c r="AA514" i="1"/>
  <c r="AA518" i="1"/>
  <c r="AA532" i="1"/>
  <c r="AA533" i="1"/>
  <c r="AA545" i="1"/>
  <c r="AA553" i="1"/>
  <c r="AA565" i="1"/>
  <c r="AA567" i="1"/>
  <c r="AA570" i="1"/>
  <c r="AA572" i="1"/>
  <c r="AA575" i="1"/>
  <c r="AA577" i="1"/>
  <c r="AA606" i="1"/>
  <c r="AA615" i="1"/>
  <c r="AA636" i="1"/>
  <c r="AA639" i="1"/>
  <c r="AA640" i="1"/>
  <c r="AA645" i="1"/>
  <c r="AA656" i="1"/>
  <c r="AA658" i="1"/>
  <c r="AA659" i="1"/>
  <c r="AA670" i="1"/>
  <c r="AA676" i="1"/>
  <c r="AA692" i="1"/>
  <c r="AA696" i="1"/>
  <c r="AA702" i="1"/>
  <c r="AA707" i="1"/>
  <c r="AA725" i="1"/>
  <c r="AA729" i="1"/>
  <c r="AA730" i="1"/>
  <c r="AA744" i="1"/>
  <c r="AA753" i="1"/>
  <c r="AA759" i="1"/>
  <c r="AA760" i="1"/>
  <c r="AA763" i="1"/>
  <c r="AA788" i="1"/>
  <c r="AA795" i="1"/>
  <c r="AA812" i="1"/>
  <c r="AA818" i="1"/>
  <c r="AA826" i="1"/>
  <c r="AA852" i="1"/>
  <c r="AA854" i="1"/>
  <c r="AA872" i="1"/>
  <c r="AA881" i="1"/>
  <c r="AA883" i="1"/>
  <c r="AA886" i="1"/>
  <c r="AA887" i="1"/>
  <c r="AA898" i="1"/>
  <c r="AA903" i="1"/>
  <c r="D7" i="2"/>
  <c r="D15" i="2"/>
  <c r="D13" i="2"/>
  <c r="D14" i="2"/>
  <c r="D10" i="2"/>
  <c r="D8" i="2"/>
  <c r="D5" i="2"/>
  <c r="D18" i="2"/>
  <c r="D19" i="2"/>
  <c r="D11" i="2"/>
  <c r="D9" i="2"/>
  <c r="D12" i="2"/>
  <c r="D16" i="2"/>
  <c r="D17" i="2"/>
  <c r="D6" i="2"/>
  <c r="C7" i="2"/>
  <c r="C15" i="2"/>
  <c r="C13" i="2"/>
  <c r="C14" i="2"/>
  <c r="C10" i="2"/>
  <c r="C8" i="2"/>
  <c r="C5" i="2"/>
  <c r="C18" i="2"/>
  <c r="C19" i="2"/>
  <c r="C11" i="2"/>
  <c r="C9" i="2"/>
  <c r="C12" i="2"/>
  <c r="C16" i="2"/>
  <c r="C17" i="2"/>
  <c r="C6" i="2"/>
  <c r="B7" i="2"/>
  <c r="B15" i="2"/>
  <c r="B13" i="2"/>
  <c r="B14" i="2"/>
  <c r="B10" i="2"/>
  <c r="B8" i="2"/>
  <c r="B5" i="2"/>
  <c r="B18" i="2"/>
  <c r="B19" i="2"/>
  <c r="B11" i="2"/>
  <c r="B9" i="2"/>
  <c r="B12" i="2"/>
  <c r="B16" i="2"/>
  <c r="B17" i="2"/>
  <c r="B6" i="2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E14" i="1" s="1"/>
  <c r="C15" i="1" a="1"/>
  <c r="C15" i="1" s="1"/>
  <c r="C16" i="1" a="1"/>
  <c r="C16" i="1" s="1"/>
  <c r="D16" i="1" s="1"/>
  <c r="C17" i="1" a="1"/>
  <c r="C17" i="1" s="1"/>
  <c r="C18" i="1" a="1"/>
  <c r="C18" i="1" s="1"/>
  <c r="D18" i="1" s="1"/>
  <c r="C19" i="1" a="1"/>
  <c r="C19" i="1" s="1"/>
  <c r="D19" i="1" s="1"/>
  <c r="C20" i="1" a="1"/>
  <c r="C20" i="1" s="1"/>
  <c r="D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F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E42" i="1" s="1"/>
  <c r="C43" i="1" a="1"/>
  <c r="C43" i="1" s="1"/>
  <c r="C44" i="1" a="1"/>
  <c r="C44" i="1" s="1"/>
  <c r="D44" i="1" s="1"/>
  <c r="C45" i="1" a="1"/>
  <c r="C45" i="1" s="1"/>
  <c r="E45" i="1" s="1"/>
  <c r="C46" i="1" a="1"/>
  <c r="C46" i="1" s="1"/>
  <c r="C47" i="1" a="1"/>
  <c r="C47" i="1" s="1"/>
  <c r="C48" i="1" a="1"/>
  <c r="C48" i="1" s="1"/>
  <c r="F48" i="1" s="1"/>
  <c r="C49" i="1" a="1"/>
  <c r="C49" i="1" s="1"/>
  <c r="C50" i="1" a="1"/>
  <c r="C50" i="1" s="1"/>
  <c r="C51" i="1" a="1"/>
  <c r="C51" i="1" s="1"/>
  <c r="C52" i="1" a="1"/>
  <c r="C52" i="1" s="1"/>
  <c r="F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D60" i="1" s="1"/>
  <c r="C61" i="1" a="1"/>
  <c r="C61" i="1" s="1"/>
  <c r="C62" i="1" a="1"/>
  <c r="C62" i="1" s="1"/>
  <c r="C63" i="1" a="1"/>
  <c r="C63" i="1" s="1"/>
  <c r="D63" i="1" s="1"/>
  <c r="C64" i="1" a="1"/>
  <c r="C64" i="1" s="1"/>
  <c r="D64" i="1" s="1"/>
  <c r="C65" i="1" a="1"/>
  <c r="C65" i="1" s="1"/>
  <c r="C66" i="1" a="1"/>
  <c r="C66" i="1" s="1"/>
  <c r="D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D86" i="1" s="1"/>
  <c r="C87" i="1" a="1"/>
  <c r="C87" i="1" s="1"/>
  <c r="D87" i="1" s="1"/>
  <c r="C88" i="1" a="1"/>
  <c r="C88" i="1" s="1"/>
  <c r="D88" i="1" s="1"/>
  <c r="C89" i="1" a="1"/>
  <c r="C89" i="1" s="1"/>
  <c r="D89" i="1" s="1"/>
  <c r="C90" i="1" a="1"/>
  <c r="C90" i="1" s="1"/>
  <c r="D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D101" i="1" s="1"/>
  <c r="C102" i="1" a="1"/>
  <c r="C102" i="1" s="1"/>
  <c r="C103" i="1" a="1"/>
  <c r="C103" i="1" s="1"/>
  <c r="C104" i="1" a="1"/>
  <c r="C104" i="1" s="1"/>
  <c r="D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E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D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E143" i="1" s="1"/>
  <c r="C144" i="1" a="1"/>
  <c r="C144" i="1" s="1"/>
  <c r="C145" i="1" a="1"/>
  <c r="C145" i="1" s="1"/>
  <c r="C146" i="1" a="1"/>
  <c r="C146" i="1" s="1"/>
  <c r="D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D162" i="1" s="1"/>
  <c r="C163" i="1" a="1"/>
  <c r="C163" i="1" s="1"/>
  <c r="D163" i="1" s="1"/>
  <c r="C164" i="1" a="1"/>
  <c r="C164" i="1" s="1"/>
  <c r="C165" i="1" a="1"/>
  <c r="C165" i="1" s="1"/>
  <c r="C166" i="1" a="1"/>
  <c r="C166" i="1" s="1"/>
  <c r="C167" i="1" a="1"/>
  <c r="C167" i="1" s="1"/>
  <c r="D167" i="1" s="1"/>
  <c r="C168" i="1" a="1"/>
  <c r="C168" i="1" s="1"/>
  <c r="C169" i="1" a="1"/>
  <c r="C169" i="1" s="1"/>
  <c r="D169" i="1" s="1"/>
  <c r="C170" i="1" a="1"/>
  <c r="C170" i="1" s="1"/>
  <c r="C171" i="1" a="1"/>
  <c r="C171" i="1" s="1"/>
  <c r="C172" i="1" a="1"/>
  <c r="C172" i="1" s="1"/>
  <c r="E172" i="1" s="1"/>
  <c r="C173" i="1" a="1"/>
  <c r="C173" i="1" s="1"/>
  <c r="C174" i="1" a="1"/>
  <c r="C174" i="1" s="1"/>
  <c r="C175" i="1" a="1"/>
  <c r="C175" i="1" s="1"/>
  <c r="D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E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E187" i="1" s="1"/>
  <c r="C188" i="1" a="1"/>
  <c r="C188" i="1" s="1"/>
  <c r="C189" i="1" a="1"/>
  <c r="C189" i="1" s="1"/>
  <c r="D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/>
  <c r="C202" i="1" a="1"/>
  <c r="C202" i="1" s="1"/>
  <c r="C203" i="1" a="1"/>
  <c r="C203" i="1" s="1"/>
  <c r="E203" i="1" s="1"/>
  <c r="C204" i="1" a="1"/>
  <c r="C204" i="1" s="1"/>
  <c r="D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E209" i="1" s="1"/>
  <c r="C210" i="1" a="1"/>
  <c r="C210" i="1" s="1"/>
  <c r="C211" i="1" a="1"/>
  <c r="C211" i="1" s="1"/>
  <c r="C212" i="1" a="1"/>
  <c r="C212" i="1" s="1"/>
  <c r="C213" i="1" a="1"/>
  <c r="C213" i="1" s="1"/>
  <c r="E213" i="1" s="1"/>
  <c r="C214" i="1" a="1"/>
  <c r="C214" i="1" s="1"/>
  <c r="E214" i="1" s="1"/>
  <c r="C215" i="1" a="1"/>
  <c r="C215" i="1" s="1"/>
  <c r="C216" i="1" a="1"/>
  <c r="C216" i="1" s="1"/>
  <c r="C217" i="1" a="1"/>
  <c r="C217" i="1" s="1"/>
  <c r="D217" i="1" s="1"/>
  <c r="C218" i="1" a="1"/>
  <c r="C218" i="1" s="1"/>
  <c r="D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D226" i="1" s="1"/>
  <c r="C227" i="1" a="1"/>
  <c r="C227" i="1" s="1"/>
  <c r="F227" i="1" s="1"/>
  <c r="C228" i="1" a="1"/>
  <c r="C228" i="1" s="1"/>
  <c r="C229" i="1" a="1"/>
  <c r="C229" i="1" s="1"/>
  <c r="C230" i="1" a="1"/>
  <c r="C230" i="1" s="1"/>
  <c r="D230" i="1" s="1"/>
  <c r="C231" i="1" a="1"/>
  <c r="C231" i="1" s="1"/>
  <c r="D231" i="1" s="1"/>
  <c r="C232" i="1" a="1"/>
  <c r="C232" i="1" s="1"/>
  <c r="C233" i="1" a="1"/>
  <c r="C233" i="1" s="1"/>
  <c r="C234" i="1" a="1"/>
  <c r="C234" i="1" s="1"/>
  <c r="D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D253" i="1" s="1"/>
  <c r="C254" i="1" a="1"/>
  <c r="C254" i="1" s="1"/>
  <c r="D254" i="1" s="1"/>
  <c r="C255" i="1" a="1"/>
  <c r="C255" i="1" s="1"/>
  <c r="D255" i="1" s="1"/>
  <c r="C256" i="1" a="1"/>
  <c r="C256" i="1" s="1"/>
  <c r="C257" i="1" a="1"/>
  <c r="C257" i="1" s="1"/>
  <c r="E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D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E284" i="1" s="1"/>
  <c r="C285" i="1" a="1"/>
  <c r="C285" i="1" s="1"/>
  <c r="C286" i="1" a="1"/>
  <c r="C286" i="1" s="1"/>
  <c r="C287" i="1" a="1"/>
  <c r="C287" i="1" s="1"/>
  <c r="C288" i="1" a="1"/>
  <c r="C288" i="1" s="1"/>
  <c r="D288" i="1" s="1"/>
  <c r="C289" i="1" a="1"/>
  <c r="C289" i="1" s="1"/>
  <c r="D289" i="1" s="1"/>
  <c r="C290" i="1" a="1"/>
  <c r="C290" i="1" s="1"/>
  <c r="D290" i="1" s="1"/>
  <c r="C291" i="1" a="1"/>
  <c r="C291" i="1" s="1"/>
  <c r="C292" i="1" a="1"/>
  <c r="C292" i="1" s="1"/>
  <c r="F292" i="1" s="1"/>
  <c r="C293" i="1" a="1"/>
  <c r="C293" i="1" s="1"/>
  <c r="D293" i="1" s="1"/>
  <c r="C294" i="1" a="1"/>
  <c r="C294" i="1" s="1"/>
  <c r="C295" i="1" a="1"/>
  <c r="C295" i="1" s="1"/>
  <c r="C296" i="1" a="1"/>
  <c r="C296" i="1" s="1"/>
  <c r="D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D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D315" i="1" s="1"/>
  <c r="C316" i="1" a="1"/>
  <c r="C316" i="1" s="1"/>
  <c r="D316" i="1" s="1"/>
  <c r="C317" i="1" a="1"/>
  <c r="C317" i="1" s="1"/>
  <c r="D317" i="1" s="1"/>
  <c r="C318" i="1" a="1"/>
  <c r="C318" i="1" s="1"/>
  <c r="C319" i="1" a="1"/>
  <c r="C319" i="1" s="1"/>
  <c r="D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E338" i="1" s="1"/>
  <c r="C339" i="1" a="1"/>
  <c r="C339" i="1" s="1"/>
  <c r="D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E346" i="1" s="1"/>
  <c r="C347" i="1" a="1"/>
  <c r="C347" i="1" s="1"/>
  <c r="D347" i="1" s="1"/>
  <c r="C348" i="1" a="1"/>
  <c r="C348" i="1" s="1"/>
  <c r="C349" i="1" a="1"/>
  <c r="C349" i="1" s="1"/>
  <c r="C350" i="1" a="1"/>
  <c r="C350" i="1" s="1"/>
  <c r="C351" i="1" a="1"/>
  <c r="C351" i="1" s="1"/>
  <c r="E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D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D365" i="1" s="1"/>
  <c r="C366" i="1" a="1"/>
  <c r="C366" i="1" s="1"/>
  <c r="C367" i="1" a="1"/>
  <c r="C367" i="1" s="1"/>
  <c r="C368" i="1" a="1"/>
  <c r="C368" i="1" s="1"/>
  <c r="D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D374" i="1" s="1"/>
  <c r="C375" i="1" a="1"/>
  <c r="C375" i="1" s="1"/>
  <c r="D375" i="1" s="1"/>
  <c r="C376" i="1" a="1"/>
  <c r="C376" i="1" s="1"/>
  <c r="C377" i="1" a="1"/>
  <c r="C377" i="1" s="1"/>
  <c r="D377" i="1" s="1"/>
  <c r="C378" i="1" a="1"/>
  <c r="C378" i="1" s="1"/>
  <c r="D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E389" i="1" s="1"/>
  <c r="C390" i="1" a="1"/>
  <c r="C390" i="1" s="1"/>
  <c r="C391" i="1" a="1"/>
  <c r="C391" i="1" s="1"/>
  <c r="E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D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E405" i="1" s="1"/>
  <c r="C406" i="1" a="1"/>
  <c r="C406" i="1" s="1"/>
  <c r="D406" i="1" s="1"/>
  <c r="C407" i="1" a="1"/>
  <c r="C407" i="1" s="1"/>
  <c r="C408" i="1" a="1"/>
  <c r="C408" i="1" s="1"/>
  <c r="E408" i="1" s="1"/>
  <c r="C409" i="1" a="1"/>
  <c r="C409" i="1" s="1"/>
  <c r="C410" i="1" a="1"/>
  <c r="C410" i="1" s="1"/>
  <c r="E410" i="1" s="1"/>
  <c r="C411" i="1" a="1"/>
  <c r="C411" i="1" s="1"/>
  <c r="C412" i="1" a="1"/>
  <c r="C412" i="1" s="1"/>
  <c r="C413" i="1" a="1"/>
  <c r="C413" i="1" s="1"/>
  <c r="C414" i="1" a="1"/>
  <c r="C414" i="1" s="1"/>
  <c r="E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D423" i="1" s="1"/>
  <c r="C424" i="1" a="1"/>
  <c r="C424" i="1" s="1"/>
  <c r="C425" i="1" a="1"/>
  <c r="C425" i="1" s="1"/>
  <c r="C426" i="1" a="1"/>
  <c r="C426" i="1" s="1"/>
  <c r="D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D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D436" i="1" s="1"/>
  <c r="C437" i="1" a="1"/>
  <c r="C437" i="1" s="1"/>
  <c r="C438" i="1" a="1"/>
  <c r="C438" i="1" s="1"/>
  <c r="D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D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D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E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F462" i="1" s="1"/>
  <c r="C463" i="1" a="1"/>
  <c r="C463" i="1" s="1"/>
  <c r="D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D482" i="1" s="1"/>
  <c r="C483" i="1" a="1"/>
  <c r="C483" i="1" s="1"/>
  <c r="D483" i="1" s="1"/>
  <c r="C484" i="1" a="1"/>
  <c r="C484" i="1" s="1"/>
  <c r="C485" i="1" a="1"/>
  <c r="C485" i="1" s="1"/>
  <c r="C486" i="1" a="1"/>
  <c r="C486" i="1" s="1"/>
  <c r="D486" i="1" s="1"/>
  <c r="C487" i="1" a="1"/>
  <c r="C487" i="1" s="1"/>
  <c r="C488" i="1" a="1"/>
  <c r="C488" i="1" s="1"/>
  <c r="D488" i="1" s="1"/>
  <c r="C489" i="1" a="1"/>
  <c r="C489" i="1" s="1"/>
  <c r="D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D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E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F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E525" i="1" s="1"/>
  <c r="C526" i="1" a="1"/>
  <c r="C526" i="1" s="1"/>
  <c r="E526" i="1" s="1"/>
  <c r="C527" i="1" a="1"/>
  <c r="C527" i="1" s="1"/>
  <c r="C528" i="1" a="1"/>
  <c r="C528" i="1" s="1"/>
  <c r="E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E535" i="1" s="1"/>
  <c r="C536" i="1" a="1"/>
  <c r="C536" i="1" s="1"/>
  <c r="C537" i="1" a="1"/>
  <c r="C537" i="1" s="1"/>
  <c r="D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D543" i="1" s="1"/>
  <c r="C544" i="1" a="1"/>
  <c r="C544" i="1" s="1"/>
  <c r="D544" i="1" s="1"/>
  <c r="C545" i="1" a="1"/>
  <c r="C545" i="1" s="1"/>
  <c r="C546" i="1" a="1"/>
  <c r="C546" i="1" s="1"/>
  <c r="C547" i="1" a="1"/>
  <c r="C547" i="1" s="1"/>
  <c r="C548" i="1" a="1"/>
  <c r="C548" i="1" s="1"/>
  <c r="D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 s="1"/>
  <c r="D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D564" i="1" s="1"/>
  <c r="C565" i="1" a="1"/>
  <c r="C565" i="1" s="1"/>
  <c r="C566" i="1" a="1"/>
  <c r="C566" i="1" s="1"/>
  <c r="C567" i="1" a="1"/>
  <c r="C567" i="1" s="1"/>
  <c r="C568" i="1" a="1"/>
  <c r="C568" i="1" s="1"/>
  <c r="E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E582" i="1" s="1"/>
  <c r="C583" i="1" a="1"/>
  <c r="C583" i="1" s="1"/>
  <c r="E583" i="1" s="1"/>
  <c r="C584" i="1" a="1"/>
  <c r="C584" i="1" s="1"/>
  <c r="D584" i="1" s="1"/>
  <c r="C585" i="1" a="1"/>
  <c r="C585" i="1" s="1"/>
  <c r="D585" i="1" s="1"/>
  <c r="C586" i="1" a="1"/>
  <c r="C586" i="1" s="1"/>
  <c r="C587" i="1" a="1"/>
  <c r="C587" i="1" s="1"/>
  <c r="C588" i="1" a="1"/>
  <c r="C588" i="1" s="1"/>
  <c r="D588" i="1" s="1"/>
  <c r="C589" i="1" a="1"/>
  <c r="C589" i="1" s="1"/>
  <c r="C590" i="1" a="1"/>
  <c r="C590" i="1" s="1"/>
  <c r="D590" i="1" s="1"/>
  <c r="C591" i="1" a="1"/>
  <c r="C591" i="1" s="1"/>
  <c r="D591" i="1" s="1"/>
  <c r="C592" i="1" a="1"/>
  <c r="C592" i="1" s="1"/>
  <c r="C593" i="1" a="1"/>
  <c r="C593" i="1" s="1"/>
  <c r="C594" i="1" a="1"/>
  <c r="C594" i="1" s="1"/>
  <c r="C595" i="1" a="1"/>
  <c r="C595" i="1" s="1"/>
  <c r="D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F604" i="1" s="1"/>
  <c r="C605" i="1" a="1"/>
  <c r="C605" i="1" s="1"/>
  <c r="C606" i="1" a="1"/>
  <c r="C606" i="1" s="1"/>
  <c r="C607" i="1" a="1"/>
  <c r="C607" i="1" s="1"/>
  <c r="C608" i="1" a="1"/>
  <c r="C608" i="1" s="1"/>
  <c r="D608" i="1" s="1"/>
  <c r="C609" i="1" a="1"/>
  <c r="C609" i="1" s="1"/>
  <c r="C610" i="1" a="1"/>
  <c r="C610" i="1" s="1"/>
  <c r="F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D615" i="1" s="1"/>
  <c r="C616" i="1" a="1"/>
  <c r="C616" i="1" s="1"/>
  <c r="C617" i="1" a="1"/>
  <c r="C617" i="1" s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E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D628" i="1" s="1"/>
  <c r="C629" i="1" a="1"/>
  <c r="C629" i="1" s="1"/>
  <c r="E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D635" i="1" s="1"/>
  <c r="C636" i="1" a="1"/>
  <c r="C636" i="1" s="1"/>
  <c r="F636" i="1" s="1"/>
  <c r="C637" i="1" a="1"/>
  <c r="C637" i="1" s="1"/>
  <c r="C638" i="1" a="1"/>
  <c r="C638" i="1" s="1"/>
  <c r="E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D643" i="1" s="1"/>
  <c r="C644" i="1" a="1"/>
  <c r="C644" i="1" s="1"/>
  <c r="C645" i="1" a="1"/>
  <c r="C645" i="1" s="1"/>
  <c r="D645" i="1" s="1"/>
  <c r="C646" i="1" a="1"/>
  <c r="C646" i="1" s="1"/>
  <c r="C647" i="1" a="1"/>
  <c r="C647" i="1" s="1"/>
  <c r="C648" i="1" a="1"/>
  <c r="C648" i="1" s="1"/>
  <c r="C649" i="1" a="1"/>
  <c r="C649" i="1" s="1"/>
  <c r="D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E666" i="1" s="1"/>
  <c r="C667" i="1" a="1"/>
  <c r="C667" i="1" s="1"/>
  <c r="E667" i="1" s="1"/>
  <c r="C668" i="1" a="1"/>
  <c r="C668" i="1" s="1"/>
  <c r="C669" i="1" a="1"/>
  <c r="C669" i="1" s="1"/>
  <c r="E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D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E680" i="1" s="1"/>
  <c r="C681" i="1" a="1"/>
  <c r="C681" i="1" s="1"/>
  <c r="D681" i="1" s="1"/>
  <c r="C682" i="1" a="1"/>
  <c r="C682" i="1"/>
  <c r="C683" i="1" a="1"/>
  <c r="C683" i="1" s="1"/>
  <c r="C684" i="1" a="1"/>
  <c r="C684" i="1" s="1"/>
  <c r="E684" i="1" s="1"/>
  <c r="C685" i="1" a="1"/>
  <c r="C685" i="1" s="1"/>
  <c r="C686" i="1" a="1"/>
  <c r="C686" i="1" s="1"/>
  <c r="E686" i="1" s="1"/>
  <c r="C687" i="1" a="1"/>
  <c r="C687" i="1" s="1"/>
  <c r="D687" i="1" s="1"/>
  <c r="C688" i="1" a="1"/>
  <c r="C688" i="1" s="1"/>
  <c r="D688" i="1" s="1"/>
  <c r="C689" i="1" a="1"/>
  <c r="C689" i="1" s="1"/>
  <c r="C690" i="1" a="1"/>
  <c r="C690" i="1" s="1"/>
  <c r="C691" i="1" a="1"/>
  <c r="C691" i="1" s="1"/>
  <c r="D691" i="1" s="1"/>
  <c r="C692" i="1" a="1"/>
  <c r="C692" i="1" s="1"/>
  <c r="C693" i="1" a="1"/>
  <c r="C693" i="1" s="1"/>
  <c r="F693" i="1" s="1"/>
  <c r="C694" i="1" a="1"/>
  <c r="C694" i="1" s="1"/>
  <c r="C695" i="1" a="1"/>
  <c r="C695" i="1" s="1"/>
  <c r="F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E714" i="1" s="1"/>
  <c r="C715" i="1" a="1"/>
  <c r="C715" i="1" s="1"/>
  <c r="D715" i="1" s="1"/>
  <c r="C716" i="1" a="1"/>
  <c r="C716" i="1" s="1"/>
  <c r="E716" i="1" s="1"/>
  <c r="C717" i="1" a="1"/>
  <c r="C717" i="1" s="1"/>
  <c r="F717" i="1" s="1"/>
  <c r="C718" i="1" a="1"/>
  <c r="C718" i="1" s="1"/>
  <c r="F718" i="1" s="1"/>
  <c r="C719" i="1" a="1"/>
  <c r="C719" i="1" s="1"/>
  <c r="C720" i="1" a="1"/>
  <c r="C720" i="1" s="1"/>
  <c r="C721" i="1" a="1"/>
  <c r="C721" i="1" s="1"/>
  <c r="D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D726" i="1" s="1"/>
  <c r="C727" i="1" a="1"/>
  <c r="C727" i="1" s="1"/>
  <c r="D727" i="1" s="1"/>
  <c r="C728" i="1" a="1"/>
  <c r="C728" i="1" s="1"/>
  <c r="C729" i="1" a="1"/>
  <c r="C729" i="1" s="1"/>
  <c r="C730" i="1" a="1"/>
  <c r="C730" i="1" s="1"/>
  <c r="D730" i="1" s="1"/>
  <c r="C731" i="1" a="1"/>
  <c r="C731" i="1" s="1"/>
  <c r="D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E737" i="1" s="1"/>
  <c r="C738" i="1" a="1"/>
  <c r="C738" i="1" s="1"/>
  <c r="C739" i="1" a="1"/>
  <c r="C739" i="1" s="1"/>
  <c r="C740" i="1" a="1"/>
  <c r="C740" i="1" s="1"/>
  <c r="C741" i="1" a="1"/>
  <c r="C741" i="1" s="1"/>
  <c r="D741" i="1" s="1"/>
  <c r="C742" i="1" a="1"/>
  <c r="C742" i="1" s="1"/>
  <c r="C743" i="1" a="1"/>
  <c r="C743" i="1" s="1"/>
  <c r="C744" i="1" a="1"/>
  <c r="C744" i="1" s="1"/>
  <c r="D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D750" i="1" s="1"/>
  <c r="C751" i="1" a="1"/>
  <c r="C751" i="1" s="1"/>
  <c r="D751" i="1" s="1"/>
  <c r="C752" i="1" a="1"/>
  <c r="C752" i="1" s="1"/>
  <c r="C753" i="1" a="1"/>
  <c r="C753" i="1" s="1"/>
  <c r="D753" i="1" s="1"/>
  <c r="C754" i="1" a="1"/>
  <c r="C754" i="1" s="1"/>
  <c r="C755" i="1" a="1"/>
  <c r="C755" i="1" s="1"/>
  <c r="C756" i="1" a="1"/>
  <c r="C756" i="1" s="1"/>
  <c r="C757" i="1" a="1"/>
  <c r="C757" i="1" s="1"/>
  <c r="D757" i="1" s="1"/>
  <c r="C758" i="1" a="1"/>
  <c r="C758" i="1" s="1"/>
  <c r="C759" i="1" a="1"/>
  <c r="C759" i="1" s="1"/>
  <c r="C760" i="1" a="1"/>
  <c r="C760" i="1" s="1"/>
  <c r="C761" i="1" a="1"/>
  <c r="C761" i="1" s="1"/>
  <c r="D761" i="1" s="1"/>
  <c r="C762" i="1" a="1"/>
  <c r="C762" i="1" s="1"/>
  <c r="C763" i="1" a="1"/>
  <c r="C763" i="1" s="1"/>
  <c r="C764" i="1" a="1"/>
  <c r="C764" i="1" s="1"/>
  <c r="E764" i="1" s="1"/>
  <c r="C765" i="1" a="1"/>
  <c r="C765" i="1" s="1"/>
  <c r="C766" i="1" a="1"/>
  <c r="C766" i="1" s="1"/>
  <c r="E766" i="1" s="1"/>
  <c r="C767" i="1" a="1"/>
  <c r="C767" i="1" s="1"/>
  <c r="C768" i="1" a="1"/>
  <c r="C768" i="1" s="1"/>
  <c r="D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D775" i="1" s="1"/>
  <c r="C776" i="1" a="1"/>
  <c r="C776" i="1" s="1"/>
  <c r="D776" i="1" s="1"/>
  <c r="C777" i="1" a="1"/>
  <c r="C777" i="1" s="1"/>
  <c r="C778" i="1" a="1"/>
  <c r="C778" i="1" s="1"/>
  <c r="D778" i="1" s="1"/>
  <c r="C779" i="1" a="1"/>
  <c r="C779" i="1" s="1"/>
  <c r="C780" i="1" a="1"/>
  <c r="C780" i="1" s="1"/>
  <c r="C781" i="1" a="1"/>
  <c r="C781" i="1" s="1"/>
  <c r="E781" i="1" s="1"/>
  <c r="C782" i="1" a="1"/>
  <c r="C782" i="1" s="1"/>
  <c r="C783" i="1" a="1"/>
  <c r="C783" i="1" s="1"/>
  <c r="D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D793" i="1" s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D798" i="1" s="1"/>
  <c r="C799" i="1" a="1"/>
  <c r="C799" i="1" s="1"/>
  <c r="C800" i="1" a="1"/>
  <c r="C800" i="1" s="1"/>
  <c r="C801" i="1" a="1"/>
  <c r="C801" i="1" s="1"/>
  <c r="D801" i="1" s="1"/>
  <c r="C802" i="1" a="1"/>
  <c r="C802" i="1" s="1"/>
  <c r="C803" i="1" a="1"/>
  <c r="C803" i="1" s="1"/>
  <c r="D803" i="1" s="1"/>
  <c r="C804" i="1" a="1"/>
  <c r="C804" i="1" s="1"/>
  <c r="D804" i="1" s="1"/>
  <c r="C805" i="1" a="1"/>
  <c r="C805" i="1" s="1"/>
  <c r="C806" i="1" a="1"/>
  <c r="C806" i="1" s="1"/>
  <c r="E806" i="1" s="1"/>
  <c r="C807" i="1" a="1"/>
  <c r="C807" i="1" s="1"/>
  <c r="C808" i="1" a="1"/>
  <c r="C808" i="1" s="1"/>
  <c r="E808" i="1" s="1"/>
  <c r="C809" i="1" a="1"/>
  <c r="C809" i="1" s="1"/>
  <c r="F809" i="1" s="1"/>
  <c r="C810" i="1" a="1"/>
  <c r="C810" i="1" s="1"/>
  <c r="C811" i="1" a="1"/>
  <c r="C811" i="1" s="1"/>
  <c r="E811" i="1" s="1"/>
  <c r="C812" i="1" a="1"/>
  <c r="C812" i="1" s="1"/>
  <c r="C813" i="1" a="1"/>
  <c r="C813" i="1" s="1"/>
  <c r="C814" i="1" a="1"/>
  <c r="C814" i="1" s="1"/>
  <c r="C815" i="1" a="1"/>
  <c r="C815" i="1" s="1"/>
  <c r="C816" i="1" a="1"/>
  <c r="C816" i="1" s="1"/>
  <c r="E816" i="1" s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C828" i="1" a="1"/>
  <c r="C828" i="1" s="1"/>
  <c r="C829" i="1" a="1"/>
  <c r="C829" i="1" s="1"/>
  <c r="C830" i="1" a="1"/>
  <c r="C830" i="1" s="1"/>
  <c r="D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D837" i="1" s="1"/>
  <c r="C838" i="1" a="1"/>
  <c r="C838" i="1" s="1"/>
  <c r="C839" i="1" a="1"/>
  <c r="C839" i="1" s="1"/>
  <c r="D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D844" i="1" s="1"/>
  <c r="C845" i="1" a="1"/>
  <c r="C845" i="1" s="1"/>
  <c r="D845" i="1" s="1"/>
  <c r="C846" i="1" a="1"/>
  <c r="C846" i="1" s="1"/>
  <c r="D846" i="1" s="1"/>
  <c r="C847" i="1" a="1"/>
  <c r="C847" i="1" s="1"/>
  <c r="D847" i="1" s="1"/>
  <c r="C848" i="1" a="1"/>
  <c r="C848" i="1" s="1"/>
  <c r="E848" i="1" s="1"/>
  <c r="C849" i="1" a="1"/>
  <c r="C849" i="1" s="1"/>
  <c r="C850" i="1" a="1"/>
  <c r="C850" i="1" s="1"/>
  <c r="C851" i="1" a="1"/>
  <c r="C851" i="1" s="1"/>
  <c r="C852" i="1" a="1"/>
  <c r="C852" i="1" s="1"/>
  <c r="C853" i="1" a="1"/>
  <c r="C853" i="1" s="1"/>
  <c r="E853" i="1" s="1"/>
  <c r="C854" i="1" a="1"/>
  <c r="C854" i="1" s="1"/>
  <c r="C855" i="1" a="1"/>
  <c r="C855" i="1" s="1"/>
  <c r="C856" i="1" a="1"/>
  <c r="C856" i="1" s="1"/>
  <c r="E856" i="1" s="1"/>
  <c r="C857" i="1" a="1"/>
  <c r="C857" i="1" s="1"/>
  <c r="C858" i="1" a="1"/>
  <c r="C858" i="1" s="1"/>
  <c r="C859" i="1" a="1"/>
  <c r="C859" i="1" s="1"/>
  <c r="C860" i="1" a="1"/>
  <c r="C860" i="1" s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D865" i="1" s="1"/>
  <c r="C866" i="1" a="1"/>
  <c r="C866" i="1" s="1"/>
  <c r="D866" i="1" s="1"/>
  <c r="C867" i="1" a="1"/>
  <c r="C867" i="1" s="1"/>
  <c r="D867" i="1" s="1"/>
  <c r="C868" i="1" a="1"/>
  <c r="C868" i="1" s="1"/>
  <c r="D868" i="1" s="1"/>
  <c r="C869" i="1" a="1"/>
  <c r="C869" i="1" s="1"/>
  <c r="C870" i="1" a="1"/>
  <c r="C870" i="1" s="1"/>
  <c r="C871" i="1" a="1"/>
  <c r="C871" i="1" s="1"/>
  <c r="F871" i="1" s="1"/>
  <c r="C872" i="1" a="1"/>
  <c r="C872" i="1" s="1"/>
  <c r="C873" i="1" a="1"/>
  <c r="C873" i="1" s="1"/>
  <c r="C874" i="1" a="1"/>
  <c r="C874" i="1" s="1"/>
  <c r="D874" i="1" s="1"/>
  <c r="C875" i="1" a="1"/>
  <c r="C875" i="1" s="1"/>
  <c r="C876" i="1" a="1"/>
  <c r="C876" i="1" s="1"/>
  <c r="F876" i="1" s="1"/>
  <c r="C877" i="1" a="1"/>
  <c r="C877" i="1" s="1"/>
  <c r="D877" i="1" s="1"/>
  <c r="C878" i="1" a="1"/>
  <c r="C878" i="1" s="1"/>
  <c r="C879" i="1" a="1"/>
  <c r="C879" i="1" s="1"/>
  <c r="C880" i="1" a="1"/>
  <c r="C880" i="1" s="1"/>
  <c r="D880" i="1" s="1"/>
  <c r="C881" i="1" a="1"/>
  <c r="C881" i="1" s="1"/>
  <c r="C882" i="1" a="1"/>
  <c r="C882" i="1" s="1"/>
  <c r="C883" i="1" a="1"/>
  <c r="C883" i="1" s="1"/>
  <c r="D883" i="1" s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 s="1"/>
  <c r="C891" i="1" a="1"/>
  <c r="C891" i="1" s="1"/>
  <c r="D891" i="1" s="1"/>
  <c r="C892" i="1" a="1"/>
  <c r="C892" i="1" s="1"/>
  <c r="C893" i="1" a="1"/>
  <c r="C893" i="1" s="1"/>
  <c r="C894" i="1" a="1"/>
  <c r="C894" i="1" s="1"/>
  <c r="C895" i="1" a="1"/>
  <c r="C895" i="1" s="1"/>
  <c r="C896" i="1" a="1"/>
  <c r="C896" i="1" s="1"/>
  <c r="E896" i="1" s="1"/>
  <c r="C897" i="1" a="1"/>
  <c r="C897" i="1" s="1"/>
  <c r="C898" i="1" a="1"/>
  <c r="C898" i="1" s="1"/>
  <c r="D898" i="1" s="1"/>
  <c r="C899" i="1" a="1"/>
  <c r="C899" i="1" s="1"/>
  <c r="C900" i="1" a="1"/>
  <c r="C900" i="1" s="1"/>
  <c r="C901" i="1" a="1"/>
  <c r="C901" i="1" s="1"/>
  <c r="C902" i="1" a="1"/>
  <c r="C902" i="1" s="1"/>
  <c r="C903" i="1" a="1"/>
  <c r="C903" i="1" s="1"/>
  <c r="D903" i="1" s="1"/>
  <c r="C904" i="1" a="1"/>
  <c r="C904" i="1" s="1"/>
  <c r="C5" i="1" a="1"/>
  <c r="C5" i="1" s="1"/>
  <c r="D5" i="1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5" i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G102" i="1"/>
  <c r="G103" i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G122" i="1"/>
  <c r="G123" i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G142" i="1"/>
  <c r="G143" i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G162" i="1"/>
  <c r="G163" i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G182" i="1"/>
  <c r="G183" i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G202" i="1"/>
  <c r="G203" i="1"/>
  <c r="G204" i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G222" i="1"/>
  <c r="G223" i="1"/>
  <c r="G224" i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G242" i="1"/>
  <c r="G243" i="1"/>
  <c r="G244" i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G262" i="1"/>
  <c r="G263" i="1"/>
  <c r="G264" i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G282" i="1"/>
  <c r="G283" i="1"/>
  <c r="G284" i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G302" i="1"/>
  <c r="G303" i="1"/>
  <c r="G304" i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G322" i="1"/>
  <c r="G323" i="1"/>
  <c r="G324" i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G342" i="1"/>
  <c r="G343" i="1"/>
  <c r="G344" i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G362" i="1"/>
  <c r="G363" i="1"/>
  <c r="G364" i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G382" i="1"/>
  <c r="G383" i="1"/>
  <c r="G384" i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G402" i="1"/>
  <c r="G403" i="1"/>
  <c r="G404" i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G422" i="1"/>
  <c r="G423" i="1"/>
  <c r="G424" i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G442" i="1"/>
  <c r="G443" i="1"/>
  <c r="G444" i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G462" i="1"/>
  <c r="G463" i="1"/>
  <c r="G464" i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G482" i="1"/>
  <c r="G483" i="1"/>
  <c r="G484" i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G502" i="1"/>
  <c r="G503" i="1"/>
  <c r="G504" i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G522" i="1"/>
  <c r="G523" i="1"/>
  <c r="G524" i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G542" i="1"/>
  <c r="G543" i="1"/>
  <c r="G544" i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G562" i="1"/>
  <c r="G563" i="1"/>
  <c r="G564" i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G582" i="1"/>
  <c r="G583" i="1"/>
  <c r="G584" i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G602" i="1"/>
  <c r="G603" i="1"/>
  <c r="G604" i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G622" i="1"/>
  <c r="G623" i="1"/>
  <c r="G624" i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G642" i="1"/>
  <c r="G643" i="1"/>
  <c r="G644" i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G662" i="1"/>
  <c r="G663" i="1"/>
  <c r="G664" i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G682" i="1"/>
  <c r="G683" i="1"/>
  <c r="G684" i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G702" i="1"/>
  <c r="G703" i="1"/>
  <c r="G704" i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G722" i="1"/>
  <c r="G723" i="1"/>
  <c r="G724" i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G742" i="1"/>
  <c r="G743" i="1"/>
  <c r="G744" i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G762" i="1"/>
  <c r="G763" i="1"/>
  <c r="G764" i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G782" i="1"/>
  <c r="G783" i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G802" i="1"/>
  <c r="G803" i="1"/>
  <c r="G804" i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G822" i="1"/>
  <c r="G823" i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G842" i="1"/>
  <c r="G843" i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G862" i="1"/>
  <c r="G863" i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G882" i="1"/>
  <c r="G883" i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G902" i="1"/>
  <c r="G903" i="1"/>
  <c r="G904" i="1"/>
  <c r="H904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G23" i="1"/>
  <c r="G24" i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G43" i="1"/>
  <c r="G44" i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G63" i="1"/>
  <c r="G64" i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G83" i="1"/>
  <c r="G84" i="1"/>
  <c r="G85" i="1"/>
  <c r="H85" i="1" s="1"/>
  <c r="G86" i="1"/>
  <c r="H86" i="1" s="1"/>
  <c r="G5" i="1"/>
  <c r="H5" i="1" s="1"/>
  <c r="S853" i="1" l="1"/>
  <c r="S611" i="1"/>
  <c r="S405" i="1"/>
  <c r="S232" i="1"/>
  <c r="S851" i="1"/>
  <c r="S593" i="1"/>
  <c r="S385" i="1"/>
  <c r="S231" i="1"/>
  <c r="S831" i="1"/>
  <c r="S591" i="1"/>
  <c r="S370" i="1"/>
  <c r="S192" i="1"/>
  <c r="S811" i="1"/>
  <c r="S573" i="1"/>
  <c r="S365" i="1"/>
  <c r="S191" i="1"/>
  <c r="S772" i="1"/>
  <c r="S571" i="1"/>
  <c r="S353" i="1"/>
  <c r="S173" i="1"/>
  <c r="S770" i="1"/>
  <c r="S550" i="1"/>
  <c r="S352" i="1"/>
  <c r="S171" i="1"/>
  <c r="S769" i="1"/>
  <c r="S549" i="1"/>
  <c r="S333" i="1"/>
  <c r="S166" i="1"/>
  <c r="S765" i="1"/>
  <c r="S532" i="1"/>
  <c r="S332" i="1"/>
  <c r="S131" i="1"/>
  <c r="S751" i="1"/>
  <c r="S513" i="1"/>
  <c r="S330" i="1"/>
  <c r="S126" i="1"/>
  <c r="S729" i="1"/>
  <c r="S512" i="1"/>
  <c r="S329" i="1"/>
  <c r="S93" i="1"/>
  <c r="S712" i="1"/>
  <c r="S511" i="1"/>
  <c r="S325" i="1"/>
  <c r="S91" i="1"/>
  <c r="S693" i="1"/>
  <c r="S505" i="1"/>
  <c r="S313" i="1"/>
  <c r="S86" i="1"/>
  <c r="S33" i="1"/>
  <c r="S692" i="1"/>
  <c r="S472" i="1"/>
  <c r="S291" i="1"/>
  <c r="S73" i="1"/>
  <c r="S32" i="1"/>
  <c r="S691" i="1"/>
  <c r="S471" i="1"/>
  <c r="S287" i="1"/>
  <c r="S71" i="1"/>
  <c r="S7" i="1"/>
  <c r="S687" i="1"/>
  <c r="S452" i="1"/>
  <c r="S286" i="1"/>
  <c r="S70" i="1"/>
  <c r="S6" i="1"/>
  <c r="S686" i="1"/>
  <c r="S433" i="1"/>
  <c r="S285" i="1"/>
  <c r="S891" i="1"/>
  <c r="S651" i="1"/>
  <c r="S432" i="1"/>
  <c r="S272" i="1"/>
  <c r="S872" i="1"/>
  <c r="S646" i="1"/>
  <c r="S431" i="1"/>
  <c r="S271" i="1"/>
  <c r="S866" i="1"/>
  <c r="S625" i="1"/>
  <c r="S413" i="1"/>
  <c r="S252" i="1"/>
  <c r="S865" i="1"/>
  <c r="S612" i="1"/>
  <c r="S412" i="1"/>
  <c r="S251" i="1"/>
  <c r="K363" i="1"/>
  <c r="AA363" i="1" s="1"/>
  <c r="K362" i="1"/>
  <c r="AA362" i="1" s="1"/>
  <c r="K262" i="1"/>
  <c r="K833" i="1"/>
  <c r="K373" i="1"/>
  <c r="K113" i="1"/>
  <c r="K778" i="1"/>
  <c r="AA778" i="1" s="1"/>
  <c r="K158" i="1"/>
  <c r="K684" i="1"/>
  <c r="K663" i="1"/>
  <c r="K882" i="1"/>
  <c r="K579" i="1"/>
  <c r="AA579" i="1" s="1"/>
  <c r="K98" i="1"/>
  <c r="K157" i="1"/>
  <c r="K664" i="1"/>
  <c r="K604" i="1"/>
  <c r="K883" i="1"/>
  <c r="K463" i="1"/>
  <c r="K722" i="1"/>
  <c r="K97" i="1"/>
  <c r="K531" i="1"/>
  <c r="K887" i="1"/>
  <c r="K827" i="1"/>
  <c r="K767" i="1"/>
  <c r="AA767" i="1" s="1"/>
  <c r="K747" i="1"/>
  <c r="K707" i="1"/>
  <c r="K687" i="1"/>
  <c r="K647" i="1"/>
  <c r="AA647" i="1" s="1"/>
  <c r="K627" i="1"/>
  <c r="K527" i="1"/>
  <c r="K487" i="1"/>
  <c r="AA487" i="1" s="1"/>
  <c r="K447" i="1"/>
  <c r="AA447" i="1" s="1"/>
  <c r="K407" i="1"/>
  <c r="K387" i="1"/>
  <c r="K347" i="1"/>
  <c r="K327" i="1"/>
  <c r="K247" i="1"/>
  <c r="K842" i="1"/>
  <c r="K159" i="1"/>
  <c r="K233" i="1"/>
  <c r="K361" i="1"/>
  <c r="K221" i="1"/>
  <c r="K152" i="1"/>
  <c r="K685" i="1"/>
  <c r="K665" i="1"/>
  <c r="K265" i="1"/>
  <c r="K364" i="1"/>
  <c r="K184" i="1"/>
  <c r="K222" i="1"/>
  <c r="K804" i="1"/>
  <c r="K764" i="1"/>
  <c r="K744" i="1"/>
  <c r="K704" i="1"/>
  <c r="K564" i="1"/>
  <c r="K424" i="1"/>
  <c r="K144" i="1"/>
  <c r="K64" i="1"/>
  <c r="AA64" i="1" s="1"/>
  <c r="K563" i="1"/>
  <c r="AA563" i="1" s="1"/>
  <c r="K223" i="1"/>
  <c r="K183" i="1"/>
  <c r="K841" i="1"/>
  <c r="K741" i="1"/>
  <c r="AA741" i="1" s="1"/>
  <c r="K721" i="1"/>
  <c r="K621" i="1"/>
  <c r="K541" i="1"/>
  <c r="K461" i="1"/>
  <c r="K441" i="1"/>
  <c r="K261" i="1"/>
  <c r="K122" i="1"/>
  <c r="AA122" i="1" s="1"/>
  <c r="K82" i="1"/>
  <c r="K846" i="1"/>
  <c r="K706" i="1"/>
  <c r="K805" i="1"/>
  <c r="K705" i="1"/>
  <c r="K605" i="1"/>
  <c r="K576" i="1"/>
  <c r="K476" i="1"/>
  <c r="K607" i="1"/>
  <c r="K147" i="1"/>
  <c r="K806" i="1"/>
  <c r="K606" i="1"/>
  <c r="K565" i="1"/>
  <c r="K566" i="1"/>
  <c r="K765" i="1"/>
  <c r="K151" i="1"/>
  <c r="K830" i="1"/>
  <c r="K810" i="1"/>
  <c r="K770" i="1"/>
  <c r="K630" i="1"/>
  <c r="K610" i="1"/>
  <c r="K570" i="1"/>
  <c r="K550" i="1"/>
  <c r="K510" i="1"/>
  <c r="K470" i="1"/>
  <c r="K450" i="1"/>
  <c r="AA450" i="1" s="1"/>
  <c r="K370" i="1"/>
  <c r="AA370" i="1" s="1"/>
  <c r="K330" i="1"/>
  <c r="AA330" i="1" s="1"/>
  <c r="K270" i="1"/>
  <c r="K230" i="1"/>
  <c r="AA230" i="1" s="1"/>
  <c r="K106" i="1"/>
  <c r="K105" i="1"/>
  <c r="K553" i="1"/>
  <c r="K413" i="1"/>
  <c r="K393" i="1"/>
  <c r="K866" i="1"/>
  <c r="K726" i="1"/>
  <c r="K646" i="1"/>
  <c r="K466" i="1"/>
  <c r="K386" i="1"/>
  <c r="K286" i="1"/>
  <c r="K66" i="1"/>
  <c r="K885" i="1"/>
  <c r="K865" i="1"/>
  <c r="K845" i="1"/>
  <c r="K825" i="1"/>
  <c r="K785" i="1"/>
  <c r="K745" i="1"/>
  <c r="K725" i="1"/>
  <c r="K645" i="1"/>
  <c r="K625" i="1"/>
  <c r="K585" i="1"/>
  <c r="K545" i="1"/>
  <c r="K525" i="1"/>
  <c r="AA525" i="1" s="1"/>
  <c r="K505" i="1"/>
  <c r="K485" i="1"/>
  <c r="K465" i="1"/>
  <c r="K445" i="1"/>
  <c r="K425" i="1"/>
  <c r="K405" i="1"/>
  <c r="K385" i="1"/>
  <c r="K365" i="1"/>
  <c r="K345" i="1"/>
  <c r="AA345" i="1" s="1"/>
  <c r="K325" i="1"/>
  <c r="K305" i="1"/>
  <c r="K285" i="1"/>
  <c r="K245" i="1"/>
  <c r="K225" i="1"/>
  <c r="K205" i="1"/>
  <c r="K185" i="1"/>
  <c r="K165" i="1"/>
  <c r="K145" i="1"/>
  <c r="K125" i="1"/>
  <c r="K85" i="1"/>
  <c r="AA85" i="1" s="1"/>
  <c r="K65" i="1"/>
  <c r="K45" i="1"/>
  <c r="K25" i="1"/>
  <c r="K5" i="1"/>
  <c r="K464" i="1"/>
  <c r="AA464" i="1" s="1"/>
  <c r="K404" i="1"/>
  <c r="K304" i="1"/>
  <c r="K766" i="1"/>
  <c r="K626" i="1"/>
  <c r="K506" i="1"/>
  <c r="K406" i="1"/>
  <c r="K306" i="1"/>
  <c r="K206" i="1"/>
  <c r="K186" i="1"/>
  <c r="K166" i="1"/>
  <c r="K146" i="1"/>
  <c r="AA146" i="1" s="1"/>
  <c r="K126" i="1"/>
  <c r="K86" i="1"/>
  <c r="K886" i="1"/>
  <c r="K786" i="1"/>
  <c r="K586" i="1"/>
  <c r="AA586" i="1" s="1"/>
  <c r="K526" i="1"/>
  <c r="K446" i="1"/>
  <c r="K346" i="1"/>
  <c r="K266" i="1"/>
  <c r="K6" i="1"/>
  <c r="K742" i="1"/>
  <c r="K746" i="1"/>
  <c r="AA746" i="1" s="1"/>
  <c r="K666" i="1"/>
  <c r="K546" i="1"/>
  <c r="K426" i="1"/>
  <c r="K326" i="1"/>
  <c r="AA326" i="1" s="1"/>
  <c r="K226" i="1"/>
  <c r="K26" i="1"/>
  <c r="K462" i="1"/>
  <c r="AA462" i="1" s="1"/>
  <c r="K81" i="1"/>
  <c r="K479" i="1"/>
  <c r="K427" i="1"/>
  <c r="K826" i="1"/>
  <c r="K486" i="1"/>
  <c r="AA486" i="1" s="1"/>
  <c r="K366" i="1"/>
  <c r="K246" i="1"/>
  <c r="K46" i="1"/>
  <c r="K893" i="1"/>
  <c r="K873" i="1"/>
  <c r="K853" i="1"/>
  <c r="K813" i="1"/>
  <c r="K793" i="1"/>
  <c r="K773" i="1"/>
  <c r="AA773" i="1" s="1"/>
  <c r="K753" i="1"/>
  <c r="K733" i="1"/>
  <c r="AA733" i="1" s="1"/>
  <c r="K713" i="1"/>
  <c r="K693" i="1"/>
  <c r="AA693" i="1" s="1"/>
  <c r="K673" i="1"/>
  <c r="K653" i="1"/>
  <c r="K633" i="1"/>
  <c r="AA633" i="1" s="1"/>
  <c r="K613" i="1"/>
  <c r="K593" i="1"/>
  <c r="K573" i="1"/>
  <c r="K533" i="1"/>
  <c r="K513" i="1"/>
  <c r="K493" i="1"/>
  <c r="K473" i="1"/>
  <c r="K453" i="1"/>
  <c r="K433" i="1"/>
  <c r="AA433" i="1" s="1"/>
  <c r="K353" i="1"/>
  <c r="K333" i="1"/>
  <c r="K313" i="1"/>
  <c r="AA313" i="1" s="1"/>
  <c r="K293" i="1"/>
  <c r="K273" i="1"/>
  <c r="K213" i="1"/>
  <c r="K193" i="1"/>
  <c r="K173" i="1"/>
  <c r="AA173" i="1" s="1"/>
  <c r="K153" i="1"/>
  <c r="K133" i="1"/>
  <c r="AA133" i="1" s="1"/>
  <c r="K93" i="1"/>
  <c r="K73" i="1"/>
  <c r="AA73" i="1" s="1"/>
  <c r="K33" i="1"/>
  <c r="AA33" i="1" s="1"/>
  <c r="K13" i="1"/>
  <c r="K872" i="1"/>
  <c r="K852" i="1"/>
  <c r="K832" i="1"/>
  <c r="K772" i="1"/>
  <c r="AA772" i="1" s="1"/>
  <c r="K712" i="1"/>
  <c r="K672" i="1"/>
  <c r="K572" i="1"/>
  <c r="K472" i="1"/>
  <c r="AA472" i="1" s="1"/>
  <c r="K432" i="1"/>
  <c r="K392" i="1"/>
  <c r="K372" i="1"/>
  <c r="K332" i="1"/>
  <c r="K272" i="1"/>
  <c r="K232" i="1"/>
  <c r="K212" i="1"/>
  <c r="K92" i="1"/>
  <c r="AA92" i="1" s="1"/>
  <c r="K871" i="1"/>
  <c r="AA871" i="1" s="1"/>
  <c r="K851" i="1"/>
  <c r="K771" i="1"/>
  <c r="K711" i="1"/>
  <c r="K631" i="1"/>
  <c r="K571" i="1"/>
  <c r="AA571" i="1" s="1"/>
  <c r="K471" i="1"/>
  <c r="K431" i="1"/>
  <c r="K331" i="1"/>
  <c r="AA331" i="1" s="1"/>
  <c r="K271" i="1"/>
  <c r="AA271" i="1" s="1"/>
  <c r="K231" i="1"/>
  <c r="K211" i="1"/>
  <c r="K191" i="1"/>
  <c r="K171" i="1"/>
  <c r="K131" i="1"/>
  <c r="K787" i="1"/>
  <c r="K587" i="1"/>
  <c r="K507" i="1"/>
  <c r="K836" i="1"/>
  <c r="K716" i="1"/>
  <c r="K656" i="1"/>
  <c r="K596" i="1"/>
  <c r="K436" i="1"/>
  <c r="K396" i="1"/>
  <c r="AA396" i="1" s="1"/>
  <c r="K336" i="1"/>
  <c r="K276" i="1"/>
  <c r="K216" i="1"/>
  <c r="AA216" i="1" s="1"/>
  <c r="K136" i="1"/>
  <c r="K76" i="1"/>
  <c r="AA76" i="1" s="1"/>
  <c r="K855" i="1"/>
  <c r="K795" i="1"/>
  <c r="K856" i="1"/>
  <c r="K796" i="1"/>
  <c r="K736" i="1"/>
  <c r="K676" i="1"/>
  <c r="K616" i="1"/>
  <c r="K536" i="1"/>
  <c r="AA536" i="1" s="1"/>
  <c r="K416" i="1"/>
  <c r="K356" i="1"/>
  <c r="K296" i="1"/>
  <c r="K256" i="1"/>
  <c r="K116" i="1"/>
  <c r="AA116" i="1" s="1"/>
  <c r="K56" i="1"/>
  <c r="K875" i="1"/>
  <c r="K755" i="1"/>
  <c r="K703" i="1"/>
  <c r="K403" i="1"/>
  <c r="K303" i="1"/>
  <c r="K83" i="1"/>
  <c r="K902" i="1"/>
  <c r="AA902" i="1" s="1"/>
  <c r="K862" i="1"/>
  <c r="K802" i="1"/>
  <c r="AA802" i="1" s="1"/>
  <c r="K642" i="1"/>
  <c r="K582" i="1"/>
  <c r="K542" i="1"/>
  <c r="K442" i="1"/>
  <c r="K282" i="1"/>
  <c r="K202" i="1"/>
  <c r="K901" i="1"/>
  <c r="K881" i="1"/>
  <c r="K801" i="1"/>
  <c r="K681" i="1"/>
  <c r="K876" i="1"/>
  <c r="K816" i="1"/>
  <c r="AA816" i="1" s="1"/>
  <c r="K756" i="1"/>
  <c r="K696" i="1"/>
  <c r="K636" i="1"/>
  <c r="K456" i="1"/>
  <c r="K376" i="1"/>
  <c r="K316" i="1"/>
  <c r="K156" i="1"/>
  <c r="K36" i="1"/>
  <c r="AA36" i="1" s="1"/>
  <c r="K835" i="1"/>
  <c r="K904" i="1"/>
  <c r="AA904" i="1" s="1"/>
  <c r="K884" i="1"/>
  <c r="K864" i="1"/>
  <c r="K844" i="1"/>
  <c r="K824" i="1"/>
  <c r="K784" i="1"/>
  <c r="K724" i="1"/>
  <c r="K644" i="1"/>
  <c r="K624" i="1"/>
  <c r="AA624" i="1" s="1"/>
  <c r="K584" i="1"/>
  <c r="K544" i="1"/>
  <c r="K524" i="1"/>
  <c r="K504" i="1"/>
  <c r="K484" i="1"/>
  <c r="K444" i="1"/>
  <c r="K384" i="1"/>
  <c r="K344" i="1"/>
  <c r="K324" i="1"/>
  <c r="AA324" i="1" s="1"/>
  <c r="K284" i="1"/>
  <c r="K264" i="1"/>
  <c r="K244" i="1"/>
  <c r="AA244" i="1" s="1"/>
  <c r="K224" i="1"/>
  <c r="K204" i="1"/>
  <c r="K164" i="1"/>
  <c r="AA164" i="1" s="1"/>
  <c r="K124" i="1"/>
  <c r="K104" i="1"/>
  <c r="AA104" i="1" s="1"/>
  <c r="K84" i="1"/>
  <c r="K44" i="1"/>
  <c r="K24" i="1"/>
  <c r="K790" i="1"/>
  <c r="K650" i="1"/>
  <c r="K903" i="1"/>
  <c r="K863" i="1"/>
  <c r="K823" i="1"/>
  <c r="K803" i="1"/>
  <c r="K783" i="1"/>
  <c r="K763" i="1"/>
  <c r="K743" i="1"/>
  <c r="K723" i="1"/>
  <c r="K683" i="1"/>
  <c r="K643" i="1"/>
  <c r="K623" i="1"/>
  <c r="AA623" i="1" s="1"/>
  <c r="K603" i="1"/>
  <c r="K583" i="1"/>
  <c r="K543" i="1"/>
  <c r="K523" i="1"/>
  <c r="K503" i="1"/>
  <c r="AA503" i="1" s="1"/>
  <c r="K483" i="1"/>
  <c r="K443" i="1"/>
  <c r="K423" i="1"/>
  <c r="K383" i="1"/>
  <c r="AA383" i="1" s="1"/>
  <c r="K343" i="1"/>
  <c r="K323" i="1"/>
  <c r="K283" i="1"/>
  <c r="K263" i="1"/>
  <c r="K243" i="1"/>
  <c r="K203" i="1"/>
  <c r="K163" i="1"/>
  <c r="K143" i="1"/>
  <c r="K123" i="1"/>
  <c r="K103" i="1"/>
  <c r="AA103" i="1" s="1"/>
  <c r="K63" i="1"/>
  <c r="AA63" i="1" s="1"/>
  <c r="K43" i="1"/>
  <c r="K23" i="1"/>
  <c r="K307" i="1"/>
  <c r="K227" i="1"/>
  <c r="K167" i="1"/>
  <c r="K127" i="1"/>
  <c r="K87" i="1"/>
  <c r="K47" i="1"/>
  <c r="K7" i="1"/>
  <c r="AA7" i="1" s="1"/>
  <c r="K820" i="1"/>
  <c r="K680" i="1"/>
  <c r="K540" i="1"/>
  <c r="K380" i="1"/>
  <c r="K220" i="1"/>
  <c r="AA220" i="1" s="1"/>
  <c r="K859" i="1"/>
  <c r="K819" i="1"/>
  <c r="K779" i="1"/>
  <c r="K659" i="1"/>
  <c r="K619" i="1"/>
  <c r="AA619" i="1" s="1"/>
  <c r="K519" i="1"/>
  <c r="K439" i="1"/>
  <c r="K399" i="1"/>
  <c r="K359" i="1"/>
  <c r="K319" i="1"/>
  <c r="K279" i="1"/>
  <c r="K239" i="1"/>
  <c r="K199" i="1"/>
  <c r="K119" i="1"/>
  <c r="AA119" i="1" s="1"/>
  <c r="K79" i="1"/>
  <c r="K59" i="1"/>
  <c r="AA59" i="1" s="1"/>
  <c r="K19" i="1"/>
  <c r="K878" i="1"/>
  <c r="AA878" i="1" s="1"/>
  <c r="K858" i="1"/>
  <c r="K838" i="1"/>
  <c r="K818" i="1"/>
  <c r="K798" i="1"/>
  <c r="K758" i="1"/>
  <c r="K738" i="1"/>
  <c r="K718" i="1"/>
  <c r="K698" i="1"/>
  <c r="K678" i="1"/>
  <c r="K658" i="1"/>
  <c r="K638" i="1"/>
  <c r="K618" i="1"/>
  <c r="K598" i="1"/>
  <c r="K578" i="1"/>
  <c r="K558" i="1"/>
  <c r="K538" i="1"/>
  <c r="K518" i="1"/>
  <c r="K498" i="1"/>
  <c r="K478" i="1"/>
  <c r="K438" i="1"/>
  <c r="K418" i="1"/>
  <c r="AA418" i="1" s="1"/>
  <c r="K398" i="1"/>
  <c r="K378" i="1"/>
  <c r="AA378" i="1" s="1"/>
  <c r="K358" i="1"/>
  <c r="K338" i="1"/>
  <c r="K318" i="1"/>
  <c r="K298" i="1"/>
  <c r="K278" i="1"/>
  <c r="AA278" i="1" s="1"/>
  <c r="K258" i="1"/>
  <c r="K238" i="1"/>
  <c r="K218" i="1"/>
  <c r="K198" i="1"/>
  <c r="K178" i="1"/>
  <c r="K138" i="1"/>
  <c r="K118" i="1"/>
  <c r="K78" i="1"/>
  <c r="K58" i="1"/>
  <c r="K38" i="1"/>
  <c r="K18" i="1"/>
  <c r="K207" i="1"/>
  <c r="AA207" i="1" s="1"/>
  <c r="K187" i="1"/>
  <c r="K107" i="1"/>
  <c r="K67" i="1"/>
  <c r="K27" i="1"/>
  <c r="K900" i="1"/>
  <c r="K880" i="1"/>
  <c r="K860" i="1"/>
  <c r="K840" i="1"/>
  <c r="K800" i="1"/>
  <c r="K780" i="1"/>
  <c r="K760" i="1"/>
  <c r="K740" i="1"/>
  <c r="K720" i="1"/>
  <c r="AA720" i="1" s="1"/>
  <c r="K700" i="1"/>
  <c r="K660" i="1"/>
  <c r="K640" i="1"/>
  <c r="K620" i="1"/>
  <c r="K600" i="1"/>
  <c r="K580" i="1"/>
  <c r="AA580" i="1" s="1"/>
  <c r="K560" i="1"/>
  <c r="AA560" i="1" s="1"/>
  <c r="K520" i="1"/>
  <c r="K500" i="1"/>
  <c r="K480" i="1"/>
  <c r="K460" i="1"/>
  <c r="AA460" i="1" s="1"/>
  <c r="K440" i="1"/>
  <c r="K420" i="1"/>
  <c r="K400" i="1"/>
  <c r="K360" i="1"/>
  <c r="K340" i="1"/>
  <c r="K320" i="1"/>
  <c r="K300" i="1"/>
  <c r="AA300" i="1" s="1"/>
  <c r="K280" i="1"/>
  <c r="K260" i="1"/>
  <c r="K240" i="1"/>
  <c r="K200" i="1"/>
  <c r="K180" i="1"/>
  <c r="K160" i="1"/>
  <c r="K140" i="1"/>
  <c r="K120" i="1"/>
  <c r="K100" i="1"/>
  <c r="K80" i="1"/>
  <c r="AA80" i="1" s="1"/>
  <c r="K60" i="1"/>
  <c r="K40" i="1"/>
  <c r="K899" i="1"/>
  <c r="K879" i="1"/>
  <c r="K839" i="1"/>
  <c r="K799" i="1"/>
  <c r="K759" i="1"/>
  <c r="K739" i="1"/>
  <c r="AA739" i="1" s="1"/>
  <c r="K639" i="1"/>
  <c r="K599" i="1"/>
  <c r="K559" i="1"/>
  <c r="K539" i="1"/>
  <c r="K499" i="1"/>
  <c r="K459" i="1"/>
  <c r="K419" i="1"/>
  <c r="AA419" i="1" s="1"/>
  <c r="K379" i="1"/>
  <c r="K339" i="1"/>
  <c r="K299" i="1"/>
  <c r="K259" i="1"/>
  <c r="K219" i="1"/>
  <c r="AA219" i="1" s="1"/>
  <c r="K179" i="1"/>
  <c r="K139" i="1"/>
  <c r="K99" i="1"/>
  <c r="K39" i="1"/>
  <c r="AA39" i="1" s="1"/>
  <c r="K897" i="1"/>
  <c r="K877" i="1"/>
  <c r="AA877" i="1" s="1"/>
  <c r="K857" i="1"/>
  <c r="AA857" i="1" s="1"/>
  <c r="K837" i="1"/>
  <c r="K817" i="1"/>
  <c r="AA817" i="1" s="1"/>
  <c r="K797" i="1"/>
  <c r="K777" i="1"/>
  <c r="K757" i="1"/>
  <c r="K737" i="1"/>
  <c r="K717" i="1"/>
  <c r="K697" i="1"/>
  <c r="K677" i="1"/>
  <c r="K657" i="1"/>
  <c r="K637" i="1"/>
  <c r="K617" i="1"/>
  <c r="K597" i="1"/>
  <c r="K577" i="1"/>
  <c r="K557" i="1"/>
  <c r="K537" i="1"/>
  <c r="K517" i="1"/>
  <c r="K497" i="1"/>
  <c r="AA497" i="1" s="1"/>
  <c r="K477" i="1"/>
  <c r="K457" i="1"/>
  <c r="K437" i="1"/>
  <c r="K417" i="1"/>
  <c r="K397" i="1"/>
  <c r="AA397" i="1" s="1"/>
  <c r="K377" i="1"/>
  <c r="K357" i="1"/>
  <c r="K337" i="1"/>
  <c r="K317" i="1"/>
  <c r="K297" i="1"/>
  <c r="K277" i="1"/>
  <c r="K257" i="1"/>
  <c r="K237" i="1"/>
  <c r="K217" i="1"/>
  <c r="K197" i="1"/>
  <c r="K177" i="1"/>
  <c r="K137" i="1"/>
  <c r="AA137" i="1" s="1"/>
  <c r="K117" i="1"/>
  <c r="K77" i="1"/>
  <c r="K57" i="1"/>
  <c r="K37" i="1"/>
  <c r="K17" i="1"/>
  <c r="K792" i="1"/>
  <c r="K752" i="1"/>
  <c r="K652" i="1"/>
  <c r="AA652" i="1" s="1"/>
  <c r="K592" i="1"/>
  <c r="K552" i="1"/>
  <c r="AA552" i="1" s="1"/>
  <c r="K512" i="1"/>
  <c r="K452" i="1"/>
  <c r="K292" i="1"/>
  <c r="K192" i="1"/>
  <c r="K112" i="1"/>
  <c r="K72" i="1"/>
  <c r="K32" i="1"/>
  <c r="K891" i="1"/>
  <c r="K831" i="1"/>
  <c r="K811" i="1"/>
  <c r="K791" i="1"/>
  <c r="K751" i="1"/>
  <c r="K731" i="1"/>
  <c r="K691" i="1"/>
  <c r="K671" i="1"/>
  <c r="K651" i="1"/>
  <c r="K611" i="1"/>
  <c r="K591" i="1"/>
  <c r="K551" i="1"/>
  <c r="AA551" i="1" s="1"/>
  <c r="K511" i="1"/>
  <c r="K491" i="1"/>
  <c r="K451" i="1"/>
  <c r="K411" i="1"/>
  <c r="K391" i="1"/>
  <c r="K371" i="1"/>
  <c r="K351" i="1"/>
  <c r="K311" i="1"/>
  <c r="K291" i="1"/>
  <c r="K251" i="1"/>
  <c r="K111" i="1"/>
  <c r="K91" i="1"/>
  <c r="K71" i="1"/>
  <c r="K51" i="1"/>
  <c r="K31" i="1"/>
  <c r="AA31" i="1" s="1"/>
  <c r="K11" i="1"/>
  <c r="K890" i="1"/>
  <c r="K870" i="1"/>
  <c r="AA870" i="1" s="1"/>
  <c r="K850" i="1"/>
  <c r="K750" i="1"/>
  <c r="K730" i="1"/>
  <c r="K690" i="1"/>
  <c r="K670" i="1"/>
  <c r="K590" i="1"/>
  <c r="K530" i="1"/>
  <c r="K490" i="1"/>
  <c r="K410" i="1"/>
  <c r="K390" i="1"/>
  <c r="AA390" i="1" s="1"/>
  <c r="K350" i="1"/>
  <c r="K310" i="1"/>
  <c r="K290" i="1"/>
  <c r="AA290" i="1" s="1"/>
  <c r="K250" i="1"/>
  <c r="AA250" i="1" s="1"/>
  <c r="K210" i="1"/>
  <c r="K190" i="1"/>
  <c r="K170" i="1"/>
  <c r="K150" i="1"/>
  <c r="K130" i="1"/>
  <c r="K110" i="1"/>
  <c r="K90" i="1"/>
  <c r="K70" i="1"/>
  <c r="K50" i="1"/>
  <c r="K30" i="1"/>
  <c r="K10" i="1"/>
  <c r="AA10" i="1" s="1"/>
  <c r="K892" i="1"/>
  <c r="K812" i="1"/>
  <c r="K732" i="1"/>
  <c r="K612" i="1"/>
  <c r="K492" i="1"/>
  <c r="K352" i="1"/>
  <c r="K172" i="1"/>
  <c r="K132" i="1"/>
  <c r="K52" i="1"/>
  <c r="AA52" i="1" s="1"/>
  <c r="K12" i="1"/>
  <c r="AA12" i="1" s="1"/>
  <c r="K692" i="1"/>
  <c r="K632" i="1"/>
  <c r="K412" i="1"/>
  <c r="K312" i="1"/>
  <c r="K822" i="1"/>
  <c r="K782" i="1"/>
  <c r="K762" i="1"/>
  <c r="AA762" i="1" s="1"/>
  <c r="K702" i="1"/>
  <c r="K682" i="1"/>
  <c r="K662" i="1"/>
  <c r="K622" i="1"/>
  <c r="AA622" i="1" s="1"/>
  <c r="K602" i="1"/>
  <c r="AA602" i="1" s="1"/>
  <c r="K562" i="1"/>
  <c r="K522" i="1"/>
  <c r="K502" i="1"/>
  <c r="K482" i="1"/>
  <c r="K422" i="1"/>
  <c r="K402" i="1"/>
  <c r="K382" i="1"/>
  <c r="K342" i="1"/>
  <c r="K322" i="1"/>
  <c r="K302" i="1"/>
  <c r="K242" i="1"/>
  <c r="AA242" i="1" s="1"/>
  <c r="K182" i="1"/>
  <c r="K162" i="1"/>
  <c r="K142" i="1"/>
  <c r="K102" i="1"/>
  <c r="K62" i="1"/>
  <c r="K42" i="1"/>
  <c r="K22" i="1"/>
  <c r="K861" i="1"/>
  <c r="K821" i="1"/>
  <c r="K781" i="1"/>
  <c r="AA781" i="1" s="1"/>
  <c r="K761" i="1"/>
  <c r="K701" i="1"/>
  <c r="K661" i="1"/>
  <c r="K641" i="1"/>
  <c r="K601" i="1"/>
  <c r="K581" i="1"/>
  <c r="K561" i="1"/>
  <c r="AA561" i="1" s="1"/>
  <c r="K521" i="1"/>
  <c r="K501" i="1"/>
  <c r="K481" i="1"/>
  <c r="K421" i="1"/>
  <c r="K401" i="1"/>
  <c r="AA401" i="1" s="1"/>
  <c r="K381" i="1"/>
  <c r="K341" i="1"/>
  <c r="K321" i="1"/>
  <c r="K301" i="1"/>
  <c r="K281" i="1"/>
  <c r="K241" i="1"/>
  <c r="AA241" i="1" s="1"/>
  <c r="K201" i="1"/>
  <c r="K181" i="1"/>
  <c r="K161" i="1"/>
  <c r="K141" i="1"/>
  <c r="K121" i="1"/>
  <c r="K101" i="1"/>
  <c r="K61" i="1"/>
  <c r="K41" i="1"/>
  <c r="K21" i="1"/>
  <c r="K896" i="1"/>
  <c r="K556" i="1"/>
  <c r="K516" i="1"/>
  <c r="K496" i="1"/>
  <c r="K236" i="1"/>
  <c r="K196" i="1"/>
  <c r="AA196" i="1" s="1"/>
  <c r="K895" i="1"/>
  <c r="K894" i="1"/>
  <c r="K874" i="1"/>
  <c r="K854" i="1"/>
  <c r="K834" i="1"/>
  <c r="K814" i="1"/>
  <c r="AA814" i="1" s="1"/>
  <c r="K794" i="1"/>
  <c r="K774" i="1"/>
  <c r="K754" i="1"/>
  <c r="K734" i="1"/>
  <c r="K714" i="1"/>
  <c r="K694" i="1"/>
  <c r="K674" i="1"/>
  <c r="AA674" i="1" s="1"/>
  <c r="K654" i="1"/>
  <c r="K634" i="1"/>
  <c r="K614" i="1"/>
  <c r="AA614" i="1" s="1"/>
  <c r="K594" i="1"/>
  <c r="K574" i="1"/>
  <c r="AA574" i="1" s="1"/>
  <c r="K554" i="1"/>
  <c r="K534" i="1"/>
  <c r="K514" i="1"/>
  <c r="K494" i="1"/>
  <c r="AA494" i="1" s="1"/>
  <c r="K474" i="1"/>
  <c r="K454" i="1"/>
  <c r="K434" i="1"/>
  <c r="K414" i="1"/>
  <c r="K394" i="1"/>
  <c r="AA394" i="1" s="1"/>
  <c r="K374" i="1"/>
  <c r="K354" i="1"/>
  <c r="AA354" i="1" s="1"/>
  <c r="K334" i="1"/>
  <c r="AA334" i="1" s="1"/>
  <c r="K314" i="1"/>
  <c r="K294" i="1"/>
  <c r="K274" i="1"/>
  <c r="K254" i="1"/>
  <c r="K888" i="1"/>
  <c r="K868" i="1"/>
  <c r="K848" i="1"/>
  <c r="K828" i="1"/>
  <c r="K788" i="1"/>
  <c r="K768" i="1"/>
  <c r="K748" i="1"/>
  <c r="K728" i="1"/>
  <c r="AA728" i="1" s="1"/>
  <c r="K708" i="1"/>
  <c r="AA708" i="1" s="1"/>
  <c r="K688" i="1"/>
  <c r="K668" i="1"/>
  <c r="K648" i="1"/>
  <c r="K628" i="1"/>
  <c r="K608" i="1"/>
  <c r="K588" i="1"/>
  <c r="K568" i="1"/>
  <c r="K528" i="1"/>
  <c r="K508" i="1"/>
  <c r="K488" i="1"/>
  <c r="K468" i="1"/>
  <c r="K448" i="1"/>
  <c r="K428" i="1"/>
  <c r="K408" i="1"/>
  <c r="K388" i="1"/>
  <c r="K368" i="1"/>
  <c r="K348" i="1"/>
  <c r="K328" i="1"/>
  <c r="K308" i="1"/>
  <c r="K288" i="1"/>
  <c r="K268" i="1"/>
  <c r="K248" i="1"/>
  <c r="K228" i="1"/>
  <c r="AA228" i="1" s="1"/>
  <c r="K188" i="1"/>
  <c r="K168" i="1"/>
  <c r="AA168" i="1" s="1"/>
  <c r="K148" i="1"/>
  <c r="K128" i="1"/>
  <c r="K108" i="1"/>
  <c r="K88" i="1"/>
  <c r="K68" i="1"/>
  <c r="K48" i="1"/>
  <c r="K28" i="1"/>
  <c r="K867" i="1"/>
  <c r="K667" i="1"/>
  <c r="K567" i="1"/>
  <c r="K467" i="1"/>
  <c r="K367" i="1"/>
  <c r="AA367" i="1" s="1"/>
  <c r="K267" i="1"/>
  <c r="AA267" i="1" s="1"/>
  <c r="K776" i="1"/>
  <c r="K176" i="1"/>
  <c r="K96" i="1"/>
  <c r="K16" i="1"/>
  <c r="K815" i="1"/>
  <c r="K775" i="1"/>
  <c r="K735" i="1"/>
  <c r="K715" i="1"/>
  <c r="K695" i="1"/>
  <c r="AA695" i="1" s="1"/>
  <c r="K675" i="1"/>
  <c r="K655" i="1"/>
  <c r="K635" i="1"/>
  <c r="K615" i="1"/>
  <c r="K595" i="1"/>
  <c r="K575" i="1"/>
  <c r="K555" i="1"/>
  <c r="K535" i="1"/>
  <c r="K515" i="1"/>
  <c r="K495" i="1"/>
  <c r="K475" i="1"/>
  <c r="K455" i="1"/>
  <c r="K435" i="1"/>
  <c r="K415" i="1"/>
  <c r="K395" i="1"/>
  <c r="K375" i="1"/>
  <c r="K355" i="1"/>
  <c r="K335" i="1"/>
  <c r="K315" i="1"/>
  <c r="K295" i="1"/>
  <c r="K275" i="1"/>
  <c r="K255" i="1"/>
  <c r="K235" i="1"/>
  <c r="K215" i="1"/>
  <c r="K195" i="1"/>
  <c r="K175" i="1"/>
  <c r="K155" i="1"/>
  <c r="AA155" i="1" s="1"/>
  <c r="K135" i="1"/>
  <c r="K115" i="1"/>
  <c r="K95" i="1"/>
  <c r="K75" i="1"/>
  <c r="K55" i="1"/>
  <c r="K35" i="1"/>
  <c r="K15" i="1"/>
  <c r="K889" i="1"/>
  <c r="K869" i="1"/>
  <c r="AA869" i="1" s="1"/>
  <c r="K849" i="1"/>
  <c r="K829" i="1"/>
  <c r="K809" i="1"/>
  <c r="K789" i="1"/>
  <c r="K769" i="1"/>
  <c r="K749" i="1"/>
  <c r="K729" i="1"/>
  <c r="K709" i="1"/>
  <c r="K669" i="1"/>
  <c r="K649" i="1"/>
  <c r="AA649" i="1" s="1"/>
  <c r="K629" i="1"/>
  <c r="AA629" i="1" s="1"/>
  <c r="K609" i="1"/>
  <c r="K589" i="1"/>
  <c r="K569" i="1"/>
  <c r="AA569" i="1" s="1"/>
  <c r="K549" i="1"/>
  <c r="AA549" i="1" s="1"/>
  <c r="K529" i="1"/>
  <c r="K509" i="1"/>
  <c r="K489" i="1"/>
  <c r="K469" i="1"/>
  <c r="K449" i="1"/>
  <c r="K429" i="1"/>
  <c r="K409" i="1"/>
  <c r="K389" i="1"/>
  <c r="K369" i="1"/>
  <c r="K349" i="1"/>
  <c r="K329" i="1"/>
  <c r="K309" i="1"/>
  <c r="K289" i="1"/>
  <c r="AA289" i="1" s="1"/>
  <c r="K269" i="1"/>
  <c r="K249" i="1"/>
  <c r="K229" i="1"/>
  <c r="K209" i="1"/>
  <c r="AA209" i="1" s="1"/>
  <c r="K189" i="1"/>
  <c r="K169" i="1"/>
  <c r="K149" i="1"/>
  <c r="K129" i="1"/>
  <c r="K109" i="1"/>
  <c r="K89" i="1"/>
  <c r="K69" i="1"/>
  <c r="K49" i="1"/>
  <c r="K29" i="1"/>
  <c r="K9" i="1"/>
  <c r="K234" i="1"/>
  <c r="K214" i="1"/>
  <c r="K194" i="1"/>
  <c r="K174" i="1"/>
  <c r="K154" i="1"/>
  <c r="K134" i="1"/>
  <c r="K114" i="1"/>
  <c r="K94" i="1"/>
  <c r="K74" i="1"/>
  <c r="K54" i="1"/>
  <c r="K34" i="1"/>
  <c r="K14" i="1"/>
  <c r="E12" i="2"/>
  <c r="E6" i="2"/>
  <c r="E7" i="2"/>
  <c r="E18" i="2"/>
  <c r="E8" i="2"/>
  <c r="E5" i="2"/>
  <c r="E16" i="2"/>
  <c r="E17" i="2"/>
  <c r="E19" i="2"/>
  <c r="E14" i="2"/>
  <c r="E11" i="2"/>
  <c r="E13" i="2"/>
  <c r="E10" i="2"/>
  <c r="E15" i="2"/>
  <c r="E9" i="2"/>
  <c r="S508" i="1"/>
  <c r="S673" i="1"/>
  <c r="S68" i="1"/>
  <c r="S826" i="1"/>
  <c r="S733" i="1"/>
  <c r="S672" i="1"/>
  <c r="S565" i="1"/>
  <c r="S493" i="1"/>
  <c r="S393" i="1"/>
  <c r="S67" i="1"/>
  <c r="S12" i="1"/>
  <c r="S812" i="1"/>
  <c r="S730" i="1"/>
  <c r="S652" i="1"/>
  <c r="S551" i="1"/>
  <c r="S473" i="1"/>
  <c r="S386" i="1"/>
  <c r="S326" i="1"/>
  <c r="S233" i="1"/>
  <c r="S132" i="1"/>
  <c r="S893" i="1"/>
  <c r="S792" i="1"/>
  <c r="S727" i="1"/>
  <c r="S645" i="1"/>
  <c r="S548" i="1"/>
  <c r="S467" i="1"/>
  <c r="S372" i="1"/>
  <c r="S312" i="1"/>
  <c r="S225" i="1"/>
  <c r="S125" i="1"/>
  <c r="S793" i="1"/>
  <c r="S728" i="1"/>
  <c r="S373" i="1"/>
  <c r="S892" i="1"/>
  <c r="S791" i="1"/>
  <c r="S726" i="1"/>
  <c r="S633" i="1"/>
  <c r="S547" i="1"/>
  <c r="S466" i="1"/>
  <c r="S371" i="1"/>
  <c r="S311" i="1"/>
  <c r="S213" i="1"/>
  <c r="S113" i="1"/>
  <c r="S785" i="1"/>
  <c r="S725" i="1"/>
  <c r="S632" i="1"/>
  <c r="S546" i="1"/>
  <c r="S465" i="1"/>
  <c r="S293" i="1"/>
  <c r="S212" i="1"/>
  <c r="S112" i="1"/>
  <c r="S873" i="1"/>
  <c r="S773" i="1"/>
  <c r="S713" i="1"/>
  <c r="S631" i="1"/>
  <c r="S533" i="1"/>
  <c r="S453" i="1"/>
  <c r="S369" i="1"/>
  <c r="S292" i="1"/>
  <c r="S211" i="1"/>
  <c r="S111" i="1"/>
  <c r="S368" i="1"/>
  <c r="S207" i="1"/>
  <c r="S871" i="1"/>
  <c r="S771" i="1"/>
  <c r="S711" i="1"/>
  <c r="S613" i="1"/>
  <c r="S531" i="1"/>
  <c r="S451" i="1"/>
  <c r="S367" i="1"/>
  <c r="S288" i="1"/>
  <c r="S193" i="1"/>
  <c r="S92" i="1"/>
  <c r="S768" i="1"/>
  <c r="S852" i="1"/>
  <c r="S767" i="1"/>
  <c r="S688" i="1"/>
  <c r="S592" i="1"/>
  <c r="S509" i="1"/>
  <c r="S425" i="1"/>
  <c r="S351" i="1"/>
  <c r="S273" i="1"/>
  <c r="S172" i="1"/>
  <c r="S72" i="1"/>
  <c r="S833" i="1"/>
  <c r="S753" i="1"/>
  <c r="S507" i="1"/>
  <c r="S5" i="1"/>
  <c r="S832" i="1"/>
  <c r="S752" i="1"/>
  <c r="S685" i="1"/>
  <c r="S572" i="1"/>
  <c r="S506" i="1"/>
  <c r="S411" i="1"/>
  <c r="S331" i="1"/>
  <c r="S253" i="1"/>
  <c r="S165" i="1"/>
  <c r="S69" i="1"/>
  <c r="S152" i="1"/>
  <c r="S14" i="1"/>
  <c r="S825" i="1"/>
  <c r="S732" i="1"/>
  <c r="S671" i="1"/>
  <c r="S553" i="1"/>
  <c r="S492" i="1"/>
  <c r="S392" i="1"/>
  <c r="S328" i="1"/>
  <c r="S246" i="1"/>
  <c r="S151" i="1"/>
  <c r="S53" i="1"/>
  <c r="S153" i="1"/>
  <c r="S13" i="1"/>
  <c r="S813" i="1"/>
  <c r="S731" i="1"/>
  <c r="S653" i="1"/>
  <c r="S552" i="1"/>
  <c r="S491" i="1"/>
  <c r="S391" i="1"/>
  <c r="S327" i="1"/>
  <c r="S245" i="1"/>
  <c r="S133" i="1"/>
  <c r="S52" i="1"/>
  <c r="S410" i="1"/>
  <c r="S649" i="1"/>
  <c r="S607" i="1"/>
  <c r="S470" i="1"/>
  <c r="S428" i="1"/>
  <c r="S249" i="1"/>
  <c r="S784" i="1"/>
  <c r="S690" i="1"/>
  <c r="S648" i="1"/>
  <c r="S606" i="1"/>
  <c r="S469" i="1"/>
  <c r="S427" i="1"/>
  <c r="S290" i="1"/>
  <c r="S248" i="1"/>
  <c r="S206" i="1"/>
  <c r="S85" i="1"/>
  <c r="S904" i="1"/>
  <c r="S864" i="1"/>
  <c r="S824" i="1"/>
  <c r="S689" i="1"/>
  <c r="S647" i="1"/>
  <c r="S605" i="1"/>
  <c r="S510" i="1"/>
  <c r="S468" i="1"/>
  <c r="S426" i="1"/>
  <c r="S289" i="1"/>
  <c r="S247" i="1"/>
  <c r="S205" i="1"/>
  <c r="S164" i="1"/>
  <c r="S124" i="1"/>
  <c r="S849" i="1"/>
  <c r="S589" i="1"/>
  <c r="S109" i="1"/>
  <c r="S108" i="1"/>
  <c r="S28" i="1"/>
  <c r="S887" i="1"/>
  <c r="S847" i="1"/>
  <c r="S807" i="1"/>
  <c r="S766" i="1"/>
  <c r="S629" i="1"/>
  <c r="S587" i="1"/>
  <c r="S545" i="1"/>
  <c r="S450" i="1"/>
  <c r="S408" i="1"/>
  <c r="S366" i="1"/>
  <c r="S229" i="1"/>
  <c r="S187" i="1"/>
  <c r="S147" i="1"/>
  <c r="S107" i="1"/>
  <c r="S66" i="1"/>
  <c r="S149" i="1"/>
  <c r="S29" i="1"/>
  <c r="S808" i="1"/>
  <c r="S630" i="1"/>
  <c r="S27" i="1"/>
  <c r="S886" i="1"/>
  <c r="S846" i="1"/>
  <c r="S806" i="1"/>
  <c r="S670" i="1"/>
  <c r="S628" i="1"/>
  <c r="S586" i="1"/>
  <c r="S449" i="1"/>
  <c r="S407" i="1"/>
  <c r="S270" i="1"/>
  <c r="S228" i="1"/>
  <c r="S186" i="1"/>
  <c r="S146" i="1"/>
  <c r="S106" i="1"/>
  <c r="S65" i="1"/>
  <c r="S26" i="1"/>
  <c r="S885" i="1"/>
  <c r="S845" i="1"/>
  <c r="S805" i="1"/>
  <c r="S669" i="1"/>
  <c r="S627" i="1"/>
  <c r="S585" i="1"/>
  <c r="S490" i="1"/>
  <c r="S448" i="1"/>
  <c r="S406" i="1"/>
  <c r="S269" i="1"/>
  <c r="S227" i="1"/>
  <c r="S185" i="1"/>
  <c r="S145" i="1"/>
  <c r="S105" i="1"/>
  <c r="S31" i="1"/>
  <c r="S110" i="1"/>
  <c r="S850" i="1"/>
  <c r="S190" i="1"/>
  <c r="H804" i="1"/>
  <c r="S804" i="1"/>
  <c r="H584" i="1"/>
  <c r="S584" i="1"/>
  <c r="H444" i="1"/>
  <c r="S444" i="1"/>
  <c r="H344" i="1"/>
  <c r="S344" i="1"/>
  <c r="H224" i="1"/>
  <c r="S224" i="1"/>
  <c r="S144" i="1"/>
  <c r="H24" i="1"/>
  <c r="S24" i="1"/>
  <c r="H843" i="1"/>
  <c r="S843" i="1"/>
  <c r="H783" i="1"/>
  <c r="S783" i="1"/>
  <c r="H683" i="1"/>
  <c r="S683" i="1"/>
  <c r="H603" i="1"/>
  <c r="S603" i="1"/>
  <c r="H543" i="1"/>
  <c r="S543" i="1"/>
  <c r="H463" i="1"/>
  <c r="S463" i="1"/>
  <c r="H323" i="1"/>
  <c r="S323" i="1"/>
  <c r="H183" i="1"/>
  <c r="S183" i="1"/>
  <c r="H103" i="1"/>
  <c r="S103" i="1"/>
  <c r="H83" i="1"/>
  <c r="S83" i="1"/>
  <c r="H902" i="1"/>
  <c r="S902" i="1"/>
  <c r="H822" i="1"/>
  <c r="S822" i="1"/>
  <c r="H802" i="1"/>
  <c r="S802" i="1"/>
  <c r="H762" i="1"/>
  <c r="S762" i="1"/>
  <c r="H742" i="1"/>
  <c r="S742" i="1"/>
  <c r="H702" i="1"/>
  <c r="S702" i="1"/>
  <c r="H682" i="1"/>
  <c r="S682" i="1"/>
  <c r="H642" i="1"/>
  <c r="S642" i="1"/>
  <c r="H602" i="1"/>
  <c r="S602" i="1"/>
  <c r="H582" i="1"/>
  <c r="S582" i="1"/>
  <c r="H562" i="1"/>
  <c r="S562" i="1"/>
  <c r="H542" i="1"/>
  <c r="S542" i="1"/>
  <c r="H522" i="1"/>
  <c r="S522" i="1"/>
  <c r="H502" i="1"/>
  <c r="S502" i="1"/>
  <c r="H482" i="1"/>
  <c r="S482" i="1"/>
  <c r="H422" i="1"/>
  <c r="S422" i="1"/>
  <c r="H382" i="1"/>
  <c r="S382" i="1"/>
  <c r="H342" i="1"/>
  <c r="S342" i="1"/>
  <c r="H322" i="1"/>
  <c r="S322" i="1"/>
  <c r="H282" i="1"/>
  <c r="S282" i="1"/>
  <c r="H262" i="1"/>
  <c r="S262" i="1"/>
  <c r="H242" i="1"/>
  <c r="S242" i="1"/>
  <c r="H222" i="1"/>
  <c r="S222" i="1"/>
  <c r="H202" i="1"/>
  <c r="S202" i="1"/>
  <c r="H182" i="1"/>
  <c r="S182" i="1"/>
  <c r="H162" i="1"/>
  <c r="S162" i="1"/>
  <c r="H142" i="1"/>
  <c r="S142" i="1"/>
  <c r="H122" i="1"/>
  <c r="S122" i="1"/>
  <c r="H102" i="1"/>
  <c r="S102" i="1"/>
  <c r="S750" i="1"/>
  <c r="S708" i="1"/>
  <c r="S666" i="1"/>
  <c r="S529" i="1"/>
  <c r="S487" i="1"/>
  <c r="S445" i="1"/>
  <c r="S350" i="1"/>
  <c r="S308" i="1"/>
  <c r="S266" i="1"/>
  <c r="S50" i="1"/>
  <c r="S810" i="1"/>
  <c r="S30" i="1"/>
  <c r="S889" i="1"/>
  <c r="S809" i="1"/>
  <c r="H764" i="1"/>
  <c r="S764" i="1"/>
  <c r="H744" i="1"/>
  <c r="S744" i="1"/>
  <c r="H704" i="1"/>
  <c r="S704" i="1"/>
  <c r="H644" i="1"/>
  <c r="S644" i="1"/>
  <c r="H604" i="1"/>
  <c r="S604" i="1"/>
  <c r="H544" i="1"/>
  <c r="S544" i="1"/>
  <c r="H504" i="1"/>
  <c r="S504" i="1"/>
  <c r="H464" i="1"/>
  <c r="S464" i="1"/>
  <c r="H364" i="1"/>
  <c r="S364" i="1"/>
  <c r="H264" i="1"/>
  <c r="S264" i="1"/>
  <c r="S884" i="1"/>
  <c r="H883" i="1"/>
  <c r="S883" i="1"/>
  <c r="H823" i="1"/>
  <c r="S823" i="1"/>
  <c r="H763" i="1"/>
  <c r="S763" i="1"/>
  <c r="H723" i="1"/>
  <c r="S723" i="1"/>
  <c r="H663" i="1"/>
  <c r="S663" i="1"/>
  <c r="H583" i="1"/>
  <c r="S583" i="1"/>
  <c r="H563" i="1"/>
  <c r="S563" i="1"/>
  <c r="H523" i="1"/>
  <c r="S523" i="1"/>
  <c r="H503" i="1"/>
  <c r="S503" i="1"/>
  <c r="H423" i="1"/>
  <c r="S423" i="1"/>
  <c r="H363" i="1"/>
  <c r="S363" i="1"/>
  <c r="H343" i="1"/>
  <c r="S343" i="1"/>
  <c r="H303" i="1"/>
  <c r="S303" i="1"/>
  <c r="H243" i="1"/>
  <c r="S243" i="1"/>
  <c r="H143" i="1"/>
  <c r="S143" i="1"/>
  <c r="S530" i="1"/>
  <c r="S488" i="1"/>
  <c r="S446" i="1"/>
  <c r="S309" i="1"/>
  <c r="S51" i="1"/>
  <c r="H63" i="1"/>
  <c r="S63" i="1"/>
  <c r="H23" i="1"/>
  <c r="S23" i="1"/>
  <c r="H842" i="1"/>
  <c r="S842" i="1"/>
  <c r="H782" i="1"/>
  <c r="S782" i="1"/>
  <c r="H722" i="1"/>
  <c r="S722" i="1"/>
  <c r="H622" i="1"/>
  <c r="S622" i="1"/>
  <c r="H302" i="1"/>
  <c r="S302" i="1"/>
  <c r="H82" i="1"/>
  <c r="S82" i="1"/>
  <c r="H42" i="1"/>
  <c r="S42" i="1"/>
  <c r="H901" i="1"/>
  <c r="S901" i="1"/>
  <c r="H821" i="1"/>
  <c r="S821" i="1"/>
  <c r="H741" i="1"/>
  <c r="S741" i="1"/>
  <c r="H641" i="1"/>
  <c r="S641" i="1"/>
  <c r="H581" i="1"/>
  <c r="S581" i="1"/>
  <c r="H541" i="1"/>
  <c r="S541" i="1"/>
  <c r="H481" i="1"/>
  <c r="S481" i="1"/>
  <c r="H421" i="1"/>
  <c r="S421" i="1"/>
  <c r="H381" i="1"/>
  <c r="S381" i="1"/>
  <c r="H281" i="1"/>
  <c r="S281" i="1"/>
  <c r="H221" i="1"/>
  <c r="S221" i="1"/>
  <c r="H101" i="1"/>
  <c r="S101" i="1"/>
  <c r="S790" i="1"/>
  <c r="S749" i="1"/>
  <c r="S707" i="1"/>
  <c r="S665" i="1"/>
  <c r="S570" i="1"/>
  <c r="S528" i="1"/>
  <c r="S486" i="1"/>
  <c r="S349" i="1"/>
  <c r="S307" i="1"/>
  <c r="S265" i="1"/>
  <c r="S49" i="1"/>
  <c r="S188" i="1"/>
  <c r="H684" i="1"/>
  <c r="S684" i="1"/>
  <c r="H524" i="1"/>
  <c r="S524" i="1"/>
  <c r="H384" i="1"/>
  <c r="S384" i="1"/>
  <c r="H304" i="1"/>
  <c r="S304" i="1"/>
  <c r="H284" i="1"/>
  <c r="S284" i="1"/>
  <c r="H204" i="1"/>
  <c r="S204" i="1"/>
  <c r="S844" i="1"/>
  <c r="S668" i="1"/>
  <c r="S226" i="1"/>
  <c r="H44" i="1"/>
  <c r="S44" i="1"/>
  <c r="H743" i="1"/>
  <c r="S743" i="1"/>
  <c r="H483" i="1"/>
  <c r="S483" i="1"/>
  <c r="H283" i="1"/>
  <c r="S283" i="1"/>
  <c r="H163" i="1"/>
  <c r="S163" i="1"/>
  <c r="H123" i="1"/>
  <c r="S123" i="1"/>
  <c r="H43" i="1"/>
  <c r="S43" i="1"/>
  <c r="H402" i="1"/>
  <c r="S402" i="1"/>
  <c r="H881" i="1"/>
  <c r="S881" i="1"/>
  <c r="H781" i="1"/>
  <c r="S781" i="1"/>
  <c r="H721" i="1"/>
  <c r="S721" i="1"/>
  <c r="H601" i="1"/>
  <c r="S601" i="1"/>
  <c r="H521" i="1"/>
  <c r="S521" i="1"/>
  <c r="H401" i="1"/>
  <c r="S401" i="1"/>
  <c r="H301" i="1"/>
  <c r="S301" i="1"/>
  <c r="H181" i="1"/>
  <c r="S181" i="1"/>
  <c r="S11" i="1"/>
  <c r="S870" i="1"/>
  <c r="S830" i="1"/>
  <c r="S789" i="1"/>
  <c r="S748" i="1"/>
  <c r="S706" i="1"/>
  <c r="S569" i="1"/>
  <c r="S527" i="1"/>
  <c r="S485" i="1"/>
  <c r="S390" i="1"/>
  <c r="S348" i="1"/>
  <c r="S306" i="1"/>
  <c r="S170" i="1"/>
  <c r="S130" i="1"/>
  <c r="S90" i="1"/>
  <c r="S48" i="1"/>
  <c r="S590" i="1"/>
  <c r="S848" i="1"/>
  <c r="S230" i="1"/>
  <c r="H624" i="1"/>
  <c r="S624" i="1"/>
  <c r="H404" i="1"/>
  <c r="S404" i="1"/>
  <c r="S104" i="1"/>
  <c r="H903" i="1"/>
  <c r="S903" i="1"/>
  <c r="H803" i="1"/>
  <c r="S803" i="1"/>
  <c r="H643" i="1"/>
  <c r="S643" i="1"/>
  <c r="H403" i="1"/>
  <c r="S403" i="1"/>
  <c r="H223" i="1"/>
  <c r="S223" i="1"/>
  <c r="S667" i="1"/>
  <c r="H882" i="1"/>
  <c r="S882" i="1"/>
  <c r="H462" i="1"/>
  <c r="S462" i="1"/>
  <c r="H62" i="1"/>
  <c r="S62" i="1"/>
  <c r="H801" i="1"/>
  <c r="S801" i="1"/>
  <c r="H701" i="1"/>
  <c r="S701" i="1"/>
  <c r="H621" i="1"/>
  <c r="S621" i="1"/>
  <c r="H561" i="1"/>
  <c r="S561" i="1"/>
  <c r="H461" i="1"/>
  <c r="S461" i="1"/>
  <c r="H361" i="1"/>
  <c r="S361" i="1"/>
  <c r="H261" i="1"/>
  <c r="S261" i="1"/>
  <c r="H141" i="1"/>
  <c r="S141" i="1"/>
  <c r="S10" i="1"/>
  <c r="S869" i="1"/>
  <c r="S829" i="1"/>
  <c r="S788" i="1"/>
  <c r="S747" i="1"/>
  <c r="S705" i="1"/>
  <c r="S610" i="1"/>
  <c r="S568" i="1"/>
  <c r="S526" i="1"/>
  <c r="S389" i="1"/>
  <c r="S347" i="1"/>
  <c r="S305" i="1"/>
  <c r="S210" i="1"/>
  <c r="S169" i="1"/>
  <c r="S129" i="1"/>
  <c r="S89" i="1"/>
  <c r="S47" i="1"/>
  <c r="S890" i="1"/>
  <c r="S189" i="1"/>
  <c r="S148" i="1"/>
  <c r="H724" i="1"/>
  <c r="S724" i="1"/>
  <c r="H564" i="1"/>
  <c r="S564" i="1"/>
  <c r="H424" i="1"/>
  <c r="S424" i="1"/>
  <c r="H244" i="1"/>
  <c r="S244" i="1"/>
  <c r="S25" i="1"/>
  <c r="S710" i="1"/>
  <c r="S489" i="1"/>
  <c r="S310" i="1"/>
  <c r="S268" i="1"/>
  <c r="H64" i="1"/>
  <c r="S64" i="1"/>
  <c r="H623" i="1"/>
  <c r="S623" i="1"/>
  <c r="H383" i="1"/>
  <c r="S383" i="1"/>
  <c r="H203" i="1"/>
  <c r="S203" i="1"/>
  <c r="S267" i="1"/>
  <c r="H362" i="1"/>
  <c r="S362" i="1"/>
  <c r="H22" i="1"/>
  <c r="S22" i="1"/>
  <c r="H841" i="1"/>
  <c r="S841" i="1"/>
  <c r="H761" i="1"/>
  <c r="S761" i="1"/>
  <c r="H681" i="1"/>
  <c r="S681" i="1"/>
  <c r="H501" i="1"/>
  <c r="S501" i="1"/>
  <c r="H341" i="1"/>
  <c r="S341" i="1"/>
  <c r="H161" i="1"/>
  <c r="S161" i="1"/>
  <c r="S9" i="1"/>
  <c r="S868" i="1"/>
  <c r="S828" i="1"/>
  <c r="S787" i="1"/>
  <c r="S746" i="1"/>
  <c r="S609" i="1"/>
  <c r="S567" i="1"/>
  <c r="S525" i="1"/>
  <c r="S430" i="1"/>
  <c r="S388" i="1"/>
  <c r="S346" i="1"/>
  <c r="S209" i="1"/>
  <c r="S168" i="1"/>
  <c r="S128" i="1"/>
  <c r="S88" i="1"/>
  <c r="S46" i="1"/>
  <c r="S150" i="1"/>
  <c r="S888" i="1"/>
  <c r="S588" i="1"/>
  <c r="S409" i="1"/>
  <c r="H664" i="1"/>
  <c r="S664" i="1"/>
  <c r="H484" i="1"/>
  <c r="S484" i="1"/>
  <c r="H324" i="1"/>
  <c r="S324" i="1"/>
  <c r="S626" i="1"/>
  <c r="S447" i="1"/>
  <c r="S184" i="1"/>
  <c r="H84" i="1"/>
  <c r="S84" i="1"/>
  <c r="H863" i="1"/>
  <c r="S863" i="1"/>
  <c r="H703" i="1"/>
  <c r="S703" i="1"/>
  <c r="H443" i="1"/>
  <c r="S443" i="1"/>
  <c r="H263" i="1"/>
  <c r="S263" i="1"/>
  <c r="S709" i="1"/>
  <c r="H862" i="1"/>
  <c r="S862" i="1"/>
  <c r="H662" i="1"/>
  <c r="S662" i="1"/>
  <c r="H442" i="1"/>
  <c r="S442" i="1"/>
  <c r="H861" i="1"/>
  <c r="S861" i="1"/>
  <c r="H661" i="1"/>
  <c r="S661" i="1"/>
  <c r="H441" i="1"/>
  <c r="S441" i="1"/>
  <c r="H321" i="1"/>
  <c r="S321" i="1"/>
  <c r="H241" i="1"/>
  <c r="S241" i="1"/>
  <c r="H201" i="1"/>
  <c r="S201" i="1"/>
  <c r="H121" i="1"/>
  <c r="S121" i="1"/>
  <c r="S8" i="1"/>
  <c r="S867" i="1"/>
  <c r="S827" i="1"/>
  <c r="S786" i="1"/>
  <c r="S745" i="1"/>
  <c r="S650" i="1"/>
  <c r="S608" i="1"/>
  <c r="S566" i="1"/>
  <c r="S429" i="1"/>
  <c r="S387" i="1"/>
  <c r="S345" i="1"/>
  <c r="S250" i="1"/>
  <c r="S208" i="1"/>
  <c r="S167" i="1"/>
  <c r="S127" i="1"/>
  <c r="S87" i="1"/>
  <c r="S45" i="1"/>
  <c r="S21" i="1"/>
  <c r="S900" i="1"/>
  <c r="S880" i="1"/>
  <c r="S860" i="1"/>
  <c r="S840" i="1"/>
  <c r="S820" i="1"/>
  <c r="S800" i="1"/>
  <c r="S780" i="1"/>
  <c r="S760" i="1"/>
  <c r="S740" i="1"/>
  <c r="S720" i="1"/>
  <c r="S700" i="1"/>
  <c r="S680" i="1"/>
  <c r="S660" i="1"/>
  <c r="S640" i="1"/>
  <c r="S620" i="1"/>
  <c r="S600" i="1"/>
  <c r="S580" i="1"/>
  <c r="S560" i="1"/>
  <c r="S540" i="1"/>
  <c r="S520" i="1"/>
  <c r="S500" i="1"/>
  <c r="S480" i="1"/>
  <c r="S460" i="1"/>
  <c r="S440" i="1"/>
  <c r="S420" i="1"/>
  <c r="S400" i="1"/>
  <c r="S380" i="1"/>
  <c r="S360" i="1"/>
  <c r="S340" i="1"/>
  <c r="S320" i="1"/>
  <c r="S300" i="1"/>
  <c r="S280" i="1"/>
  <c r="S260" i="1"/>
  <c r="S240" i="1"/>
  <c r="S220" i="1"/>
  <c r="S200" i="1"/>
  <c r="S180" i="1"/>
  <c r="S160" i="1"/>
  <c r="S140" i="1"/>
  <c r="S120" i="1"/>
  <c r="S100" i="1"/>
  <c r="S80" i="1"/>
  <c r="S60" i="1"/>
  <c r="S40" i="1"/>
  <c r="S81" i="1"/>
  <c r="S20" i="1"/>
  <c r="S899" i="1"/>
  <c r="S879" i="1"/>
  <c r="S859" i="1"/>
  <c r="S839" i="1"/>
  <c r="S819" i="1"/>
  <c r="S799" i="1"/>
  <c r="S779" i="1"/>
  <c r="S759" i="1"/>
  <c r="S739" i="1"/>
  <c r="S719" i="1"/>
  <c r="S699" i="1"/>
  <c r="S679" i="1"/>
  <c r="S659" i="1"/>
  <c r="S639" i="1"/>
  <c r="S619" i="1"/>
  <c r="S599" i="1"/>
  <c r="S579" i="1"/>
  <c r="S559" i="1"/>
  <c r="S539" i="1"/>
  <c r="S519" i="1"/>
  <c r="S499" i="1"/>
  <c r="S479" i="1"/>
  <c r="S459" i="1"/>
  <c r="S439" i="1"/>
  <c r="S419" i="1"/>
  <c r="S399" i="1"/>
  <c r="S379" i="1"/>
  <c r="S359" i="1"/>
  <c r="S339" i="1"/>
  <c r="S319" i="1"/>
  <c r="S299" i="1"/>
  <c r="S279" i="1"/>
  <c r="S259" i="1"/>
  <c r="S239" i="1"/>
  <c r="S219" i="1"/>
  <c r="S199" i="1"/>
  <c r="S179" i="1"/>
  <c r="S159" i="1"/>
  <c r="S139" i="1"/>
  <c r="S119" i="1"/>
  <c r="S99" i="1"/>
  <c r="S79" i="1"/>
  <c r="S59" i="1"/>
  <c r="S39" i="1"/>
  <c r="S61" i="1"/>
  <c r="S19" i="1"/>
  <c r="S898" i="1"/>
  <c r="S878" i="1"/>
  <c r="S858" i="1"/>
  <c r="S838" i="1"/>
  <c r="S818" i="1"/>
  <c r="S798" i="1"/>
  <c r="S778" i="1"/>
  <c r="S758" i="1"/>
  <c r="S738" i="1"/>
  <c r="S718" i="1"/>
  <c r="S698" i="1"/>
  <c r="S678" i="1"/>
  <c r="S658" i="1"/>
  <c r="S638" i="1"/>
  <c r="S618" i="1"/>
  <c r="S598" i="1"/>
  <c r="S578" i="1"/>
  <c r="S558" i="1"/>
  <c r="S538" i="1"/>
  <c r="S518" i="1"/>
  <c r="S498" i="1"/>
  <c r="S478" i="1"/>
  <c r="S458" i="1"/>
  <c r="S438" i="1"/>
  <c r="S418" i="1"/>
  <c r="S398" i="1"/>
  <c r="S378" i="1"/>
  <c r="S358" i="1"/>
  <c r="S338" i="1"/>
  <c r="S318" i="1"/>
  <c r="S298" i="1"/>
  <c r="S278" i="1"/>
  <c r="S258" i="1"/>
  <c r="S238" i="1"/>
  <c r="S218" i="1"/>
  <c r="S198" i="1"/>
  <c r="S178" i="1"/>
  <c r="S158" i="1"/>
  <c r="S138" i="1"/>
  <c r="S118" i="1"/>
  <c r="S98" i="1"/>
  <c r="S78" i="1"/>
  <c r="S58" i="1"/>
  <c r="S38" i="1"/>
  <c r="S18" i="1"/>
  <c r="S897" i="1"/>
  <c r="S877" i="1"/>
  <c r="S857" i="1"/>
  <c r="S837" i="1"/>
  <c r="S817" i="1"/>
  <c r="S797" i="1"/>
  <c r="S777" i="1"/>
  <c r="S757" i="1"/>
  <c r="S737" i="1"/>
  <c r="S717" i="1"/>
  <c r="S697" i="1"/>
  <c r="S677" i="1"/>
  <c r="S657" i="1"/>
  <c r="S637" i="1"/>
  <c r="S617" i="1"/>
  <c r="S597" i="1"/>
  <c r="S577" i="1"/>
  <c r="S557" i="1"/>
  <c r="S537" i="1"/>
  <c r="S517" i="1"/>
  <c r="S497" i="1"/>
  <c r="S477" i="1"/>
  <c r="S457" i="1"/>
  <c r="S437" i="1"/>
  <c r="S417" i="1"/>
  <c r="S397" i="1"/>
  <c r="S377" i="1"/>
  <c r="S357" i="1"/>
  <c r="S337" i="1"/>
  <c r="S317" i="1"/>
  <c r="S297" i="1"/>
  <c r="S277" i="1"/>
  <c r="S257" i="1"/>
  <c r="S237" i="1"/>
  <c r="S217" i="1"/>
  <c r="S197" i="1"/>
  <c r="S177" i="1"/>
  <c r="S157" i="1"/>
  <c r="S137" i="1"/>
  <c r="S117" i="1"/>
  <c r="S97" i="1"/>
  <c r="S77" i="1"/>
  <c r="S57" i="1"/>
  <c r="S37" i="1"/>
  <c r="S17" i="1"/>
  <c r="S896" i="1"/>
  <c r="S876" i="1"/>
  <c r="S856" i="1"/>
  <c r="S836" i="1"/>
  <c r="S816" i="1"/>
  <c r="S796" i="1"/>
  <c r="S776" i="1"/>
  <c r="S756" i="1"/>
  <c r="S736" i="1"/>
  <c r="S716" i="1"/>
  <c r="S696" i="1"/>
  <c r="S676" i="1"/>
  <c r="S656" i="1"/>
  <c r="S636" i="1"/>
  <c r="S616" i="1"/>
  <c r="S596" i="1"/>
  <c r="S576" i="1"/>
  <c r="S556" i="1"/>
  <c r="S536" i="1"/>
  <c r="S516" i="1"/>
  <c r="S496" i="1"/>
  <c r="S476" i="1"/>
  <c r="S456" i="1"/>
  <c r="S436" i="1"/>
  <c r="S416" i="1"/>
  <c r="S396" i="1"/>
  <c r="S376" i="1"/>
  <c r="S356" i="1"/>
  <c r="S336" i="1"/>
  <c r="S316" i="1"/>
  <c r="S296" i="1"/>
  <c r="S276" i="1"/>
  <c r="S256" i="1"/>
  <c r="S236" i="1"/>
  <c r="S216" i="1"/>
  <c r="S196" i="1"/>
  <c r="S176" i="1"/>
  <c r="S156" i="1"/>
  <c r="S136" i="1"/>
  <c r="S116" i="1"/>
  <c r="S96" i="1"/>
  <c r="S76" i="1"/>
  <c r="S56" i="1"/>
  <c r="S36" i="1"/>
  <c r="S41" i="1"/>
  <c r="S16" i="1"/>
  <c r="S895" i="1"/>
  <c r="S875" i="1"/>
  <c r="S855" i="1"/>
  <c r="S835" i="1"/>
  <c r="S815" i="1"/>
  <c r="S795" i="1"/>
  <c r="S775" i="1"/>
  <c r="S755" i="1"/>
  <c r="S735" i="1"/>
  <c r="S715" i="1"/>
  <c r="S695" i="1"/>
  <c r="S675" i="1"/>
  <c r="S655" i="1"/>
  <c r="S635" i="1"/>
  <c r="S615" i="1"/>
  <c r="S595" i="1"/>
  <c r="S575" i="1"/>
  <c r="S555" i="1"/>
  <c r="S535" i="1"/>
  <c r="S515" i="1"/>
  <c r="S495" i="1"/>
  <c r="S475" i="1"/>
  <c r="S455" i="1"/>
  <c r="S435" i="1"/>
  <c r="S415" i="1"/>
  <c r="S395" i="1"/>
  <c r="S375" i="1"/>
  <c r="S355" i="1"/>
  <c r="S335" i="1"/>
  <c r="S315" i="1"/>
  <c r="S295" i="1"/>
  <c r="S275" i="1"/>
  <c r="S255" i="1"/>
  <c r="S235" i="1"/>
  <c r="S215" i="1"/>
  <c r="S195" i="1"/>
  <c r="S175" i="1"/>
  <c r="S155" i="1"/>
  <c r="S135" i="1"/>
  <c r="S115" i="1"/>
  <c r="S95" i="1"/>
  <c r="S75" i="1"/>
  <c r="S55" i="1"/>
  <c r="S35" i="1"/>
  <c r="S15" i="1"/>
  <c r="S894" i="1"/>
  <c r="S874" i="1"/>
  <c r="S854" i="1"/>
  <c r="S834" i="1"/>
  <c r="S814" i="1"/>
  <c r="S794" i="1"/>
  <c r="S774" i="1"/>
  <c r="S754" i="1"/>
  <c r="S734" i="1"/>
  <c r="S714" i="1"/>
  <c r="S694" i="1"/>
  <c r="S674" i="1"/>
  <c r="S654" i="1"/>
  <c r="S634" i="1"/>
  <c r="S614" i="1"/>
  <c r="S594" i="1"/>
  <c r="S574" i="1"/>
  <c r="S554" i="1"/>
  <c r="S534" i="1"/>
  <c r="S514" i="1"/>
  <c r="S494" i="1"/>
  <c r="S474" i="1"/>
  <c r="S454" i="1"/>
  <c r="S434" i="1"/>
  <c r="S414" i="1"/>
  <c r="S394" i="1"/>
  <c r="S374" i="1"/>
  <c r="S354" i="1"/>
  <c r="S334" i="1"/>
  <c r="S314" i="1"/>
  <c r="S294" i="1"/>
  <c r="S274" i="1"/>
  <c r="S254" i="1"/>
  <c r="S234" i="1"/>
  <c r="S214" i="1"/>
  <c r="S194" i="1"/>
  <c r="S174" i="1"/>
  <c r="S154" i="1"/>
  <c r="S134" i="1"/>
  <c r="S114" i="1"/>
  <c r="S94" i="1"/>
  <c r="S74" i="1"/>
  <c r="S54" i="1"/>
  <c r="S34" i="1"/>
  <c r="E803" i="1"/>
  <c r="E688" i="1"/>
  <c r="D879" i="1"/>
  <c r="E879" i="1"/>
  <c r="E804" i="1"/>
  <c r="D680" i="1"/>
  <c r="D227" i="1"/>
  <c r="E44" i="1"/>
  <c r="E534" i="1"/>
  <c r="D534" i="1"/>
  <c r="E880" i="1"/>
  <c r="F804" i="1"/>
  <c r="D636" i="1"/>
  <c r="D806" i="1"/>
  <c r="F615" i="1"/>
  <c r="F608" i="1"/>
  <c r="F758" i="1"/>
  <c r="E758" i="1"/>
  <c r="D758" i="1"/>
  <c r="D180" i="1"/>
  <c r="F180" i="1"/>
  <c r="E180" i="1"/>
  <c r="F82" i="1"/>
  <c r="D82" i="1"/>
  <c r="E82" i="1"/>
  <c r="E712" i="1"/>
  <c r="D712" i="1"/>
  <c r="F712" i="1"/>
  <c r="F670" i="1"/>
  <c r="D670" i="1"/>
  <c r="E670" i="1"/>
  <c r="F654" i="1"/>
  <c r="E654" i="1"/>
  <c r="D654" i="1"/>
  <c r="F637" i="1"/>
  <c r="E637" i="1"/>
  <c r="E575" i="1"/>
  <c r="F575" i="1"/>
  <c r="D575" i="1"/>
  <c r="F273" i="1"/>
  <c r="E273" i="1"/>
  <c r="D273" i="1"/>
  <c r="F225" i="1"/>
  <c r="E225" i="1"/>
  <c r="D225" i="1"/>
  <c r="F179" i="1"/>
  <c r="E179" i="1"/>
  <c r="D179" i="1"/>
  <c r="E849" i="1"/>
  <c r="F849" i="1"/>
  <c r="D849" i="1"/>
  <c r="D787" i="1"/>
  <c r="F787" i="1"/>
  <c r="E787" i="1"/>
  <c r="F771" i="1"/>
  <c r="E771" i="1"/>
  <c r="D771" i="1"/>
  <c r="F607" i="1"/>
  <c r="E607" i="1"/>
  <c r="D607" i="1"/>
  <c r="E574" i="1"/>
  <c r="F574" i="1"/>
  <c r="D574" i="1"/>
  <c r="E529" i="1"/>
  <c r="F529" i="1"/>
  <c r="D529" i="1"/>
  <c r="E422" i="1"/>
  <c r="F422" i="1"/>
  <c r="D422" i="1"/>
  <c r="F373" i="1"/>
  <c r="E373" i="1"/>
  <c r="D373" i="1"/>
  <c r="E112" i="1"/>
  <c r="D112" i="1"/>
  <c r="F112" i="1"/>
  <c r="F95" i="1"/>
  <c r="D95" i="1"/>
  <c r="E95" i="1"/>
  <c r="F833" i="1"/>
  <c r="D833" i="1"/>
  <c r="E833" i="1"/>
  <c r="F786" i="1"/>
  <c r="D786" i="1"/>
  <c r="E786" i="1"/>
  <c r="F696" i="1"/>
  <c r="E696" i="1"/>
  <c r="D696" i="1"/>
  <c r="D682" i="1"/>
  <c r="E682" i="1"/>
  <c r="F682" i="1"/>
  <c r="F620" i="1"/>
  <c r="E620" i="1"/>
  <c r="D620" i="1"/>
  <c r="E466" i="1"/>
  <c r="D466" i="1"/>
  <c r="F466" i="1"/>
  <c r="E357" i="1"/>
  <c r="D357" i="1"/>
  <c r="F357" i="1"/>
  <c r="F256" i="1"/>
  <c r="E256" i="1"/>
  <c r="D256" i="1"/>
  <c r="D240" i="1"/>
  <c r="F240" i="1"/>
  <c r="E240" i="1"/>
  <c r="E210" i="1"/>
  <c r="F210" i="1"/>
  <c r="D210" i="1"/>
  <c r="D878" i="1"/>
  <c r="E878" i="1"/>
  <c r="F878" i="1"/>
  <c r="F651" i="1"/>
  <c r="E651" i="1"/>
  <c r="D651" i="1"/>
  <c r="F527" i="1"/>
  <c r="E527" i="1"/>
  <c r="D527" i="1"/>
  <c r="E481" i="1"/>
  <c r="F481" i="1"/>
  <c r="D481" i="1"/>
  <c r="E321" i="1"/>
  <c r="F321" i="1"/>
  <c r="D321" i="1"/>
  <c r="F223" i="1"/>
  <c r="D223" i="1"/>
  <c r="E223" i="1"/>
  <c r="F193" i="1"/>
  <c r="E193" i="1"/>
  <c r="D193" i="1"/>
  <c r="F176" i="1"/>
  <c r="E176" i="1"/>
  <c r="D176" i="1"/>
  <c r="F126" i="1"/>
  <c r="E126" i="1"/>
  <c r="D126" i="1"/>
  <c r="D637" i="1"/>
  <c r="E862" i="1"/>
  <c r="F862" i="1"/>
  <c r="D862" i="1"/>
  <c r="F831" i="1"/>
  <c r="E831" i="1"/>
  <c r="D831" i="1"/>
  <c r="F801" i="1"/>
  <c r="E801" i="1"/>
  <c r="E755" i="1"/>
  <c r="F755" i="1"/>
  <c r="D755" i="1"/>
  <c r="F709" i="1"/>
  <c r="E709" i="1"/>
  <c r="D709" i="1"/>
  <c r="F650" i="1"/>
  <c r="E650" i="1"/>
  <c r="D650" i="1"/>
  <c r="F605" i="1"/>
  <c r="E605" i="1"/>
  <c r="D605" i="1"/>
  <c r="E571" i="1"/>
  <c r="F571" i="1"/>
  <c r="D571" i="1"/>
  <c r="F542" i="1"/>
  <c r="E542" i="1"/>
  <c r="D542" i="1"/>
  <c r="E511" i="1"/>
  <c r="F511" i="1"/>
  <c r="D511" i="1"/>
  <c r="E464" i="1"/>
  <c r="D464" i="1"/>
  <c r="F464" i="1"/>
  <c r="F371" i="1"/>
  <c r="E371" i="1"/>
  <c r="D371" i="1"/>
  <c r="F320" i="1"/>
  <c r="E320" i="1"/>
  <c r="D320" i="1"/>
  <c r="F110" i="1"/>
  <c r="D110" i="1"/>
  <c r="E110" i="1"/>
  <c r="F46" i="1"/>
  <c r="D46" i="1"/>
  <c r="E46" i="1"/>
  <c r="F713" i="1"/>
  <c r="D713" i="1"/>
  <c r="E713" i="1"/>
  <c r="D212" i="1"/>
  <c r="F212" i="1"/>
  <c r="E212" i="1"/>
  <c r="F706" i="1"/>
  <c r="E706" i="1"/>
  <c r="D706" i="1"/>
  <c r="F139" i="1"/>
  <c r="E139" i="1"/>
  <c r="D139" i="1"/>
  <c r="F904" i="1"/>
  <c r="D904" i="1"/>
  <c r="E904" i="1"/>
  <c r="K843" i="1"/>
  <c r="E843" i="1"/>
  <c r="F843" i="1"/>
  <c r="D843" i="1"/>
  <c r="F664" i="1"/>
  <c r="E664" i="1"/>
  <c r="D664" i="1"/>
  <c r="F647" i="1"/>
  <c r="E647" i="1"/>
  <c r="D647" i="1"/>
  <c r="F493" i="1"/>
  <c r="D493" i="1"/>
  <c r="E493" i="1"/>
  <c r="E461" i="1"/>
  <c r="F461" i="1"/>
  <c r="D461" i="1"/>
  <c r="F417" i="1"/>
  <c r="E417" i="1"/>
  <c r="D417" i="1"/>
  <c r="F205" i="1"/>
  <c r="E205" i="1"/>
  <c r="D205" i="1"/>
  <c r="F888" i="1"/>
  <c r="E888" i="1"/>
  <c r="D888" i="1"/>
  <c r="E873" i="1"/>
  <c r="D873" i="1"/>
  <c r="F873" i="1"/>
  <c r="D813" i="1"/>
  <c r="E813" i="1"/>
  <c r="F813" i="1"/>
  <c r="F797" i="1"/>
  <c r="E797" i="1"/>
  <c r="D797" i="1"/>
  <c r="E736" i="1"/>
  <c r="D736" i="1"/>
  <c r="F736" i="1"/>
  <c r="E692" i="1"/>
  <c r="D692" i="1"/>
  <c r="F692" i="1"/>
  <c r="F663" i="1"/>
  <c r="E663" i="1"/>
  <c r="D663" i="1"/>
  <c r="F646" i="1"/>
  <c r="D646" i="1"/>
  <c r="E646" i="1"/>
  <c r="D567" i="1"/>
  <c r="F567" i="1"/>
  <c r="E567" i="1"/>
  <c r="F553" i="1"/>
  <c r="E553" i="1"/>
  <c r="D553" i="1"/>
  <c r="F523" i="1"/>
  <c r="E523" i="1"/>
  <c r="D523" i="1"/>
  <c r="D492" i="1"/>
  <c r="E492" i="1"/>
  <c r="F492" i="1"/>
  <c r="E460" i="1"/>
  <c r="F460" i="1"/>
  <c r="D460" i="1"/>
  <c r="F400" i="1"/>
  <c r="E400" i="1"/>
  <c r="D400" i="1"/>
  <c r="E266" i="1"/>
  <c r="D266" i="1"/>
  <c r="F235" i="1"/>
  <c r="E235" i="1"/>
  <c r="D235" i="1"/>
  <c r="F170" i="1"/>
  <c r="D170" i="1"/>
  <c r="E170" i="1"/>
  <c r="F153" i="1"/>
  <c r="E153" i="1"/>
  <c r="D153" i="1"/>
  <c r="F106" i="1"/>
  <c r="E106" i="1"/>
  <c r="D106" i="1"/>
  <c r="F59" i="1"/>
  <c r="E59" i="1"/>
  <c r="D59" i="1"/>
  <c r="F25" i="1"/>
  <c r="E25" i="1"/>
  <c r="D25" i="1"/>
  <c r="E9" i="1"/>
  <c r="D9" i="1"/>
  <c r="F9" i="1"/>
  <c r="F754" i="1"/>
  <c r="E754" i="1"/>
  <c r="D754" i="1"/>
  <c r="F556" i="1"/>
  <c r="D556" i="1"/>
  <c r="E556" i="1"/>
  <c r="F270" i="1"/>
  <c r="D270" i="1"/>
  <c r="E270" i="1"/>
  <c r="D92" i="1"/>
  <c r="F92" i="1"/>
  <c r="E92" i="1"/>
  <c r="F890" i="1"/>
  <c r="E890" i="1"/>
  <c r="D890" i="1"/>
  <c r="F902" i="1"/>
  <c r="E902" i="1"/>
  <c r="D902" i="1"/>
  <c r="E872" i="1"/>
  <c r="D872" i="1"/>
  <c r="F872" i="1"/>
  <c r="E812" i="1"/>
  <c r="D812" i="1"/>
  <c r="F812" i="1"/>
  <c r="E780" i="1"/>
  <c r="F780" i="1"/>
  <c r="D780" i="1"/>
  <c r="F720" i="1"/>
  <c r="D720" i="1"/>
  <c r="E720" i="1"/>
  <c r="F662" i="1"/>
  <c r="E662" i="1"/>
  <c r="D662" i="1"/>
  <c r="F600" i="1"/>
  <c r="E600" i="1"/>
  <c r="D600" i="1"/>
  <c r="E491" i="1"/>
  <c r="F491" i="1"/>
  <c r="D491" i="1"/>
  <c r="E350" i="1"/>
  <c r="D350" i="1"/>
  <c r="F350" i="1"/>
  <c r="F203" i="1"/>
  <c r="D203" i="1"/>
  <c r="F121" i="1"/>
  <c r="D121" i="1"/>
  <c r="E121" i="1"/>
  <c r="F105" i="1"/>
  <c r="E105" i="1"/>
  <c r="D105" i="1"/>
  <c r="F41" i="1"/>
  <c r="E41" i="1"/>
  <c r="D41" i="1"/>
  <c r="F784" i="1"/>
  <c r="E784" i="1"/>
  <c r="D784" i="1"/>
  <c r="F335" i="1"/>
  <c r="E335" i="1"/>
  <c r="D335" i="1"/>
  <c r="E875" i="1"/>
  <c r="D875" i="1"/>
  <c r="F875" i="1"/>
  <c r="D76" i="1"/>
  <c r="F76" i="1"/>
  <c r="E76" i="1"/>
  <c r="E631" i="1"/>
  <c r="F631" i="1"/>
  <c r="D631" i="1"/>
  <c r="E554" i="1"/>
  <c r="F554" i="1"/>
  <c r="D554" i="1"/>
  <c r="F889" i="1"/>
  <c r="D889" i="1"/>
  <c r="E735" i="1"/>
  <c r="F735" i="1"/>
  <c r="D735" i="1"/>
  <c r="F901" i="1"/>
  <c r="E901" i="1"/>
  <c r="D901" i="1"/>
  <c r="F858" i="1"/>
  <c r="E858" i="1"/>
  <c r="D858" i="1"/>
  <c r="F826" i="1"/>
  <c r="E826" i="1"/>
  <c r="D826" i="1"/>
  <c r="F779" i="1"/>
  <c r="E779" i="1"/>
  <c r="D779" i="1"/>
  <c r="F765" i="1"/>
  <c r="E765" i="1"/>
  <c r="D765" i="1"/>
  <c r="F734" i="1"/>
  <c r="E734" i="1"/>
  <c r="D734" i="1"/>
  <c r="F704" i="1"/>
  <c r="E704" i="1"/>
  <c r="D704" i="1"/>
  <c r="F599" i="1"/>
  <c r="E599" i="1"/>
  <c r="D599" i="1"/>
  <c r="F536" i="1"/>
  <c r="E536" i="1"/>
  <c r="D536" i="1"/>
  <c r="F521" i="1"/>
  <c r="E521" i="1"/>
  <c r="D521" i="1"/>
  <c r="F505" i="1"/>
  <c r="E505" i="1"/>
  <c r="D505" i="1"/>
  <c r="F415" i="1"/>
  <c r="D415" i="1"/>
  <c r="E415" i="1"/>
  <c r="F349" i="1"/>
  <c r="D349" i="1"/>
  <c r="E349" i="1"/>
  <c r="F330" i="1"/>
  <c r="E330" i="1"/>
  <c r="D330" i="1"/>
  <c r="F282" i="1"/>
  <c r="D282" i="1"/>
  <c r="E282" i="1"/>
  <c r="F249" i="1"/>
  <c r="E249" i="1"/>
  <c r="D249" i="1"/>
  <c r="E233" i="1"/>
  <c r="F233" i="1"/>
  <c r="D233" i="1"/>
  <c r="E252" i="1"/>
  <c r="D252" i="1"/>
  <c r="F252" i="1"/>
  <c r="F679" i="1"/>
  <c r="E679" i="1"/>
  <c r="D679" i="1"/>
  <c r="E385" i="1"/>
  <c r="F385" i="1"/>
  <c r="D385" i="1"/>
  <c r="E206" i="1"/>
  <c r="F206" i="1"/>
  <c r="D206" i="1"/>
  <c r="F900" i="1"/>
  <c r="D900" i="1"/>
  <c r="E900" i="1"/>
  <c r="F886" i="1"/>
  <c r="E886" i="1"/>
  <c r="D886" i="1"/>
  <c r="F825" i="1"/>
  <c r="E825" i="1"/>
  <c r="D825" i="1"/>
  <c r="E690" i="1"/>
  <c r="F690" i="1"/>
  <c r="D690" i="1"/>
  <c r="F643" i="1"/>
  <c r="E643" i="1"/>
  <c r="F613" i="1"/>
  <c r="E613" i="1"/>
  <c r="D613" i="1"/>
  <c r="F565" i="1"/>
  <c r="E565" i="1"/>
  <c r="D565" i="1"/>
  <c r="F504" i="1"/>
  <c r="E504" i="1"/>
  <c r="D504" i="1"/>
  <c r="E490" i="1"/>
  <c r="F490" i="1"/>
  <c r="D490" i="1"/>
  <c r="F430" i="1"/>
  <c r="D430" i="1"/>
  <c r="E430" i="1"/>
  <c r="D312" i="1"/>
  <c r="F312" i="1"/>
  <c r="E312" i="1"/>
  <c r="F297" i="1"/>
  <c r="E297" i="1"/>
  <c r="D297" i="1"/>
  <c r="E186" i="1"/>
  <c r="F186" i="1"/>
  <c r="D186" i="1"/>
  <c r="F168" i="1"/>
  <c r="E168" i="1"/>
  <c r="D168" i="1"/>
  <c r="F56" i="1"/>
  <c r="E56" i="1"/>
  <c r="D56" i="1"/>
  <c r="D6" i="1"/>
  <c r="F6" i="1"/>
  <c r="E6" i="1"/>
  <c r="E805" i="1"/>
  <c r="D805" i="1"/>
  <c r="F805" i="1"/>
  <c r="F587" i="1"/>
  <c r="D587" i="1"/>
  <c r="E587" i="1"/>
  <c r="E238" i="1"/>
  <c r="F238" i="1"/>
  <c r="D238" i="1"/>
  <c r="F723" i="1"/>
  <c r="E723" i="1"/>
  <c r="D723" i="1"/>
  <c r="F190" i="1"/>
  <c r="E190" i="1"/>
  <c r="D190" i="1"/>
  <c r="E840" i="1"/>
  <c r="F840" i="1"/>
  <c r="D840" i="1"/>
  <c r="D810" i="1"/>
  <c r="F810" i="1"/>
  <c r="E810" i="1"/>
  <c r="E795" i="1"/>
  <c r="D795" i="1"/>
  <c r="F795" i="1"/>
  <c r="D763" i="1"/>
  <c r="F763" i="1"/>
  <c r="E763" i="1"/>
  <c r="F733" i="1"/>
  <c r="D733" i="1"/>
  <c r="E733" i="1"/>
  <c r="F660" i="1"/>
  <c r="E660" i="1"/>
  <c r="D660" i="1"/>
  <c r="F580" i="1"/>
  <c r="D580" i="1"/>
  <c r="E580" i="1"/>
  <c r="E503" i="1"/>
  <c r="F503" i="1"/>
  <c r="D503" i="1"/>
  <c r="F473" i="1"/>
  <c r="E473" i="1"/>
  <c r="D473" i="1"/>
  <c r="F429" i="1"/>
  <c r="D429" i="1"/>
  <c r="E429" i="1"/>
  <c r="F39" i="1"/>
  <c r="E39" i="1"/>
  <c r="D39" i="1"/>
  <c r="F266" i="1"/>
  <c r="E592" i="1"/>
  <c r="D592" i="1"/>
  <c r="F592" i="1"/>
  <c r="E404" i="1"/>
  <c r="F404" i="1"/>
  <c r="D404" i="1"/>
  <c r="F540" i="1"/>
  <c r="D540" i="1"/>
  <c r="E540" i="1"/>
  <c r="F476" i="1"/>
  <c r="E476" i="1"/>
  <c r="D476" i="1"/>
  <c r="F777" i="1"/>
  <c r="E777" i="1"/>
  <c r="D777" i="1"/>
  <c r="F899" i="1"/>
  <c r="E899" i="1"/>
  <c r="D899" i="1"/>
  <c r="F870" i="1"/>
  <c r="E870" i="1"/>
  <c r="D870" i="1"/>
  <c r="F839" i="1"/>
  <c r="E839" i="1"/>
  <c r="F747" i="1"/>
  <c r="E747" i="1"/>
  <c r="D747" i="1"/>
  <c r="F702" i="1"/>
  <c r="E702" i="1"/>
  <c r="D702" i="1"/>
  <c r="F626" i="1"/>
  <c r="E626" i="1"/>
  <c r="D626" i="1"/>
  <c r="E549" i="1"/>
  <c r="F549" i="1"/>
  <c r="D549" i="1"/>
  <c r="F472" i="1"/>
  <c r="D472" i="1"/>
  <c r="E472" i="1"/>
  <c r="F455" i="1"/>
  <c r="E455" i="1"/>
  <c r="D455" i="1"/>
  <c r="E442" i="1"/>
  <c r="F442" i="1"/>
  <c r="D442" i="1"/>
  <c r="E428" i="1"/>
  <c r="F428" i="1"/>
  <c r="D428" i="1"/>
  <c r="F380" i="1"/>
  <c r="E380" i="1"/>
  <c r="D380" i="1"/>
  <c r="F279" i="1"/>
  <c r="E279" i="1"/>
  <c r="D279" i="1"/>
  <c r="E262" i="1"/>
  <c r="D262" i="1"/>
  <c r="F262" i="1"/>
  <c r="D71" i="1"/>
  <c r="F71" i="1"/>
  <c r="E71" i="1"/>
  <c r="F50" i="1"/>
  <c r="E50" i="1"/>
  <c r="D50" i="1"/>
  <c r="F722" i="1"/>
  <c r="D722" i="1"/>
  <c r="E722" i="1"/>
  <c r="F333" i="1"/>
  <c r="E333" i="1"/>
  <c r="D333" i="1"/>
  <c r="F524" i="1"/>
  <c r="E524" i="1"/>
  <c r="D524" i="1"/>
  <c r="E869" i="1"/>
  <c r="F869" i="1"/>
  <c r="D869" i="1"/>
  <c r="F854" i="1"/>
  <c r="E854" i="1"/>
  <c r="D854" i="1"/>
  <c r="F838" i="1"/>
  <c r="D838" i="1"/>
  <c r="E838" i="1"/>
  <c r="F822" i="1"/>
  <c r="E822" i="1"/>
  <c r="D822" i="1"/>
  <c r="F596" i="1"/>
  <c r="E596" i="1"/>
  <c r="D596" i="1"/>
  <c r="E517" i="1"/>
  <c r="D517" i="1"/>
  <c r="F517" i="1"/>
  <c r="F502" i="1"/>
  <c r="E502" i="1"/>
  <c r="D502" i="1"/>
  <c r="F441" i="1"/>
  <c r="D441" i="1"/>
  <c r="E441" i="1"/>
  <c r="F345" i="1"/>
  <c r="D345" i="1"/>
  <c r="E345" i="1"/>
  <c r="F326" i="1"/>
  <c r="D326" i="1"/>
  <c r="E326" i="1"/>
  <c r="F310" i="1"/>
  <c r="E310" i="1"/>
  <c r="D310" i="1"/>
  <c r="E294" i="1"/>
  <c r="F294" i="1"/>
  <c r="D294" i="1"/>
  <c r="E261" i="1"/>
  <c r="F261" i="1"/>
  <c r="D261" i="1"/>
  <c r="D200" i="1"/>
  <c r="E200" i="1"/>
  <c r="F200" i="1"/>
  <c r="F183" i="1"/>
  <c r="E183" i="1"/>
  <c r="D183" i="1"/>
  <c r="F54" i="1"/>
  <c r="E54" i="1"/>
  <c r="D54" i="1"/>
  <c r="F820" i="1"/>
  <c r="E820" i="1"/>
  <c r="D820" i="1"/>
  <c r="F33" i="1"/>
  <c r="E33" i="1"/>
  <c r="D33" i="1"/>
  <c r="F694" i="1"/>
  <c r="E694" i="1"/>
  <c r="D694" i="1"/>
  <c r="F861" i="1"/>
  <c r="E861" i="1"/>
  <c r="D861" i="1"/>
  <c r="F586" i="1"/>
  <c r="E586" i="1"/>
  <c r="D586" i="1"/>
  <c r="E269" i="1"/>
  <c r="F269" i="1"/>
  <c r="D269" i="1"/>
  <c r="F155" i="1"/>
  <c r="E155" i="1"/>
  <c r="D155" i="1"/>
  <c r="E792" i="1"/>
  <c r="D792" i="1"/>
  <c r="F792" i="1"/>
  <c r="F760" i="1"/>
  <c r="E760" i="1"/>
  <c r="D760" i="1"/>
  <c r="F746" i="1"/>
  <c r="E746" i="1"/>
  <c r="D746" i="1"/>
  <c r="E657" i="1"/>
  <c r="F657" i="1"/>
  <c r="D657" i="1"/>
  <c r="E641" i="1"/>
  <c r="F641" i="1"/>
  <c r="D641" i="1"/>
  <c r="E595" i="1"/>
  <c r="F595" i="1"/>
  <c r="F578" i="1"/>
  <c r="E578" i="1"/>
  <c r="D578" i="1"/>
  <c r="E533" i="1"/>
  <c r="F533" i="1"/>
  <c r="D533" i="1"/>
  <c r="F516" i="1"/>
  <c r="E516" i="1"/>
  <c r="D516" i="1"/>
  <c r="F440" i="1"/>
  <c r="D440" i="1"/>
  <c r="E440" i="1"/>
  <c r="E395" i="1"/>
  <c r="F395" i="1"/>
  <c r="D395" i="1"/>
  <c r="F165" i="1"/>
  <c r="E165" i="1"/>
  <c r="D165" i="1"/>
  <c r="F69" i="1"/>
  <c r="E69" i="1"/>
  <c r="D69" i="1"/>
  <c r="F850" i="1"/>
  <c r="D850" i="1"/>
  <c r="E850" i="1"/>
  <c r="F789" i="1"/>
  <c r="E789" i="1"/>
  <c r="D789" i="1"/>
  <c r="F684" i="1"/>
  <c r="D684" i="1"/>
  <c r="D514" i="1"/>
  <c r="F514" i="1"/>
  <c r="E514" i="1"/>
  <c r="F469" i="1"/>
  <c r="E469" i="1"/>
  <c r="D469" i="1"/>
  <c r="F375" i="1"/>
  <c r="E375" i="1"/>
  <c r="F800" i="1"/>
  <c r="E800" i="1"/>
  <c r="D800" i="1"/>
  <c r="F724" i="1"/>
  <c r="D724" i="1"/>
  <c r="E724" i="1"/>
  <c r="F633" i="1"/>
  <c r="E633" i="1"/>
  <c r="D633" i="1"/>
  <c r="F479" i="1"/>
  <c r="E479" i="1"/>
  <c r="D479" i="1"/>
  <c r="F141" i="1"/>
  <c r="E141" i="1"/>
  <c r="D141" i="1"/>
  <c r="F799" i="1"/>
  <c r="E799" i="1"/>
  <c r="D799" i="1"/>
  <c r="F555" i="1"/>
  <c r="E555" i="1"/>
  <c r="D555" i="1"/>
  <c r="F419" i="1"/>
  <c r="E419" i="1"/>
  <c r="D419" i="1"/>
  <c r="F882" i="1"/>
  <c r="D882" i="1"/>
  <c r="E882" i="1"/>
  <c r="E852" i="1"/>
  <c r="D852" i="1"/>
  <c r="F852" i="1"/>
  <c r="E672" i="1"/>
  <c r="D672" i="1"/>
  <c r="F672" i="1"/>
  <c r="E594" i="1"/>
  <c r="F594" i="1"/>
  <c r="D594" i="1"/>
  <c r="F485" i="1"/>
  <c r="E485" i="1"/>
  <c r="F361" i="1"/>
  <c r="E361" i="1"/>
  <c r="D361" i="1"/>
  <c r="F131" i="1"/>
  <c r="E131" i="1"/>
  <c r="D131" i="1"/>
  <c r="F99" i="1"/>
  <c r="E99" i="1"/>
  <c r="D99" i="1"/>
  <c r="F83" i="1"/>
  <c r="E83" i="1"/>
  <c r="D83" i="1"/>
  <c r="D485" i="1"/>
  <c r="E889" i="1"/>
  <c r="F618" i="1"/>
  <c r="E618" i="1"/>
  <c r="D618" i="1"/>
  <c r="E881" i="1"/>
  <c r="F881" i="1"/>
  <c r="D881" i="1"/>
  <c r="F851" i="1"/>
  <c r="D851" i="1"/>
  <c r="E851" i="1"/>
  <c r="F836" i="1"/>
  <c r="E836" i="1"/>
  <c r="D836" i="1"/>
  <c r="F807" i="1"/>
  <c r="E807" i="1"/>
  <c r="D807" i="1"/>
  <c r="F774" i="1"/>
  <c r="E774" i="1"/>
  <c r="D774" i="1"/>
  <c r="F729" i="1"/>
  <c r="E729" i="1"/>
  <c r="D729" i="1"/>
  <c r="F714" i="1"/>
  <c r="D714" i="1"/>
  <c r="F639" i="1"/>
  <c r="E639" i="1"/>
  <c r="D639" i="1"/>
  <c r="F546" i="1"/>
  <c r="E546" i="1"/>
  <c r="D546" i="1"/>
  <c r="F484" i="1"/>
  <c r="E484" i="1"/>
  <c r="D484" i="1"/>
  <c r="F452" i="1"/>
  <c r="D452" i="1"/>
  <c r="E452" i="1"/>
  <c r="F410" i="1"/>
  <c r="D410" i="1"/>
  <c r="E360" i="1"/>
  <c r="F360" i="1"/>
  <c r="D360" i="1"/>
  <c r="E342" i="1"/>
  <c r="F342" i="1"/>
  <c r="D342" i="1"/>
  <c r="F275" i="1"/>
  <c r="E275" i="1"/>
  <c r="D275" i="1"/>
  <c r="F197" i="1"/>
  <c r="E197" i="1"/>
  <c r="D197" i="1"/>
  <c r="F115" i="1"/>
  <c r="D115" i="1"/>
  <c r="E115" i="1"/>
  <c r="F98" i="1"/>
  <c r="D98" i="1"/>
  <c r="E98" i="1"/>
  <c r="F827" i="1"/>
  <c r="E827" i="1"/>
  <c r="F749" i="1"/>
  <c r="E749" i="1"/>
  <c r="D749" i="1"/>
  <c r="F698" i="1"/>
  <c r="E698" i="1"/>
  <c r="F685" i="1"/>
  <c r="E685" i="1"/>
  <c r="D685" i="1"/>
  <c r="F673" i="1"/>
  <c r="E673" i="1"/>
  <c r="E661" i="1"/>
  <c r="F661" i="1"/>
  <c r="D661" i="1"/>
  <c r="F634" i="1"/>
  <c r="F621" i="1"/>
  <c r="E621" i="1"/>
  <c r="D621" i="1"/>
  <c r="E609" i="1"/>
  <c r="F582" i="1"/>
  <c r="D582" i="1"/>
  <c r="E544" i="1"/>
  <c r="F544" i="1"/>
  <c r="E403" i="1"/>
  <c r="F403" i="1"/>
  <c r="F359" i="1"/>
  <c r="E359" i="1"/>
  <c r="F314" i="1"/>
  <c r="E314" i="1"/>
  <c r="F243" i="1"/>
  <c r="D243" i="1"/>
  <c r="E243" i="1"/>
  <c r="F213" i="1"/>
  <c r="D213" i="1"/>
  <c r="F188" i="1"/>
  <c r="E188" i="1"/>
  <c r="F157" i="1"/>
  <c r="E157" i="1"/>
  <c r="D157" i="1"/>
  <c r="E718" i="1"/>
  <c r="F877" i="1"/>
  <c r="F762" i="1"/>
  <c r="D762" i="1"/>
  <c r="F697" i="1"/>
  <c r="E697" i="1"/>
  <c r="D697" i="1"/>
  <c r="F581" i="1"/>
  <c r="E581" i="1"/>
  <c r="D581" i="1"/>
  <c r="F568" i="1"/>
  <c r="E530" i="1"/>
  <c r="F530" i="1"/>
  <c r="F480" i="1"/>
  <c r="E480" i="1"/>
  <c r="F468" i="1"/>
  <c r="E468" i="1"/>
  <c r="F416" i="1"/>
  <c r="E416" i="1"/>
  <c r="D416" i="1"/>
  <c r="E402" i="1"/>
  <c r="F402" i="1"/>
  <c r="D402" i="1"/>
  <c r="E386" i="1"/>
  <c r="F386" i="1"/>
  <c r="D386" i="1"/>
  <c r="F372" i="1"/>
  <c r="D372" i="1"/>
  <c r="E372" i="1"/>
  <c r="E343" i="1"/>
  <c r="F343" i="1"/>
  <c r="E328" i="1"/>
  <c r="D328" i="1"/>
  <c r="F328" i="1"/>
  <c r="F313" i="1"/>
  <c r="E313" i="1"/>
  <c r="F242" i="1"/>
  <c r="D242" i="1"/>
  <c r="E242" i="1"/>
  <c r="E227" i="1"/>
  <c r="F156" i="1"/>
  <c r="E156" i="1"/>
  <c r="D156" i="1"/>
  <c r="F142" i="1"/>
  <c r="E142" i="1"/>
  <c r="D142" i="1"/>
  <c r="F128" i="1"/>
  <c r="E128" i="1"/>
  <c r="F114" i="1"/>
  <c r="D114" i="1"/>
  <c r="F43" i="1"/>
  <c r="D43" i="1"/>
  <c r="F26" i="1"/>
  <c r="E26" i="1"/>
  <c r="F11" i="1"/>
  <c r="E11" i="1"/>
  <c r="D11" i="1"/>
  <c r="D811" i="1"/>
  <c r="D188" i="1"/>
  <c r="E717" i="1"/>
  <c r="E585" i="1"/>
  <c r="F284" i="1"/>
  <c r="F864" i="1"/>
  <c r="E864" i="1"/>
  <c r="D864" i="1"/>
  <c r="F814" i="1"/>
  <c r="E814" i="1"/>
  <c r="F788" i="1"/>
  <c r="E788" i="1"/>
  <c r="F775" i="1"/>
  <c r="E775" i="1"/>
  <c r="F711" i="1"/>
  <c r="E711" i="1"/>
  <c r="E648" i="1"/>
  <c r="F648" i="1"/>
  <c r="D648" i="1"/>
  <c r="E569" i="1"/>
  <c r="F569" i="1"/>
  <c r="F531" i="1"/>
  <c r="E531" i="1"/>
  <c r="E518" i="1"/>
  <c r="D518" i="1"/>
  <c r="F518" i="1"/>
  <c r="F454" i="1"/>
  <c r="D454" i="1"/>
  <c r="F387" i="1"/>
  <c r="D387" i="1"/>
  <c r="E387" i="1"/>
  <c r="E344" i="1"/>
  <c r="F344" i="1"/>
  <c r="D344" i="1"/>
  <c r="E329" i="1"/>
  <c r="F329" i="1"/>
  <c r="D329" i="1"/>
  <c r="F299" i="1"/>
  <c r="E299" i="1"/>
  <c r="D299" i="1"/>
  <c r="E283" i="1"/>
  <c r="D283" i="1"/>
  <c r="F257" i="1"/>
  <c r="E228" i="1"/>
  <c r="F228" i="1"/>
  <c r="D228" i="1"/>
  <c r="D201" i="1"/>
  <c r="E201" i="1"/>
  <c r="F201" i="1"/>
  <c r="F173" i="1"/>
  <c r="E173" i="1"/>
  <c r="D173" i="1"/>
  <c r="E129" i="1"/>
  <c r="F129" i="1"/>
  <c r="D129" i="1"/>
  <c r="F100" i="1"/>
  <c r="E100" i="1"/>
  <c r="D100" i="1"/>
  <c r="E85" i="1"/>
  <c r="F85" i="1"/>
  <c r="D85" i="1"/>
  <c r="D72" i="1"/>
  <c r="E72" i="1"/>
  <c r="F72" i="1"/>
  <c r="D12" i="1"/>
  <c r="E12" i="1"/>
  <c r="F12" i="1"/>
  <c r="D814" i="1"/>
  <c r="D609" i="1"/>
  <c r="E876" i="1"/>
  <c r="F863" i="1"/>
  <c r="E863" i="1"/>
  <c r="D863" i="1"/>
  <c r="E761" i="1"/>
  <c r="F761" i="1"/>
  <c r="F748" i="1"/>
  <c r="E748" i="1"/>
  <c r="D748" i="1"/>
  <c r="F710" i="1"/>
  <c r="E710" i="1"/>
  <c r="E608" i="1"/>
  <c r="E543" i="1"/>
  <c r="F543" i="1"/>
  <c r="E467" i="1"/>
  <c r="F467" i="1"/>
  <c r="D467" i="1"/>
  <c r="E453" i="1"/>
  <c r="F453" i="1"/>
  <c r="F401" i="1"/>
  <c r="E401" i="1"/>
  <c r="F358" i="1"/>
  <c r="E358" i="1"/>
  <c r="D358" i="1"/>
  <c r="E327" i="1"/>
  <c r="D327" i="1"/>
  <c r="F327" i="1"/>
  <c r="F298" i="1"/>
  <c r="E298" i="1"/>
  <c r="D298" i="1"/>
  <c r="E241" i="1"/>
  <c r="F241" i="1"/>
  <c r="D241" i="1"/>
  <c r="F226" i="1"/>
  <c r="E226" i="1"/>
  <c r="F171" i="1"/>
  <c r="E171" i="1"/>
  <c r="D171" i="1"/>
  <c r="F127" i="1"/>
  <c r="E127" i="1"/>
  <c r="F113" i="1"/>
  <c r="D113" i="1"/>
  <c r="F84" i="1"/>
  <c r="E84" i="1"/>
  <c r="D84" i="1"/>
  <c r="F57" i="1"/>
  <c r="E57" i="1"/>
  <c r="F42" i="1"/>
  <c r="D42" i="1"/>
  <c r="F10" i="1"/>
  <c r="D10" i="1"/>
  <c r="E10" i="1"/>
  <c r="E43" i="1"/>
  <c r="F283" i="1"/>
  <c r="F874" i="1"/>
  <c r="E874" i="1"/>
  <c r="F837" i="1"/>
  <c r="F824" i="1"/>
  <c r="E824" i="1"/>
  <c r="F773" i="1"/>
  <c r="E773" i="1"/>
  <c r="D773" i="1"/>
  <c r="F759" i="1"/>
  <c r="D759" i="1"/>
  <c r="E759" i="1"/>
  <c r="E721" i="1"/>
  <c r="F721" i="1"/>
  <c r="F708" i="1"/>
  <c r="E708" i="1"/>
  <c r="F683" i="1"/>
  <c r="E683" i="1"/>
  <c r="E671" i="1"/>
  <c r="F671" i="1"/>
  <c r="D671" i="1"/>
  <c r="F659" i="1"/>
  <c r="E659" i="1"/>
  <c r="F645" i="1"/>
  <c r="E645" i="1"/>
  <c r="E632" i="1"/>
  <c r="D632" i="1"/>
  <c r="F632" i="1"/>
  <c r="F619" i="1"/>
  <c r="D619" i="1"/>
  <c r="E619" i="1"/>
  <c r="F593" i="1"/>
  <c r="E593" i="1"/>
  <c r="D593" i="1"/>
  <c r="F579" i="1"/>
  <c r="E579" i="1"/>
  <c r="D579" i="1"/>
  <c r="E566" i="1"/>
  <c r="F566" i="1"/>
  <c r="F528" i="1"/>
  <c r="D528" i="1"/>
  <c r="F515" i="1"/>
  <c r="E515" i="1"/>
  <c r="F478" i="1"/>
  <c r="D478" i="1"/>
  <c r="E465" i="1"/>
  <c r="D465" i="1"/>
  <c r="E427" i="1"/>
  <c r="F427" i="1"/>
  <c r="F414" i="1"/>
  <c r="D414" i="1"/>
  <c r="F384" i="1"/>
  <c r="D384" i="1"/>
  <c r="E384" i="1"/>
  <c r="E356" i="1"/>
  <c r="D356" i="1"/>
  <c r="F356" i="1"/>
  <c r="F341" i="1"/>
  <c r="F325" i="1"/>
  <c r="D325" i="1"/>
  <c r="F311" i="1"/>
  <c r="E311" i="1"/>
  <c r="D311" i="1"/>
  <c r="E296" i="1"/>
  <c r="F296" i="1"/>
  <c r="E281" i="1"/>
  <c r="F281" i="1"/>
  <c r="F267" i="1"/>
  <c r="E267" i="1"/>
  <c r="D267" i="1"/>
  <c r="E254" i="1"/>
  <c r="F254" i="1"/>
  <c r="F239" i="1"/>
  <c r="E239" i="1"/>
  <c r="E211" i="1"/>
  <c r="D211" i="1"/>
  <c r="F199" i="1"/>
  <c r="E199" i="1"/>
  <c r="D199" i="1"/>
  <c r="E185" i="1"/>
  <c r="F185" i="1"/>
  <c r="D185" i="1"/>
  <c r="F154" i="1"/>
  <c r="E154" i="1"/>
  <c r="D140" i="1"/>
  <c r="F140" i="1"/>
  <c r="F111" i="1"/>
  <c r="D111" i="1"/>
  <c r="E97" i="1"/>
  <c r="F97" i="1"/>
  <c r="D97" i="1"/>
  <c r="E70" i="1"/>
  <c r="F70" i="1"/>
  <c r="D70" i="1"/>
  <c r="F40" i="1"/>
  <c r="D40" i="1"/>
  <c r="E40" i="1"/>
  <c r="F24" i="1"/>
  <c r="E24" i="1"/>
  <c r="F8" i="1"/>
  <c r="E8" i="1"/>
  <c r="D8" i="1"/>
  <c r="D314" i="1"/>
  <c r="D239" i="1"/>
  <c r="F887" i="1"/>
  <c r="E887" i="1"/>
  <c r="F823" i="1"/>
  <c r="E823" i="1"/>
  <c r="F811" i="1"/>
  <c r="E798" i="1"/>
  <c r="F785" i="1"/>
  <c r="D785" i="1"/>
  <c r="E785" i="1"/>
  <c r="E772" i="1"/>
  <c r="D772" i="1"/>
  <c r="F772" i="1"/>
  <c r="F707" i="1"/>
  <c r="D707" i="1"/>
  <c r="E707" i="1"/>
  <c r="E695" i="1"/>
  <c r="D695" i="1"/>
  <c r="F658" i="1"/>
  <c r="E658" i="1"/>
  <c r="D644" i="1"/>
  <c r="E644" i="1"/>
  <c r="F644" i="1"/>
  <c r="F606" i="1"/>
  <c r="E606" i="1"/>
  <c r="D606" i="1"/>
  <c r="F541" i="1"/>
  <c r="E541" i="1"/>
  <c r="F477" i="1"/>
  <c r="D477" i="1"/>
  <c r="E451" i="1"/>
  <c r="F439" i="1"/>
  <c r="E439" i="1"/>
  <c r="D439" i="1"/>
  <c r="F426" i="1"/>
  <c r="E426" i="1"/>
  <c r="E413" i="1"/>
  <c r="F413" i="1"/>
  <c r="D413" i="1"/>
  <c r="F399" i="1"/>
  <c r="E399" i="1"/>
  <c r="E383" i="1"/>
  <c r="F383" i="1"/>
  <c r="D383" i="1"/>
  <c r="F370" i="1"/>
  <c r="D370" i="1"/>
  <c r="E370" i="1"/>
  <c r="E355" i="1"/>
  <c r="D355" i="1"/>
  <c r="F355" i="1"/>
  <c r="E340" i="1"/>
  <c r="F340" i="1"/>
  <c r="E295" i="1"/>
  <c r="F295" i="1"/>
  <c r="D295" i="1"/>
  <c r="F280" i="1"/>
  <c r="D280" i="1"/>
  <c r="E280" i="1"/>
  <c r="F253" i="1"/>
  <c r="E253" i="1"/>
  <c r="F224" i="1"/>
  <c r="E224" i="1"/>
  <c r="D224" i="1"/>
  <c r="F198" i="1"/>
  <c r="D198" i="1"/>
  <c r="E198" i="1"/>
  <c r="F184" i="1"/>
  <c r="E184" i="1"/>
  <c r="D184" i="1"/>
  <c r="F169" i="1"/>
  <c r="E169" i="1"/>
  <c r="F125" i="1"/>
  <c r="E125" i="1"/>
  <c r="E96" i="1"/>
  <c r="F96" i="1"/>
  <c r="D96" i="1"/>
  <c r="F55" i="1"/>
  <c r="E55" i="1"/>
  <c r="D55" i="1"/>
  <c r="F23" i="1"/>
  <c r="E23" i="1"/>
  <c r="D876" i="1"/>
  <c r="D764" i="1"/>
  <c r="D683" i="1"/>
  <c r="D541" i="1"/>
  <c r="D427" i="1"/>
  <c r="D313" i="1"/>
  <c r="E891" i="1"/>
  <c r="E204" i="1"/>
  <c r="F211" i="1"/>
  <c r="E835" i="1"/>
  <c r="F835" i="1"/>
  <c r="E591" i="1"/>
  <c r="F591" i="1"/>
  <c r="F354" i="1"/>
  <c r="E354" i="1"/>
  <c r="F68" i="1"/>
  <c r="D68" i="1"/>
  <c r="D770" i="1"/>
  <c r="F770" i="1"/>
  <c r="D513" i="1"/>
  <c r="F475" i="1"/>
  <c r="D475" i="1"/>
  <c r="E475" i="1"/>
  <c r="F437" i="1"/>
  <c r="D437" i="1"/>
  <c r="E437" i="1"/>
  <c r="E251" i="1"/>
  <c r="F251" i="1"/>
  <c r="D251" i="1"/>
  <c r="F181" i="1"/>
  <c r="D181" i="1"/>
  <c r="E181" i="1"/>
  <c r="E94" i="1"/>
  <c r="F94" i="1"/>
  <c r="D94" i="1"/>
  <c r="F609" i="1"/>
  <c r="F859" i="1"/>
  <c r="E859" i="1"/>
  <c r="F731" i="1"/>
  <c r="E731" i="1"/>
  <c r="F563" i="1"/>
  <c r="E563" i="1"/>
  <c r="E487" i="1"/>
  <c r="F487" i="1"/>
  <c r="D487" i="1"/>
  <c r="E381" i="1"/>
  <c r="F381" i="1"/>
  <c r="D381" i="1"/>
  <c r="F352" i="1"/>
  <c r="D352" i="1"/>
  <c r="E352" i="1"/>
  <c r="F336" i="1"/>
  <c r="E336" i="1"/>
  <c r="D336" i="1"/>
  <c r="F308" i="1"/>
  <c r="D308" i="1"/>
  <c r="E308" i="1"/>
  <c r="F276" i="1"/>
  <c r="E276" i="1"/>
  <c r="D276" i="1"/>
  <c r="E263" i="1"/>
  <c r="D263" i="1"/>
  <c r="F263" i="1"/>
  <c r="F250" i="1"/>
  <c r="D250" i="1"/>
  <c r="E250" i="1"/>
  <c r="F221" i="1"/>
  <c r="D221" i="1"/>
  <c r="E221" i="1"/>
  <c r="E208" i="1"/>
  <c r="D208" i="1"/>
  <c r="F208" i="1"/>
  <c r="F195" i="1"/>
  <c r="E195" i="1"/>
  <c r="F66" i="1"/>
  <c r="E66" i="1"/>
  <c r="F36" i="1"/>
  <c r="D36" i="1"/>
  <c r="E36" i="1"/>
  <c r="F20" i="1"/>
  <c r="E20" i="1"/>
  <c r="D835" i="1"/>
  <c r="D634" i="1"/>
  <c r="D531" i="1"/>
  <c r="D354" i="1"/>
  <c r="D154" i="1"/>
  <c r="E770" i="1"/>
  <c r="F896" i="1"/>
  <c r="F883" i="1"/>
  <c r="E883" i="1"/>
  <c r="F846" i="1"/>
  <c r="E846" i="1"/>
  <c r="F808" i="1"/>
  <c r="D808" i="1"/>
  <c r="F781" i="1"/>
  <c r="F769" i="1"/>
  <c r="D769" i="1"/>
  <c r="E730" i="1"/>
  <c r="F680" i="1"/>
  <c r="F668" i="1"/>
  <c r="E668" i="1"/>
  <c r="F602" i="1"/>
  <c r="E602" i="1"/>
  <c r="D602" i="1"/>
  <c r="F589" i="1"/>
  <c r="E589" i="1"/>
  <c r="D589" i="1"/>
  <c r="F499" i="1"/>
  <c r="E499" i="1"/>
  <c r="D499" i="1"/>
  <c r="F486" i="1"/>
  <c r="E486" i="1"/>
  <c r="F474" i="1"/>
  <c r="D474" i="1"/>
  <c r="F436" i="1"/>
  <c r="E436" i="1"/>
  <c r="D366" i="1"/>
  <c r="E366" i="1"/>
  <c r="F366" i="1"/>
  <c r="F351" i="1"/>
  <c r="F307" i="1"/>
  <c r="E307" i="1"/>
  <c r="D307" i="1"/>
  <c r="F291" i="1"/>
  <c r="E291" i="1"/>
  <c r="D291" i="1"/>
  <c r="E207" i="1"/>
  <c r="D207" i="1"/>
  <c r="F207" i="1"/>
  <c r="F194" i="1"/>
  <c r="E194" i="1"/>
  <c r="D194" i="1"/>
  <c r="E107" i="1"/>
  <c r="F107" i="1"/>
  <c r="D107" i="1"/>
  <c r="F65" i="1"/>
  <c r="E65" i="1"/>
  <c r="D65" i="1"/>
  <c r="F51" i="1"/>
  <c r="D51" i="1"/>
  <c r="E51" i="1"/>
  <c r="F19" i="1"/>
  <c r="E19" i="1"/>
  <c r="D673" i="1"/>
  <c r="D530" i="1"/>
  <c r="D480" i="1"/>
  <c r="D351" i="1"/>
  <c r="E769" i="1"/>
  <c r="F577" i="1"/>
  <c r="D577" i="1"/>
  <c r="E577" i="1"/>
  <c r="E382" i="1"/>
  <c r="F382" i="1"/>
  <c r="D382" i="1"/>
  <c r="F237" i="1"/>
  <c r="E237" i="1"/>
  <c r="D237" i="1"/>
  <c r="F167" i="1"/>
  <c r="E167" i="1"/>
  <c r="F109" i="1"/>
  <c r="D109" i="1"/>
  <c r="E109" i="1"/>
  <c r="F796" i="1"/>
  <c r="E796" i="1"/>
  <c r="D796" i="1"/>
  <c r="F67" i="1"/>
  <c r="D67" i="1"/>
  <c r="F897" i="1"/>
  <c r="D897" i="1"/>
  <c r="E897" i="1"/>
  <c r="F756" i="1"/>
  <c r="E756" i="1"/>
  <c r="D756" i="1"/>
  <c r="E895" i="1"/>
  <c r="F895" i="1"/>
  <c r="F845" i="1"/>
  <c r="F768" i="1"/>
  <c r="E768" i="1"/>
  <c r="F743" i="1"/>
  <c r="E743" i="1"/>
  <c r="D743" i="1"/>
  <c r="F716" i="1"/>
  <c r="D716" i="1"/>
  <c r="F667" i="1"/>
  <c r="E601" i="1"/>
  <c r="F601" i="1"/>
  <c r="D601" i="1"/>
  <c r="F588" i="1"/>
  <c r="F562" i="1"/>
  <c r="E562" i="1"/>
  <c r="F498" i="1"/>
  <c r="D498" i="1"/>
  <c r="E498" i="1"/>
  <c r="F448" i="1"/>
  <c r="E448" i="1"/>
  <c r="D448" i="1"/>
  <c r="F435" i="1"/>
  <c r="D435" i="1"/>
  <c r="E435" i="1"/>
  <c r="F365" i="1"/>
  <c r="E365" i="1"/>
  <c r="F306" i="1"/>
  <c r="D306" i="1"/>
  <c r="E306" i="1"/>
  <c r="F290" i="1"/>
  <c r="E290" i="1"/>
  <c r="F220" i="1"/>
  <c r="D220" i="1"/>
  <c r="E220" i="1"/>
  <c r="F150" i="1"/>
  <c r="E150" i="1"/>
  <c r="D150" i="1"/>
  <c r="F135" i="1"/>
  <c r="D135" i="1"/>
  <c r="F78" i="1"/>
  <c r="E78" i="1"/>
  <c r="D78" i="1"/>
  <c r="F64" i="1"/>
  <c r="E64" i="1"/>
  <c r="F35" i="1"/>
  <c r="D35" i="1"/>
  <c r="E35" i="1"/>
  <c r="F18" i="1"/>
  <c r="E18" i="1"/>
  <c r="D711" i="1"/>
  <c r="D668" i="1"/>
  <c r="E877" i="1"/>
  <c r="E341" i="1"/>
  <c r="E140" i="1"/>
  <c r="F885" i="1"/>
  <c r="E885" i="1"/>
  <c r="D885" i="1"/>
  <c r="F438" i="1"/>
  <c r="E438" i="1"/>
  <c r="E138" i="1"/>
  <c r="D138" i="1"/>
  <c r="F138" i="1"/>
  <c r="F669" i="1"/>
  <c r="D669" i="1"/>
  <c r="F500" i="1"/>
  <c r="E500" i="1"/>
  <c r="D500" i="1"/>
  <c r="F424" i="1"/>
  <c r="E424" i="1"/>
  <c r="D353" i="1"/>
  <c r="E353" i="1"/>
  <c r="F353" i="1"/>
  <c r="D292" i="1"/>
  <c r="E292" i="1"/>
  <c r="F209" i="1"/>
  <c r="D209" i="1"/>
  <c r="E166" i="1"/>
  <c r="F166" i="1"/>
  <c r="D166" i="1"/>
  <c r="E52" i="1"/>
  <c r="D52" i="1"/>
  <c r="F537" i="1"/>
  <c r="E537" i="1"/>
  <c r="D367" i="1"/>
  <c r="E367" i="1"/>
  <c r="F367" i="1"/>
  <c r="E322" i="1"/>
  <c r="F322" i="1"/>
  <c r="F894" i="1"/>
  <c r="E894" i="1"/>
  <c r="D894" i="1"/>
  <c r="F844" i="1"/>
  <c r="E844" i="1"/>
  <c r="E832" i="1"/>
  <c r="D832" i="1"/>
  <c r="F832" i="1"/>
  <c r="F819" i="1"/>
  <c r="E819" i="1"/>
  <c r="D819" i="1"/>
  <c r="F794" i="1"/>
  <c r="E794" i="1"/>
  <c r="D794" i="1"/>
  <c r="D767" i="1"/>
  <c r="F767" i="1"/>
  <c r="E767" i="1"/>
  <c r="F742" i="1"/>
  <c r="E742" i="1"/>
  <c r="E715" i="1"/>
  <c r="F715" i="1"/>
  <c r="F703" i="1"/>
  <c r="D703" i="1"/>
  <c r="E703" i="1"/>
  <c r="E691" i="1"/>
  <c r="F691" i="1"/>
  <c r="F666" i="1"/>
  <c r="D666" i="1"/>
  <c r="E653" i="1"/>
  <c r="F653" i="1"/>
  <c r="D653" i="1"/>
  <c r="F640" i="1"/>
  <c r="D640" i="1"/>
  <c r="E640" i="1"/>
  <c r="F627" i="1"/>
  <c r="E627" i="1"/>
  <c r="D627" i="1"/>
  <c r="F614" i="1"/>
  <c r="E614" i="1"/>
  <c r="D614" i="1"/>
  <c r="D561" i="1"/>
  <c r="F561" i="1"/>
  <c r="E561" i="1"/>
  <c r="F535" i="1"/>
  <c r="D535" i="1"/>
  <c r="F497" i="1"/>
  <c r="E497" i="1"/>
  <c r="D497" i="1"/>
  <c r="F447" i="1"/>
  <c r="E447" i="1"/>
  <c r="D447" i="1"/>
  <c r="E434" i="1"/>
  <c r="F434" i="1"/>
  <c r="D434" i="1"/>
  <c r="F421" i="1"/>
  <c r="E421" i="1"/>
  <c r="D421" i="1"/>
  <c r="D409" i="1"/>
  <c r="E409" i="1"/>
  <c r="F409" i="1"/>
  <c r="F394" i="1"/>
  <c r="E394" i="1"/>
  <c r="D394" i="1"/>
  <c r="F379" i="1"/>
  <c r="E379" i="1"/>
  <c r="D379" i="1"/>
  <c r="F364" i="1"/>
  <c r="E364" i="1"/>
  <c r="D364" i="1"/>
  <c r="F334" i="1"/>
  <c r="E334" i="1"/>
  <c r="D334" i="1"/>
  <c r="F305" i="1"/>
  <c r="E305" i="1"/>
  <c r="D305" i="1"/>
  <c r="F289" i="1"/>
  <c r="E289" i="1"/>
  <c r="E274" i="1"/>
  <c r="F274" i="1"/>
  <c r="D274" i="1"/>
  <c r="F234" i="1"/>
  <c r="E234" i="1"/>
  <c r="F219" i="1"/>
  <c r="E219" i="1"/>
  <c r="D219" i="1"/>
  <c r="E164" i="1"/>
  <c r="F164" i="1"/>
  <c r="D164" i="1"/>
  <c r="F149" i="1"/>
  <c r="E149" i="1"/>
  <c r="D149" i="1"/>
  <c r="F134" i="1"/>
  <c r="E134" i="1"/>
  <c r="F120" i="1"/>
  <c r="E120" i="1"/>
  <c r="D120" i="1"/>
  <c r="F77" i="1"/>
  <c r="E77" i="1"/>
  <c r="D77" i="1"/>
  <c r="F63" i="1"/>
  <c r="E63" i="1"/>
  <c r="F17" i="1"/>
  <c r="D17" i="1"/>
  <c r="E17" i="1"/>
  <c r="D827" i="1"/>
  <c r="D710" i="1"/>
  <c r="D667" i="1"/>
  <c r="D468" i="1"/>
  <c r="D343" i="1"/>
  <c r="D134" i="1"/>
  <c r="E513" i="1"/>
  <c r="E135" i="1"/>
  <c r="F513" i="1"/>
  <c r="E425" i="1"/>
  <c r="F425" i="1"/>
  <c r="F278" i="1"/>
  <c r="D278" i="1"/>
  <c r="E196" i="1"/>
  <c r="F196" i="1"/>
  <c r="F22" i="1"/>
  <c r="E22" i="1"/>
  <c r="D22" i="1"/>
  <c r="F847" i="1"/>
  <c r="F705" i="1"/>
  <c r="E705" i="1"/>
  <c r="F337" i="1"/>
  <c r="E337" i="1"/>
  <c r="D337" i="1"/>
  <c r="D137" i="1"/>
  <c r="E137" i="1"/>
  <c r="F137" i="1"/>
  <c r="D782" i="1"/>
  <c r="E782" i="1"/>
  <c r="F603" i="1"/>
  <c r="E603" i="1"/>
  <c r="D603" i="1"/>
  <c r="F423" i="1"/>
  <c r="E423" i="1"/>
  <c r="F136" i="1"/>
  <c r="D136" i="1"/>
  <c r="E136" i="1"/>
  <c r="F857" i="1"/>
  <c r="E857" i="1"/>
  <c r="F806" i="1"/>
  <c r="F793" i="1"/>
  <c r="E793" i="1"/>
  <c r="F728" i="1"/>
  <c r="D728" i="1"/>
  <c r="E728" i="1"/>
  <c r="F652" i="1"/>
  <c r="E652" i="1"/>
  <c r="D652" i="1"/>
  <c r="E560" i="1"/>
  <c r="D560" i="1"/>
  <c r="F560" i="1"/>
  <c r="E548" i="1"/>
  <c r="F548" i="1"/>
  <c r="F510" i="1"/>
  <c r="E510" i="1"/>
  <c r="F393" i="1"/>
  <c r="E393" i="1"/>
  <c r="D393" i="1"/>
  <c r="F378" i="1"/>
  <c r="E378" i="1"/>
  <c r="E363" i="1"/>
  <c r="F363" i="1"/>
  <c r="D363" i="1"/>
  <c r="F288" i="1"/>
  <c r="E288" i="1"/>
  <c r="F248" i="1"/>
  <c r="D248" i="1"/>
  <c r="E248" i="1"/>
  <c r="F218" i="1"/>
  <c r="E218" i="1"/>
  <c r="F192" i="1"/>
  <c r="D192" i="1"/>
  <c r="E192" i="1"/>
  <c r="E163" i="1"/>
  <c r="F163" i="1"/>
  <c r="E148" i="1"/>
  <c r="F148" i="1"/>
  <c r="D148" i="1"/>
  <c r="E133" i="1"/>
  <c r="F133" i="1"/>
  <c r="D133" i="1"/>
  <c r="E91" i="1"/>
  <c r="F91" i="1"/>
  <c r="D91" i="1"/>
  <c r="F49" i="1"/>
  <c r="E49" i="1"/>
  <c r="D49" i="1"/>
  <c r="F16" i="1"/>
  <c r="E16" i="1"/>
  <c r="D896" i="1"/>
  <c r="D788" i="1"/>
  <c r="D708" i="1"/>
  <c r="D569" i="1"/>
  <c r="D403" i="1"/>
  <c r="D284" i="1"/>
  <c r="D57" i="1"/>
  <c r="F719" i="1"/>
  <c r="E719" i="1"/>
  <c r="F552" i="1"/>
  <c r="D552" i="1"/>
  <c r="E552" i="1"/>
  <c r="D450" i="1"/>
  <c r="F450" i="1"/>
  <c r="E450" i="1"/>
  <c r="F323" i="1"/>
  <c r="E323" i="1"/>
  <c r="D323" i="1"/>
  <c r="F81" i="1"/>
  <c r="E81" i="1"/>
  <c r="D81" i="1"/>
  <c r="D834" i="1"/>
  <c r="F834" i="1"/>
  <c r="E834" i="1"/>
  <c r="E604" i="1"/>
  <c r="D604" i="1"/>
  <c r="E397" i="1"/>
  <c r="F397" i="1"/>
  <c r="F222" i="1"/>
  <c r="D222" i="1"/>
  <c r="E222" i="1"/>
  <c r="F616" i="1"/>
  <c r="E616" i="1"/>
  <c r="D512" i="1"/>
  <c r="E512" i="1"/>
  <c r="F512" i="1"/>
  <c r="E411" i="1"/>
  <c r="D411" i="1"/>
  <c r="F411" i="1"/>
  <c r="E151" i="1"/>
  <c r="F151" i="1"/>
  <c r="D151" i="1"/>
  <c r="F5" i="1"/>
  <c r="E5" i="1"/>
  <c r="D893" i="1"/>
  <c r="F893" i="1"/>
  <c r="E893" i="1"/>
  <c r="F856" i="1"/>
  <c r="D856" i="1"/>
  <c r="F818" i="1"/>
  <c r="E818" i="1"/>
  <c r="D818" i="1"/>
  <c r="D766" i="1"/>
  <c r="F766" i="1"/>
  <c r="E727" i="1"/>
  <c r="E677" i="1"/>
  <c r="F677" i="1"/>
  <c r="D677" i="1"/>
  <c r="E573" i="1"/>
  <c r="F573" i="1"/>
  <c r="D573" i="1"/>
  <c r="F559" i="1"/>
  <c r="D559" i="1"/>
  <c r="E559" i="1"/>
  <c r="F547" i="1"/>
  <c r="E547" i="1"/>
  <c r="D547" i="1"/>
  <c r="F534" i="1"/>
  <c r="E509" i="1"/>
  <c r="F509" i="1"/>
  <c r="D509" i="1"/>
  <c r="F496" i="1"/>
  <c r="D496" i="1"/>
  <c r="E496" i="1"/>
  <c r="F459" i="1"/>
  <c r="E459" i="1"/>
  <c r="D459" i="1"/>
  <c r="E446" i="1"/>
  <c r="F446" i="1"/>
  <c r="D446" i="1"/>
  <c r="F433" i="1"/>
  <c r="D433" i="1"/>
  <c r="E433" i="1"/>
  <c r="F420" i="1"/>
  <c r="E420" i="1"/>
  <c r="D420" i="1"/>
  <c r="D408" i="1"/>
  <c r="F408" i="1"/>
  <c r="D392" i="1"/>
  <c r="F392" i="1"/>
  <c r="E392" i="1"/>
  <c r="F377" i="1"/>
  <c r="E377" i="1"/>
  <c r="F362" i="1"/>
  <c r="E362" i="1"/>
  <c r="D362" i="1"/>
  <c r="F304" i="1"/>
  <c r="D304" i="1"/>
  <c r="E304" i="1"/>
  <c r="F287" i="1"/>
  <c r="D287" i="1"/>
  <c r="E287" i="1"/>
  <c r="F247" i="1"/>
  <c r="D247" i="1"/>
  <c r="E247" i="1"/>
  <c r="E217" i="1"/>
  <c r="F217" i="1"/>
  <c r="F191" i="1"/>
  <c r="E191" i="1"/>
  <c r="D178" i="1"/>
  <c r="F178" i="1"/>
  <c r="E178" i="1"/>
  <c r="F162" i="1"/>
  <c r="E162" i="1"/>
  <c r="E147" i="1"/>
  <c r="F147" i="1"/>
  <c r="D147" i="1"/>
  <c r="F132" i="1"/>
  <c r="D132" i="1"/>
  <c r="E132" i="1"/>
  <c r="F119" i="1"/>
  <c r="E119" i="1"/>
  <c r="D119" i="1"/>
  <c r="F90" i="1"/>
  <c r="E90" i="1"/>
  <c r="F62" i="1"/>
  <c r="E62" i="1"/>
  <c r="D62" i="1"/>
  <c r="E48" i="1"/>
  <c r="D895" i="1"/>
  <c r="D859" i="1"/>
  <c r="D824" i="1"/>
  <c r="D568" i="1"/>
  <c r="D515" i="1"/>
  <c r="D401" i="1"/>
  <c r="D341" i="1"/>
  <c r="D281" i="1"/>
  <c r="D48" i="1"/>
  <c r="E634" i="1"/>
  <c r="E478" i="1"/>
  <c r="E325" i="1"/>
  <c r="E114" i="1"/>
  <c r="F465" i="1"/>
  <c r="F757" i="1"/>
  <c r="E757" i="1"/>
  <c r="F539" i="1"/>
  <c r="E539" i="1"/>
  <c r="D539" i="1"/>
  <c r="D412" i="1"/>
  <c r="F412" i="1"/>
  <c r="E412" i="1"/>
  <c r="E293" i="1"/>
  <c r="F821" i="1"/>
  <c r="E821" i="1"/>
  <c r="D718" i="1"/>
  <c r="D693" i="1"/>
  <c r="E693" i="1"/>
  <c r="F642" i="1"/>
  <c r="D642" i="1"/>
  <c r="E642" i="1"/>
  <c r="F277" i="1"/>
  <c r="E277" i="1"/>
  <c r="D277" i="1"/>
  <c r="F37" i="1"/>
  <c r="E37" i="1"/>
  <c r="D37" i="1"/>
  <c r="F21" i="1"/>
  <c r="E21" i="1"/>
  <c r="D719" i="1"/>
  <c r="D424" i="1"/>
  <c r="D717" i="1"/>
  <c r="F576" i="1"/>
  <c r="E576" i="1"/>
  <c r="D576" i="1"/>
  <c r="E396" i="1"/>
  <c r="F396" i="1"/>
  <c r="D396" i="1"/>
  <c r="F93" i="1"/>
  <c r="D93" i="1"/>
  <c r="E93" i="1"/>
  <c r="E892" i="1"/>
  <c r="D892" i="1"/>
  <c r="F892" i="1"/>
  <c r="F880" i="1"/>
  <c r="F868" i="1"/>
  <c r="E868" i="1"/>
  <c r="E855" i="1"/>
  <c r="F855" i="1"/>
  <c r="F842" i="1"/>
  <c r="E842" i="1"/>
  <c r="D842" i="1"/>
  <c r="F830" i="1"/>
  <c r="E830" i="1"/>
  <c r="E817" i="1"/>
  <c r="F817" i="1"/>
  <c r="D817" i="1"/>
  <c r="F753" i="1"/>
  <c r="E753" i="1"/>
  <c r="F740" i="1"/>
  <c r="E740" i="1"/>
  <c r="D740" i="1"/>
  <c r="F726" i="1"/>
  <c r="E726" i="1"/>
  <c r="F676" i="1"/>
  <c r="E676" i="1"/>
  <c r="D676" i="1"/>
  <c r="F638" i="1"/>
  <c r="D638" i="1"/>
  <c r="F625" i="1"/>
  <c r="E625" i="1"/>
  <c r="D625" i="1"/>
  <c r="E612" i="1"/>
  <c r="D612" i="1"/>
  <c r="F612" i="1"/>
  <c r="E572" i="1"/>
  <c r="D572" i="1"/>
  <c r="F572" i="1"/>
  <c r="E522" i="1"/>
  <c r="F522" i="1"/>
  <c r="D522" i="1"/>
  <c r="E508" i="1"/>
  <c r="F508" i="1"/>
  <c r="E483" i="1"/>
  <c r="F483" i="1"/>
  <c r="F471" i="1"/>
  <c r="D471" i="1"/>
  <c r="F458" i="1"/>
  <c r="E458" i="1"/>
  <c r="E445" i="1"/>
  <c r="F445" i="1"/>
  <c r="D445" i="1"/>
  <c r="E407" i="1"/>
  <c r="F407" i="1"/>
  <c r="D407" i="1"/>
  <c r="F376" i="1"/>
  <c r="E376" i="1"/>
  <c r="D376" i="1"/>
  <c r="F348" i="1"/>
  <c r="E348" i="1"/>
  <c r="D348" i="1"/>
  <c r="D332" i="1"/>
  <c r="F332" i="1"/>
  <c r="E332" i="1"/>
  <c r="F319" i="1"/>
  <c r="E319" i="1"/>
  <c r="F303" i="1"/>
  <c r="D303" i="1"/>
  <c r="E303" i="1"/>
  <c r="F286" i="1"/>
  <c r="D286" i="1"/>
  <c r="E286" i="1"/>
  <c r="F272" i="1"/>
  <c r="D272" i="1"/>
  <c r="F260" i="1"/>
  <c r="E260" i="1"/>
  <c r="F246" i="1"/>
  <c r="D246" i="1"/>
  <c r="E246" i="1"/>
  <c r="D232" i="1"/>
  <c r="E232" i="1"/>
  <c r="F232" i="1"/>
  <c r="F216" i="1"/>
  <c r="E216" i="1"/>
  <c r="D216" i="1"/>
  <c r="F204" i="1"/>
  <c r="D177" i="1"/>
  <c r="F177" i="1"/>
  <c r="E177" i="1"/>
  <c r="F146" i="1"/>
  <c r="E146" i="1"/>
  <c r="F104" i="1"/>
  <c r="E104" i="1"/>
  <c r="F89" i="1"/>
  <c r="E89" i="1"/>
  <c r="E75" i="1"/>
  <c r="F75" i="1"/>
  <c r="D75" i="1"/>
  <c r="F61" i="1"/>
  <c r="E61" i="1"/>
  <c r="D61" i="1"/>
  <c r="E47" i="1"/>
  <c r="F47" i="1"/>
  <c r="D32" i="1"/>
  <c r="E32" i="1"/>
  <c r="F32" i="1"/>
  <c r="F15" i="1"/>
  <c r="D15" i="1"/>
  <c r="E15" i="1"/>
  <c r="D823" i="1"/>
  <c r="D705" i="1"/>
  <c r="D616" i="1"/>
  <c r="D566" i="1"/>
  <c r="D340" i="1"/>
  <c r="D196" i="1"/>
  <c r="D128" i="1"/>
  <c r="D47" i="1"/>
  <c r="E762" i="1"/>
  <c r="E477" i="1"/>
  <c r="E113" i="1"/>
  <c r="F798" i="1"/>
  <c r="F617" i="1"/>
  <c r="D617" i="1"/>
  <c r="E617" i="1"/>
  <c r="E369" i="1"/>
  <c r="F369" i="1"/>
  <c r="D369" i="1"/>
  <c r="F123" i="1"/>
  <c r="E123" i="1"/>
  <c r="D809" i="1"/>
  <c r="E809" i="1"/>
  <c r="F655" i="1"/>
  <c r="E655" i="1"/>
  <c r="D655" i="1"/>
  <c r="F264" i="1"/>
  <c r="E264" i="1"/>
  <c r="D264" i="1"/>
  <c r="F590" i="1"/>
  <c r="E590" i="1"/>
  <c r="F525" i="1"/>
  <c r="D525" i="1"/>
  <c r="F449" i="1"/>
  <c r="E449" i="1"/>
  <c r="D791" i="1"/>
  <c r="F791" i="1"/>
  <c r="E791" i="1"/>
  <c r="F752" i="1"/>
  <c r="E752" i="1"/>
  <c r="D752" i="1"/>
  <c r="F739" i="1"/>
  <c r="E739" i="1"/>
  <c r="D739" i="1"/>
  <c r="F701" i="1"/>
  <c r="E701" i="1"/>
  <c r="D701" i="1"/>
  <c r="F689" i="1"/>
  <c r="D689" i="1"/>
  <c r="E689" i="1"/>
  <c r="F624" i="1"/>
  <c r="E624" i="1"/>
  <c r="D624" i="1"/>
  <c r="F598" i="1"/>
  <c r="E598" i="1"/>
  <c r="D598" i="1"/>
  <c r="F585" i="1"/>
  <c r="F558" i="1"/>
  <c r="E558" i="1"/>
  <c r="E507" i="1"/>
  <c r="F495" i="1"/>
  <c r="E495" i="1"/>
  <c r="F457" i="1"/>
  <c r="E457" i="1"/>
  <c r="F444" i="1"/>
  <c r="D444" i="1"/>
  <c r="E444" i="1"/>
  <c r="D432" i="1"/>
  <c r="E432" i="1"/>
  <c r="F432" i="1"/>
  <c r="E406" i="1"/>
  <c r="F406" i="1"/>
  <c r="F391" i="1"/>
  <c r="D391" i="1"/>
  <c r="F347" i="1"/>
  <c r="E347" i="1"/>
  <c r="E318" i="1"/>
  <c r="F318" i="1"/>
  <c r="D318" i="1"/>
  <c r="E302" i="1"/>
  <c r="F302" i="1"/>
  <c r="D302" i="1"/>
  <c r="F231" i="1"/>
  <c r="E231" i="1"/>
  <c r="F161" i="1"/>
  <c r="E161" i="1"/>
  <c r="D161" i="1"/>
  <c r="E118" i="1"/>
  <c r="D118" i="1"/>
  <c r="F118" i="1"/>
  <c r="F103" i="1"/>
  <c r="D103" i="1"/>
  <c r="E103" i="1"/>
  <c r="E31" i="1"/>
  <c r="F31" i="1"/>
  <c r="D31" i="1"/>
  <c r="D857" i="1"/>
  <c r="D781" i="1"/>
  <c r="D742" i="1"/>
  <c r="D659" i="1"/>
  <c r="D510" i="1"/>
  <c r="D458" i="1"/>
  <c r="D399" i="1"/>
  <c r="D195" i="1"/>
  <c r="D127" i="1"/>
  <c r="D26" i="1"/>
  <c r="E847" i="1"/>
  <c r="E474" i="1"/>
  <c r="E111" i="1"/>
  <c r="F860" i="1"/>
  <c r="E860" i="1"/>
  <c r="D860" i="1"/>
  <c r="E732" i="1"/>
  <c r="D732" i="1"/>
  <c r="F732" i="1"/>
  <c r="F265" i="1"/>
  <c r="E265" i="1"/>
  <c r="D265" i="1"/>
  <c r="F236" i="1"/>
  <c r="E236" i="1"/>
  <c r="D236" i="1"/>
  <c r="F891" i="1"/>
  <c r="F879" i="1"/>
  <c r="F867" i="1"/>
  <c r="E867" i="1"/>
  <c r="F841" i="1"/>
  <c r="E841" i="1"/>
  <c r="D841" i="1"/>
  <c r="D829" i="1"/>
  <c r="F829" i="1"/>
  <c r="E829" i="1"/>
  <c r="F816" i="1"/>
  <c r="F803" i="1"/>
  <c r="F790" i="1"/>
  <c r="E790" i="1"/>
  <c r="D790" i="1"/>
  <c r="E751" i="1"/>
  <c r="F751" i="1"/>
  <c r="F738" i="1"/>
  <c r="E738" i="1"/>
  <c r="F725" i="1"/>
  <c r="E725" i="1"/>
  <c r="D725" i="1"/>
  <c r="F700" i="1"/>
  <c r="E700" i="1"/>
  <c r="D700" i="1"/>
  <c r="F688" i="1"/>
  <c r="F675" i="1"/>
  <c r="E675" i="1"/>
  <c r="E623" i="1"/>
  <c r="F623" i="1"/>
  <c r="D623" i="1"/>
  <c r="E611" i="1"/>
  <c r="F611" i="1"/>
  <c r="F597" i="1"/>
  <c r="E597" i="1"/>
  <c r="D597" i="1"/>
  <c r="F584" i="1"/>
  <c r="E584" i="1"/>
  <c r="F557" i="1"/>
  <c r="E557" i="1"/>
  <c r="F506" i="1"/>
  <c r="E506" i="1"/>
  <c r="F494" i="1"/>
  <c r="E494" i="1"/>
  <c r="D494" i="1"/>
  <c r="F482" i="1"/>
  <c r="E482" i="1"/>
  <c r="F470" i="1"/>
  <c r="E470" i="1"/>
  <c r="D470" i="1"/>
  <c r="F456" i="1"/>
  <c r="D456" i="1"/>
  <c r="E443" i="1"/>
  <c r="F443" i="1"/>
  <c r="F431" i="1"/>
  <c r="E431" i="1"/>
  <c r="D405" i="1"/>
  <c r="F405" i="1"/>
  <c r="E390" i="1"/>
  <c r="D390" i="1"/>
  <c r="F390" i="1"/>
  <c r="D346" i="1"/>
  <c r="F346" i="1"/>
  <c r="F331" i="1"/>
  <c r="E331" i="1"/>
  <c r="D331" i="1"/>
  <c r="E317" i="1"/>
  <c r="F317" i="1"/>
  <c r="F301" i="1"/>
  <c r="E301" i="1"/>
  <c r="E285" i="1"/>
  <c r="D285" i="1"/>
  <c r="F285" i="1"/>
  <c r="F271" i="1"/>
  <c r="E271" i="1"/>
  <c r="D271" i="1"/>
  <c r="F259" i="1"/>
  <c r="E259" i="1"/>
  <c r="F245" i="1"/>
  <c r="D245" i="1"/>
  <c r="E245" i="1"/>
  <c r="E230" i="1"/>
  <c r="F230" i="1"/>
  <c r="F215" i="1"/>
  <c r="E215" i="1"/>
  <c r="D215" i="1"/>
  <c r="F160" i="1"/>
  <c r="E160" i="1"/>
  <c r="D160" i="1"/>
  <c r="E145" i="1"/>
  <c r="F145" i="1"/>
  <c r="D145" i="1"/>
  <c r="D117" i="1"/>
  <c r="F117" i="1"/>
  <c r="F60" i="1"/>
  <c r="E60" i="1"/>
  <c r="F30" i="1"/>
  <c r="E30" i="1"/>
  <c r="D30" i="1"/>
  <c r="D855" i="1"/>
  <c r="D821" i="1"/>
  <c r="D658" i="1"/>
  <c r="D563" i="1"/>
  <c r="D508" i="1"/>
  <c r="D457" i="1"/>
  <c r="D260" i="1"/>
  <c r="D24" i="1"/>
  <c r="E845" i="1"/>
  <c r="E278" i="1"/>
  <c r="E68" i="1"/>
  <c r="F782" i="1"/>
  <c r="F656" i="1"/>
  <c r="E656" i="1"/>
  <c r="E463" i="1"/>
  <c r="F463" i="1"/>
  <c r="F338" i="1"/>
  <c r="D338" i="1"/>
  <c r="D182" i="1"/>
  <c r="F182" i="1"/>
  <c r="F38" i="1"/>
  <c r="E38" i="1"/>
  <c r="D38" i="1"/>
  <c r="D425" i="1"/>
  <c r="E488" i="1"/>
  <c r="F488" i="1"/>
  <c r="F368" i="1"/>
  <c r="E368" i="1"/>
  <c r="E122" i="1"/>
  <c r="F122" i="1"/>
  <c r="D122" i="1"/>
  <c r="D871" i="1"/>
  <c r="E871" i="1"/>
  <c r="E550" i="1"/>
  <c r="F550" i="1"/>
  <c r="D550" i="1"/>
  <c r="F108" i="1"/>
  <c r="D108" i="1"/>
  <c r="E108" i="1"/>
  <c r="F903" i="1"/>
  <c r="E903" i="1"/>
  <c r="E866" i="1"/>
  <c r="F866" i="1"/>
  <c r="F853" i="1"/>
  <c r="D853" i="1"/>
  <c r="F802" i="1"/>
  <c r="E802" i="1"/>
  <c r="D802" i="1"/>
  <c r="E776" i="1"/>
  <c r="F776" i="1"/>
  <c r="F764" i="1"/>
  <c r="F750" i="1"/>
  <c r="E750" i="1"/>
  <c r="F737" i="1"/>
  <c r="F687" i="1"/>
  <c r="E687" i="1"/>
  <c r="F649" i="1"/>
  <c r="E649" i="1"/>
  <c r="E636" i="1"/>
  <c r="F622" i="1"/>
  <c r="D622" i="1"/>
  <c r="E610" i="1"/>
  <c r="F570" i="1"/>
  <c r="E570" i="1"/>
  <c r="D570" i="1"/>
  <c r="E545" i="1"/>
  <c r="F545" i="1"/>
  <c r="D545" i="1"/>
  <c r="K532" i="1"/>
  <c r="D532" i="1"/>
  <c r="E532" i="1"/>
  <c r="F532" i="1"/>
  <c r="F520" i="1"/>
  <c r="E520" i="1"/>
  <c r="D520" i="1"/>
  <c r="F418" i="1"/>
  <c r="E418" i="1"/>
  <c r="D418" i="1"/>
  <c r="F389" i="1"/>
  <c r="D389" i="1"/>
  <c r="F374" i="1"/>
  <c r="E374" i="1"/>
  <c r="F316" i="1"/>
  <c r="E316" i="1"/>
  <c r="E300" i="1"/>
  <c r="F300" i="1"/>
  <c r="D300" i="1"/>
  <c r="E229" i="1"/>
  <c r="D229" i="1"/>
  <c r="F229" i="1"/>
  <c r="F202" i="1"/>
  <c r="D202" i="1"/>
  <c r="E202" i="1"/>
  <c r="F189" i="1"/>
  <c r="E189" i="1"/>
  <c r="F175" i="1"/>
  <c r="E175" i="1"/>
  <c r="F159" i="1"/>
  <c r="E159" i="1"/>
  <c r="D159" i="1"/>
  <c r="E144" i="1"/>
  <c r="F144" i="1"/>
  <c r="D144" i="1"/>
  <c r="F130" i="1"/>
  <c r="E130" i="1"/>
  <c r="E116" i="1"/>
  <c r="D116" i="1"/>
  <c r="F116" i="1"/>
  <c r="F86" i="1"/>
  <c r="E86" i="1"/>
  <c r="F73" i="1"/>
  <c r="D73" i="1"/>
  <c r="E73" i="1"/>
  <c r="F45" i="1"/>
  <c r="D45" i="1"/>
  <c r="F29" i="1"/>
  <c r="D29" i="1"/>
  <c r="E29" i="1"/>
  <c r="F13" i="1"/>
  <c r="D13" i="1"/>
  <c r="E13" i="1"/>
  <c r="D738" i="1"/>
  <c r="D698" i="1"/>
  <c r="D611" i="1"/>
  <c r="D562" i="1"/>
  <c r="D507" i="1"/>
  <c r="D453" i="1"/>
  <c r="D397" i="1"/>
  <c r="D322" i="1"/>
  <c r="D259" i="1"/>
  <c r="D191" i="1"/>
  <c r="D125" i="1"/>
  <c r="D23" i="1"/>
  <c r="E471" i="1"/>
  <c r="E272" i="1"/>
  <c r="E67" i="1"/>
  <c r="F730" i="1"/>
  <c r="F451" i="1"/>
  <c r="F898" i="1"/>
  <c r="E898" i="1"/>
  <c r="F848" i="1"/>
  <c r="D848" i="1"/>
  <c r="D745" i="1"/>
  <c r="F745" i="1"/>
  <c r="E745" i="1"/>
  <c r="F630" i="1"/>
  <c r="E630" i="1"/>
  <c r="D630" i="1"/>
  <c r="F526" i="1"/>
  <c r="D526" i="1"/>
  <c r="F398" i="1"/>
  <c r="E398" i="1"/>
  <c r="F309" i="1"/>
  <c r="E309" i="1"/>
  <c r="D309" i="1"/>
  <c r="D152" i="1"/>
  <c r="E152" i="1"/>
  <c r="F152" i="1"/>
  <c r="F884" i="1"/>
  <c r="E884" i="1"/>
  <c r="D884" i="1"/>
  <c r="E783" i="1"/>
  <c r="F783" i="1"/>
  <c r="E681" i="1"/>
  <c r="F681" i="1"/>
  <c r="E462" i="1"/>
  <c r="D462" i="1"/>
  <c r="F80" i="1"/>
  <c r="E80" i="1"/>
  <c r="D80" i="1"/>
  <c r="F744" i="1"/>
  <c r="E744" i="1"/>
  <c r="F629" i="1"/>
  <c r="D629" i="1"/>
  <c r="F865" i="1"/>
  <c r="E865" i="1"/>
  <c r="F828" i="1"/>
  <c r="D828" i="1"/>
  <c r="E828" i="1"/>
  <c r="E815" i="1"/>
  <c r="F815" i="1"/>
  <c r="D815" i="1"/>
  <c r="F699" i="1"/>
  <c r="E699" i="1"/>
  <c r="D699" i="1"/>
  <c r="D686" i="1"/>
  <c r="F686" i="1"/>
  <c r="F674" i="1"/>
  <c r="E674" i="1"/>
  <c r="D674" i="1"/>
  <c r="E635" i="1"/>
  <c r="F635" i="1"/>
  <c r="F583" i="1"/>
  <c r="D583" i="1"/>
  <c r="F519" i="1"/>
  <c r="E519" i="1"/>
  <c r="D519" i="1"/>
  <c r="F388" i="1"/>
  <c r="D388" i="1"/>
  <c r="E388" i="1"/>
  <c r="E315" i="1"/>
  <c r="F315" i="1"/>
  <c r="F258" i="1"/>
  <c r="E258" i="1"/>
  <c r="D258" i="1"/>
  <c r="F244" i="1"/>
  <c r="D244" i="1"/>
  <c r="E244" i="1"/>
  <c r="F214" i="1"/>
  <c r="D214" i="1"/>
  <c r="F174" i="1"/>
  <c r="E174" i="1"/>
  <c r="D174" i="1"/>
  <c r="F158" i="1"/>
  <c r="E158" i="1"/>
  <c r="D158" i="1"/>
  <c r="F143" i="1"/>
  <c r="D143" i="1"/>
  <c r="F101" i="1"/>
  <c r="E101" i="1"/>
  <c r="E28" i="1"/>
  <c r="F28" i="1"/>
  <c r="D28" i="1"/>
  <c r="D887" i="1"/>
  <c r="D816" i="1"/>
  <c r="D737" i="1"/>
  <c r="D656" i="1"/>
  <c r="D610" i="1"/>
  <c r="D558" i="1"/>
  <c r="D506" i="1"/>
  <c r="D451" i="1"/>
  <c r="D257" i="1"/>
  <c r="D123" i="1"/>
  <c r="D21" i="1"/>
  <c r="E837" i="1"/>
  <c r="E588" i="1"/>
  <c r="E456" i="1"/>
  <c r="F727" i="1"/>
  <c r="F293" i="1"/>
  <c r="F79" i="1"/>
  <c r="E79" i="1"/>
  <c r="D79" i="1"/>
  <c r="E53" i="1"/>
  <c r="D53" i="1"/>
  <c r="F778" i="1"/>
  <c r="E778" i="1"/>
  <c r="E741" i="1"/>
  <c r="F741" i="1"/>
  <c r="F678" i="1"/>
  <c r="E678" i="1"/>
  <c r="F665" i="1"/>
  <c r="D665" i="1"/>
  <c r="F628" i="1"/>
  <c r="E628" i="1"/>
  <c r="E615" i="1"/>
  <c r="E551" i="1"/>
  <c r="F551" i="1"/>
  <c r="F538" i="1"/>
  <c r="D538" i="1"/>
  <c r="E538" i="1"/>
  <c r="F501" i="1"/>
  <c r="F489" i="1"/>
  <c r="E489" i="1"/>
  <c r="F339" i="1"/>
  <c r="E339" i="1"/>
  <c r="F324" i="1"/>
  <c r="D324" i="1"/>
  <c r="E324" i="1"/>
  <c r="F268" i="1"/>
  <c r="E268" i="1"/>
  <c r="E255" i="1"/>
  <c r="F255" i="1"/>
  <c r="F187" i="1"/>
  <c r="D187" i="1"/>
  <c r="D172" i="1"/>
  <c r="F172" i="1"/>
  <c r="F88" i="1"/>
  <c r="E88" i="1"/>
  <c r="E7" i="1"/>
  <c r="D7" i="1"/>
  <c r="F7" i="1"/>
  <c r="D678" i="1"/>
  <c r="D14" i="1"/>
  <c r="E665" i="1"/>
  <c r="F102" i="1"/>
  <c r="E102" i="1"/>
  <c r="F87" i="1"/>
  <c r="E87" i="1"/>
  <c r="E74" i="1"/>
  <c r="F74" i="1"/>
  <c r="D74" i="1"/>
  <c r="E564" i="1"/>
  <c r="E34" i="1"/>
  <c r="D551" i="1"/>
  <c r="D501" i="1"/>
  <c r="F564" i="1"/>
  <c r="E124" i="1"/>
  <c r="D124" i="1"/>
  <c r="F124" i="1"/>
  <c r="F58" i="1"/>
  <c r="E58" i="1"/>
  <c r="D58" i="1"/>
  <c r="F44" i="1"/>
  <c r="D34" i="1"/>
  <c r="F27" i="1"/>
  <c r="E27" i="1"/>
  <c r="D27" i="1"/>
  <c r="F14" i="1"/>
  <c r="D102" i="1"/>
  <c r="F53" i="1"/>
  <c r="T905" i="1"/>
  <c r="AA382" i="1" l="1"/>
  <c r="AA28" i="1"/>
  <c r="AA420" i="1"/>
  <c r="AA796" i="1"/>
  <c r="AA793" i="1"/>
  <c r="AA134" i="1"/>
  <c r="AA709" i="1"/>
  <c r="AA210" i="1"/>
  <c r="AA723" i="1"/>
  <c r="AA804" i="1"/>
  <c r="AA309" i="1"/>
  <c r="AA235" i="1"/>
  <c r="AA41" i="1"/>
  <c r="AA550" i="1"/>
  <c r="AA521" i="1"/>
  <c r="AA21" i="1"/>
  <c r="AA358" i="1"/>
  <c r="AA448" i="1"/>
  <c r="AA882" i="1"/>
  <c r="AA867" i="1"/>
  <c r="AA501" i="1"/>
  <c r="AA293" i="1"/>
  <c r="AA269" i="1"/>
  <c r="AA888" i="1"/>
  <c r="AA626" i="1"/>
  <c r="AA190" i="1"/>
  <c r="AA738" i="1"/>
  <c r="AA835" i="1"/>
  <c r="AA191" i="1"/>
  <c r="AA764" i="1"/>
  <c r="AA385" i="1"/>
  <c r="AA630" i="1"/>
  <c r="AA102" i="1"/>
  <c r="AA559" i="1"/>
  <c r="AA850" i="1"/>
  <c r="AA638" i="1"/>
  <c r="AA307" i="1"/>
  <c r="AA543" i="1"/>
  <c r="AA785" i="1"/>
  <c r="AA327" i="1"/>
  <c r="AA70" i="1"/>
  <c r="AA198" i="1"/>
  <c r="AA523" i="1"/>
  <c r="AA356" i="1"/>
  <c r="AA186" i="1"/>
  <c r="AA110" i="1"/>
  <c r="AA399" i="1"/>
  <c r="AA23" i="1"/>
  <c r="AA664" i="1"/>
  <c r="AA475" i="1"/>
  <c r="AA280" i="1"/>
  <c r="AA319" i="1"/>
  <c r="AA836" i="1"/>
  <c r="AA130" i="1"/>
  <c r="AA890" i="1"/>
  <c r="AA437" i="1"/>
  <c r="AA800" i="1"/>
  <c r="AA678" i="1"/>
  <c r="AA439" i="1"/>
  <c r="AA305" i="1"/>
  <c r="AA564" i="1"/>
  <c r="AA157" i="1"/>
  <c r="AA838" i="1"/>
  <c r="AA328" i="1"/>
  <c r="AA341" i="1"/>
  <c r="AA74" i="1"/>
  <c r="AA408" i="1"/>
  <c r="AA516" i="1"/>
  <c r="AA481" i="1"/>
  <c r="AA412" i="1"/>
  <c r="AA273" i="1"/>
  <c r="AA506" i="1"/>
  <c r="AA325" i="1"/>
  <c r="AA865" i="1"/>
  <c r="AA510" i="1"/>
  <c r="AA128" i="1"/>
  <c r="AA350" i="1"/>
  <c r="AA291" i="1"/>
  <c r="AA891" i="1"/>
  <c r="AA597" i="1"/>
  <c r="AA446" i="1"/>
  <c r="AA726" i="1"/>
  <c r="AA461" i="1"/>
  <c r="AA265" i="1"/>
  <c r="AA113" i="1"/>
  <c r="AA117" i="1"/>
  <c r="AA344" i="1"/>
  <c r="AA310" i="1"/>
  <c r="AA712" i="1"/>
  <c r="AA438" i="1"/>
  <c r="AA747" i="1"/>
  <c r="AA409" i="1"/>
  <c r="AA829" i="1"/>
  <c r="AA72" i="1"/>
  <c r="AA637" i="1"/>
  <c r="AA680" i="1"/>
  <c r="AA323" i="1"/>
  <c r="AA863" i="1"/>
  <c r="AA833" i="1"/>
  <c r="AA29" i="1"/>
  <c r="AA849" i="1"/>
  <c r="AA355" i="1"/>
  <c r="AA188" i="1"/>
  <c r="AA628" i="1"/>
  <c r="AA794" i="1"/>
  <c r="AA181" i="1"/>
  <c r="AA498" i="1"/>
  <c r="AA820" i="1"/>
  <c r="AA756" i="1"/>
  <c r="AA336" i="1"/>
  <c r="AA631" i="1"/>
  <c r="AA413" i="1"/>
  <c r="AA179" i="1"/>
  <c r="AA453" i="1"/>
  <c r="AA809" i="1"/>
  <c r="AA588" i="1"/>
  <c r="AA502" i="1"/>
  <c r="AA665" i="1"/>
  <c r="AA414" i="1"/>
  <c r="AA192" i="1"/>
  <c r="AA277" i="1"/>
  <c r="AA677" i="1"/>
  <c r="AA379" i="1"/>
  <c r="AA125" i="1"/>
  <c r="AA221" i="1"/>
  <c r="AA27" i="1"/>
  <c r="AA862" i="1"/>
  <c r="AA353" i="1"/>
  <c r="AA404" i="1"/>
  <c r="AA329" i="1"/>
  <c r="AA469" i="1"/>
  <c r="AA861" i="1"/>
  <c r="AA892" i="1"/>
  <c r="AA297" i="1"/>
  <c r="AA180" i="1"/>
  <c r="AA771" i="1"/>
  <c r="AA585" i="1"/>
  <c r="AA361" i="1"/>
  <c r="AA537" i="1"/>
  <c r="AA156" i="1"/>
  <c r="AA231" i="1"/>
  <c r="AA177" i="1"/>
  <c r="AA646" i="1"/>
  <c r="AA311" i="1"/>
  <c r="AA540" i="1"/>
  <c r="AA832" i="1"/>
  <c r="AA866" i="1"/>
  <c r="AA89" i="1"/>
  <c r="AA452" i="1"/>
  <c r="AA317" i="1"/>
  <c r="AA118" i="1"/>
  <c r="AA558" i="1"/>
  <c r="AA199" i="1"/>
  <c r="AA87" i="1"/>
  <c r="AA183" i="1"/>
  <c r="AA528" i="1"/>
  <c r="AA500" i="1"/>
  <c r="AA893" i="1"/>
  <c r="AA234" i="1"/>
  <c r="AA176" i="1"/>
  <c r="AA874" i="1"/>
  <c r="AA301" i="1"/>
  <c r="AA42" i="1"/>
  <c r="AA337" i="1"/>
  <c r="AA239" i="1"/>
  <c r="AA44" i="1"/>
  <c r="AA801" i="1"/>
  <c r="AA93" i="1"/>
  <c r="AA81" i="1"/>
  <c r="AA722" i="1"/>
  <c r="AA675" i="1"/>
  <c r="AA398" i="1"/>
  <c r="AA445" i="1"/>
  <c r="AA810" i="1"/>
  <c r="AA364" i="1"/>
  <c r="AA148" i="1"/>
  <c r="AA308" i="1"/>
  <c r="AA62" i="1"/>
  <c r="AA357" i="1"/>
  <c r="AA757" i="1"/>
  <c r="AA539" i="1"/>
  <c r="AA84" i="1"/>
  <c r="AA716" i="1"/>
  <c r="AA270" i="1"/>
  <c r="AA842" i="1"/>
  <c r="M606" i="1"/>
  <c r="M327" i="1"/>
  <c r="M846" i="1"/>
  <c r="M646" i="1"/>
  <c r="M810" i="1"/>
  <c r="M350" i="1"/>
  <c r="F14" i="2"/>
  <c r="G14" i="2" s="1"/>
  <c r="F18" i="2"/>
  <c r="G18" i="2" s="1"/>
  <c r="F16" i="2"/>
  <c r="G16" i="2" s="1"/>
  <c r="F6" i="2"/>
  <c r="G6" i="2" s="1"/>
  <c r="F10" i="2"/>
  <c r="G10" i="2" s="1"/>
  <c r="K710" i="1"/>
  <c r="K287" i="1"/>
  <c r="F11" i="2"/>
  <c r="G11" i="2" s="1"/>
  <c r="F9" i="2"/>
  <c r="G9" i="2" s="1"/>
  <c r="F17" i="2"/>
  <c r="G17" i="2" s="1"/>
  <c r="F12" i="2"/>
  <c r="G12" i="2" s="1"/>
  <c r="K719" i="1"/>
  <c r="F7" i="2"/>
  <c r="G7" i="2" s="1"/>
  <c r="F19" i="2"/>
  <c r="G19" i="2" s="1"/>
  <c r="F8" i="2"/>
  <c r="G8" i="2" s="1"/>
  <c r="K20" i="1"/>
  <c r="N20" i="1" s="1"/>
  <c r="Q20" i="1" s="1"/>
  <c r="K679" i="1"/>
  <c r="F13" i="2"/>
  <c r="G13" i="2" s="1"/>
  <c r="K699" i="1"/>
  <c r="F5" i="2"/>
  <c r="G5" i="2" s="1"/>
  <c r="F15" i="2"/>
  <c r="G15" i="2" s="1"/>
  <c r="N527" i="1"/>
  <c r="R527" i="1" s="1"/>
  <c r="N149" i="1"/>
  <c r="Q149" i="1" s="1"/>
  <c r="N810" i="1"/>
  <c r="R810" i="1" s="1"/>
  <c r="M370" i="1"/>
  <c r="L810" i="1"/>
  <c r="N668" i="1"/>
  <c r="R668" i="1" s="1"/>
  <c r="N586" i="1"/>
  <c r="Q586" i="1" s="1"/>
  <c r="N249" i="1"/>
  <c r="Q249" i="1" s="1"/>
  <c r="M310" i="1"/>
  <c r="L887" i="1"/>
  <c r="N846" i="1"/>
  <c r="Q846" i="1" s="1"/>
  <c r="L647" i="1"/>
  <c r="N76" i="1"/>
  <c r="Q76" i="1" s="1"/>
  <c r="L846" i="1"/>
  <c r="AA846" i="1" s="1"/>
  <c r="U49" i="1"/>
  <c r="V49" i="1"/>
  <c r="U84" i="1"/>
  <c r="V84" i="1"/>
  <c r="U342" i="1"/>
  <c r="V342" i="1"/>
  <c r="U89" i="1"/>
  <c r="V89" i="1"/>
  <c r="U727" i="1"/>
  <c r="V727" i="1"/>
  <c r="U394" i="1"/>
  <c r="V394" i="1"/>
  <c r="U768" i="1"/>
  <c r="V768" i="1"/>
  <c r="U401" i="1"/>
  <c r="V401" i="1"/>
  <c r="U99" i="1"/>
  <c r="V99" i="1"/>
  <c r="U615" i="1"/>
  <c r="V615" i="1"/>
  <c r="U32" i="1"/>
  <c r="V32" i="1"/>
  <c r="U52" i="1"/>
  <c r="V52" i="1"/>
  <c r="U124" i="1"/>
  <c r="V124" i="1"/>
  <c r="U378" i="1"/>
  <c r="V378" i="1"/>
  <c r="U298" i="1"/>
  <c r="V298" i="1"/>
  <c r="U359" i="1"/>
  <c r="V359" i="1"/>
  <c r="U744" i="1"/>
  <c r="V744" i="1"/>
  <c r="U44" i="1"/>
  <c r="V44" i="1"/>
  <c r="U678" i="1"/>
  <c r="V678" i="1"/>
  <c r="U79" i="1"/>
  <c r="V79" i="1"/>
  <c r="U28" i="1"/>
  <c r="V28" i="1"/>
  <c r="U152" i="1"/>
  <c r="V152" i="1"/>
  <c r="U130" i="1"/>
  <c r="V130" i="1"/>
  <c r="U636" i="1"/>
  <c r="V636" i="1"/>
  <c r="U338" i="1"/>
  <c r="V338" i="1"/>
  <c r="U597" i="1"/>
  <c r="V597" i="1"/>
  <c r="U732" i="1"/>
  <c r="V732" i="1"/>
  <c r="U391" i="1"/>
  <c r="V391" i="1"/>
  <c r="U177" i="1"/>
  <c r="V177" i="1"/>
  <c r="U319" i="1"/>
  <c r="V319" i="1"/>
  <c r="U407" i="1"/>
  <c r="V407" i="1"/>
  <c r="U856" i="1"/>
  <c r="V856" i="1"/>
  <c r="U728" i="1"/>
  <c r="V728" i="1"/>
  <c r="U423" i="1"/>
  <c r="V423" i="1"/>
  <c r="U149" i="1"/>
  <c r="V149" i="1"/>
  <c r="U669" i="1"/>
  <c r="V669" i="1"/>
  <c r="U306" i="1"/>
  <c r="V306" i="1"/>
  <c r="U668" i="1"/>
  <c r="V668" i="1"/>
  <c r="U185" i="1"/>
  <c r="V185" i="1"/>
  <c r="U566" i="1"/>
  <c r="V566" i="1"/>
  <c r="U632" i="1"/>
  <c r="V632" i="1"/>
  <c r="U543" i="1"/>
  <c r="V543" i="1"/>
  <c r="U544" i="1"/>
  <c r="V544" i="1"/>
  <c r="U661" i="1"/>
  <c r="V661" i="1"/>
  <c r="U714" i="1"/>
  <c r="V714" i="1"/>
  <c r="U836" i="1"/>
  <c r="V836" i="1"/>
  <c r="U491" i="1"/>
  <c r="V491" i="1"/>
  <c r="U780" i="1"/>
  <c r="V780" i="1"/>
  <c r="U890" i="1"/>
  <c r="V890" i="1"/>
  <c r="U754" i="1"/>
  <c r="V754" i="1"/>
  <c r="U106" i="1"/>
  <c r="V106" i="1"/>
  <c r="U277" i="1"/>
  <c r="V277" i="1"/>
  <c r="U77" i="1"/>
  <c r="V77" i="1"/>
  <c r="U150" i="1"/>
  <c r="V150" i="1"/>
  <c r="U874" i="1"/>
  <c r="V874" i="1"/>
  <c r="U142" i="1"/>
  <c r="V142" i="1"/>
  <c r="U791" i="1"/>
  <c r="V791" i="1"/>
  <c r="U687" i="1"/>
  <c r="V687" i="1"/>
  <c r="U103" i="1"/>
  <c r="V103" i="1"/>
  <c r="U258" i="1"/>
  <c r="V258" i="1"/>
  <c r="U230" i="1"/>
  <c r="V230" i="1"/>
  <c r="U131" i="1"/>
  <c r="V131" i="1"/>
  <c r="U6" i="1"/>
  <c r="V6" i="1"/>
  <c r="U526" i="1"/>
  <c r="V526" i="1"/>
  <c r="U74" i="1"/>
  <c r="V74" i="1"/>
  <c r="U828" i="1"/>
  <c r="V828" i="1"/>
  <c r="U462" i="1"/>
  <c r="V462" i="1"/>
  <c r="U45" i="1"/>
  <c r="V45" i="1"/>
  <c r="U374" i="1"/>
  <c r="V374" i="1"/>
  <c r="U259" i="1"/>
  <c r="V259" i="1"/>
  <c r="U431" i="1"/>
  <c r="V431" i="1"/>
  <c r="U700" i="1"/>
  <c r="V700" i="1"/>
  <c r="U508" i="1"/>
  <c r="V508" i="1"/>
  <c r="U625" i="1"/>
  <c r="V625" i="1"/>
  <c r="U855" i="1"/>
  <c r="V855" i="1"/>
  <c r="U62" i="1"/>
  <c r="V62" i="1"/>
  <c r="U147" i="1"/>
  <c r="V147" i="1"/>
  <c r="U433" i="1"/>
  <c r="V433" i="1"/>
  <c r="U509" i="1"/>
  <c r="V509" i="1"/>
  <c r="U604" i="1"/>
  <c r="V604" i="1"/>
  <c r="U450" i="1"/>
  <c r="V450" i="1"/>
  <c r="U16" i="1"/>
  <c r="V16" i="1"/>
  <c r="U148" i="1"/>
  <c r="V148" i="1"/>
  <c r="U510" i="1"/>
  <c r="V510" i="1"/>
  <c r="U425" i="1"/>
  <c r="V425" i="1"/>
  <c r="U63" i="1"/>
  <c r="V63" i="1"/>
  <c r="U367" i="1"/>
  <c r="V367" i="1"/>
  <c r="U135" i="1"/>
  <c r="V135" i="1"/>
  <c r="U107" i="1"/>
  <c r="V107" i="1"/>
  <c r="U307" i="1"/>
  <c r="V307" i="1"/>
  <c r="U486" i="1"/>
  <c r="V486" i="1"/>
  <c r="U846" i="1"/>
  <c r="V846" i="1"/>
  <c r="U221" i="1"/>
  <c r="V221" i="1"/>
  <c r="U308" i="1"/>
  <c r="V308" i="1"/>
  <c r="U487" i="1"/>
  <c r="V487" i="1"/>
  <c r="U383" i="1"/>
  <c r="V383" i="1"/>
  <c r="U708" i="1"/>
  <c r="V708" i="1"/>
  <c r="U57" i="1"/>
  <c r="V57" i="1"/>
  <c r="U863" i="1"/>
  <c r="V863" i="1"/>
  <c r="U85" i="1"/>
  <c r="V85" i="1"/>
  <c r="U201" i="1"/>
  <c r="V201" i="1"/>
  <c r="U480" i="1"/>
  <c r="V480" i="1"/>
  <c r="U452" i="1"/>
  <c r="V452" i="1"/>
  <c r="U485" i="1"/>
  <c r="V485" i="1"/>
  <c r="U882" i="1"/>
  <c r="V882" i="1"/>
  <c r="U141" i="1"/>
  <c r="V141" i="1"/>
  <c r="U800" i="1"/>
  <c r="V800" i="1"/>
  <c r="U168" i="1"/>
  <c r="V168" i="1"/>
  <c r="U282" i="1"/>
  <c r="V282" i="1"/>
  <c r="U889" i="1"/>
  <c r="V889" i="1"/>
  <c r="U875" i="1"/>
  <c r="V875" i="1"/>
  <c r="U105" i="1"/>
  <c r="V105" i="1"/>
  <c r="U247" i="1"/>
  <c r="V247" i="1"/>
  <c r="U434" i="1"/>
  <c r="V434" i="1"/>
  <c r="U8" i="1"/>
  <c r="V8" i="1"/>
  <c r="U326" i="1"/>
  <c r="V326" i="1"/>
  <c r="U891" i="1"/>
  <c r="V891" i="1"/>
  <c r="U579" i="1"/>
  <c r="V579" i="1"/>
  <c r="U847" i="1"/>
  <c r="V847" i="1"/>
  <c r="U194" i="1"/>
  <c r="V194" i="1"/>
  <c r="U340" i="1"/>
  <c r="V340" i="1"/>
  <c r="U244" i="1"/>
  <c r="V244" i="1"/>
  <c r="U802" i="1"/>
  <c r="V802" i="1"/>
  <c r="U617" i="1"/>
  <c r="V617" i="1"/>
  <c r="U656" i="1"/>
  <c r="V656" i="1"/>
  <c r="U287" i="1"/>
  <c r="V287" i="1"/>
  <c r="U318" i="1"/>
  <c r="V318" i="1"/>
  <c r="U830" i="1"/>
  <c r="V830" i="1"/>
  <c r="U515" i="1"/>
  <c r="V515" i="1"/>
  <c r="U641" i="1"/>
  <c r="V641" i="1"/>
  <c r="U88" i="1"/>
  <c r="V88" i="1"/>
  <c r="U674" i="1"/>
  <c r="V674" i="1"/>
  <c r="U202" i="1"/>
  <c r="V202" i="1"/>
  <c r="U776" i="1"/>
  <c r="V776" i="1"/>
  <c r="U368" i="1"/>
  <c r="V368" i="1"/>
  <c r="U494" i="1"/>
  <c r="V494" i="1"/>
  <c r="U803" i="1"/>
  <c r="V803" i="1"/>
  <c r="U879" i="1"/>
  <c r="V879" i="1"/>
  <c r="U231" i="1"/>
  <c r="V231" i="1"/>
  <c r="U495" i="1"/>
  <c r="V495" i="1"/>
  <c r="U624" i="1"/>
  <c r="V624" i="1"/>
  <c r="U752" i="1"/>
  <c r="V752" i="1"/>
  <c r="U369" i="1"/>
  <c r="V369" i="1"/>
  <c r="U260" i="1"/>
  <c r="V260" i="1"/>
  <c r="U753" i="1"/>
  <c r="V753" i="1"/>
  <c r="U396" i="1"/>
  <c r="V396" i="1"/>
  <c r="U37" i="1"/>
  <c r="V37" i="1"/>
  <c r="U377" i="1"/>
  <c r="V377" i="1"/>
  <c r="U288" i="1"/>
  <c r="V288" i="1"/>
  <c r="U289" i="1"/>
  <c r="V289" i="1"/>
  <c r="U561" i="1"/>
  <c r="V561" i="1"/>
  <c r="U653" i="1"/>
  <c r="V653" i="1"/>
  <c r="U292" i="1"/>
  <c r="V292" i="1"/>
  <c r="U562" i="1"/>
  <c r="V562" i="1"/>
  <c r="U167" i="1"/>
  <c r="V167" i="1"/>
  <c r="U513" i="1"/>
  <c r="V513" i="1"/>
  <c r="U835" i="1"/>
  <c r="V835" i="1"/>
  <c r="U295" i="1"/>
  <c r="V295" i="1"/>
  <c r="U451" i="1"/>
  <c r="V451" i="1"/>
  <c r="U785" i="1"/>
  <c r="V785" i="1"/>
  <c r="U267" i="1"/>
  <c r="V267" i="1"/>
  <c r="U341" i="1"/>
  <c r="V341" i="1"/>
  <c r="U837" i="1"/>
  <c r="V837" i="1"/>
  <c r="U518" i="1"/>
  <c r="V518" i="1"/>
  <c r="U128" i="1"/>
  <c r="V128" i="1"/>
  <c r="U762" i="1"/>
  <c r="V762" i="1"/>
  <c r="U827" i="1"/>
  <c r="V827" i="1"/>
  <c r="U275" i="1"/>
  <c r="V275" i="1"/>
  <c r="U83" i="1"/>
  <c r="V83" i="1"/>
  <c r="U854" i="1"/>
  <c r="V854" i="1"/>
  <c r="U899" i="1"/>
  <c r="V899" i="1"/>
  <c r="U404" i="1"/>
  <c r="V404" i="1"/>
  <c r="U886" i="1"/>
  <c r="V886" i="1"/>
  <c r="U679" i="1"/>
  <c r="V679" i="1"/>
  <c r="U505" i="1"/>
  <c r="V505" i="1"/>
  <c r="U704" i="1"/>
  <c r="V704" i="1"/>
  <c r="U826" i="1"/>
  <c r="V826" i="1"/>
  <c r="U709" i="1"/>
  <c r="V709" i="1"/>
  <c r="U758" i="1"/>
  <c r="V758" i="1"/>
  <c r="U745" i="1"/>
  <c r="V745" i="1"/>
  <c r="U677" i="1"/>
  <c r="V677" i="1"/>
  <c r="U742" i="1"/>
  <c r="V742" i="1"/>
  <c r="U608" i="1"/>
  <c r="V608" i="1"/>
  <c r="U455" i="1"/>
  <c r="V455" i="1"/>
  <c r="U101" i="1"/>
  <c r="V101" i="1"/>
  <c r="U365" i="1"/>
  <c r="V365" i="1"/>
  <c r="U651" i="1"/>
  <c r="V651" i="1"/>
  <c r="U164" i="1"/>
  <c r="V164" i="1"/>
  <c r="U96" i="1"/>
  <c r="V96" i="1"/>
  <c r="U729" i="1"/>
  <c r="V729" i="1"/>
  <c r="U681" i="1"/>
  <c r="V681" i="1"/>
  <c r="U302" i="1"/>
  <c r="V302" i="1"/>
  <c r="U446" i="1"/>
  <c r="V446" i="1"/>
  <c r="U552" i="1"/>
  <c r="V552" i="1"/>
  <c r="U531" i="1"/>
  <c r="V531" i="1"/>
  <c r="U806" i="1"/>
  <c r="V806" i="1"/>
  <c r="U568" i="1"/>
  <c r="V568" i="1"/>
  <c r="U820" i="1"/>
  <c r="V820" i="1"/>
  <c r="U503" i="1"/>
  <c r="V503" i="1"/>
  <c r="U321" i="1"/>
  <c r="V321" i="1"/>
  <c r="U712" i="1"/>
  <c r="V712" i="1"/>
  <c r="U102" i="1"/>
  <c r="V102" i="1"/>
  <c r="U143" i="1"/>
  <c r="V143" i="1"/>
  <c r="U519" i="1"/>
  <c r="V519" i="1"/>
  <c r="U629" i="1"/>
  <c r="V629" i="1"/>
  <c r="U398" i="1"/>
  <c r="V398" i="1"/>
  <c r="U418" i="1"/>
  <c r="V418" i="1"/>
  <c r="U550" i="1"/>
  <c r="V550" i="1"/>
  <c r="U60" i="1"/>
  <c r="V60" i="1"/>
  <c r="U456" i="1"/>
  <c r="V456" i="1"/>
  <c r="U623" i="1"/>
  <c r="V623" i="1"/>
  <c r="U432" i="1"/>
  <c r="V432" i="1"/>
  <c r="U558" i="1"/>
  <c r="V558" i="1"/>
  <c r="U655" i="1"/>
  <c r="V655" i="1"/>
  <c r="U348" i="1"/>
  <c r="V348" i="1"/>
  <c r="U458" i="1"/>
  <c r="V458" i="1"/>
  <c r="U547" i="1"/>
  <c r="V547" i="1"/>
  <c r="U192" i="1"/>
  <c r="V192" i="1"/>
  <c r="U782" i="1"/>
  <c r="V782" i="1"/>
  <c r="U438" i="1"/>
  <c r="V438" i="1"/>
  <c r="U435" i="1"/>
  <c r="V435" i="1"/>
  <c r="U845" i="1"/>
  <c r="V845" i="1"/>
  <c r="U366" i="1"/>
  <c r="V366" i="1"/>
  <c r="U731" i="1"/>
  <c r="V731" i="1"/>
  <c r="U251" i="1"/>
  <c r="V251" i="1"/>
  <c r="U68" i="1"/>
  <c r="V68" i="1"/>
  <c r="U125" i="1"/>
  <c r="V125" i="1"/>
  <c r="U541" i="1"/>
  <c r="V541" i="1"/>
  <c r="U811" i="1"/>
  <c r="V811" i="1"/>
  <c r="U211" i="1"/>
  <c r="V211" i="1"/>
  <c r="U257" i="1"/>
  <c r="V257" i="1"/>
  <c r="U569" i="1"/>
  <c r="V569" i="1"/>
  <c r="U328" i="1"/>
  <c r="V328" i="1"/>
  <c r="U685" i="1"/>
  <c r="V685" i="1"/>
  <c r="U469" i="1"/>
  <c r="V469" i="1"/>
  <c r="U440" i="1"/>
  <c r="V440" i="1"/>
  <c r="U662" i="1"/>
  <c r="V662" i="1"/>
  <c r="U170" i="1"/>
  <c r="V170" i="1"/>
  <c r="U460" i="1"/>
  <c r="V460" i="1"/>
  <c r="U567" i="1"/>
  <c r="V567" i="1"/>
  <c r="U736" i="1"/>
  <c r="V736" i="1"/>
  <c r="U888" i="1"/>
  <c r="V888" i="1"/>
  <c r="U904" i="1"/>
  <c r="V904" i="1"/>
  <c r="U371" i="1"/>
  <c r="V371" i="1"/>
  <c r="U571" i="1"/>
  <c r="V571" i="1"/>
  <c r="U755" i="1"/>
  <c r="V755" i="1"/>
  <c r="U126" i="1"/>
  <c r="V126" i="1"/>
  <c r="U878" i="1"/>
  <c r="V878" i="1"/>
  <c r="U357" i="1"/>
  <c r="V357" i="1"/>
  <c r="U696" i="1"/>
  <c r="V696" i="1"/>
  <c r="U112" i="1"/>
  <c r="V112" i="1"/>
  <c r="U574" i="1"/>
  <c r="V574" i="1"/>
  <c r="U849" i="1"/>
  <c r="V849" i="1"/>
  <c r="U575" i="1"/>
  <c r="V575" i="1"/>
  <c r="U649" i="1"/>
  <c r="V649" i="1"/>
  <c r="U331" i="1"/>
  <c r="V331" i="1"/>
  <c r="U611" i="1"/>
  <c r="V611" i="1"/>
  <c r="U465" i="1"/>
  <c r="V465" i="1"/>
  <c r="U578" i="1"/>
  <c r="V578" i="1"/>
  <c r="U692" i="1"/>
  <c r="V692" i="1"/>
  <c r="U223" i="1"/>
  <c r="V223" i="1"/>
  <c r="U389" i="1"/>
  <c r="V389" i="1"/>
  <c r="U507" i="1"/>
  <c r="V507" i="1"/>
  <c r="U638" i="1"/>
  <c r="V638" i="1"/>
  <c r="U163" i="1"/>
  <c r="V163" i="1"/>
  <c r="U138" i="1"/>
  <c r="V138" i="1"/>
  <c r="U399" i="1"/>
  <c r="V399" i="1"/>
  <c r="U375" i="1"/>
  <c r="V375" i="1"/>
  <c r="U172" i="1"/>
  <c r="V172" i="1"/>
  <c r="U488" i="1"/>
  <c r="V488" i="1"/>
  <c r="U100" i="1"/>
  <c r="V100" i="1"/>
  <c r="U73" i="1"/>
  <c r="V73" i="1"/>
  <c r="U689" i="1"/>
  <c r="V689" i="1"/>
  <c r="U392" i="1"/>
  <c r="V392" i="1"/>
  <c r="U609" i="1"/>
  <c r="V609" i="1"/>
  <c r="U330" i="1"/>
  <c r="V330" i="1"/>
  <c r="U858" i="1"/>
  <c r="V858" i="1"/>
  <c r="U363" i="1"/>
  <c r="V363" i="1"/>
  <c r="U447" i="1"/>
  <c r="V447" i="1"/>
  <c r="U35" i="1"/>
  <c r="V35" i="1"/>
  <c r="U760" i="1"/>
  <c r="V760" i="1"/>
  <c r="U596" i="1"/>
  <c r="V596" i="1"/>
  <c r="U747" i="1"/>
  <c r="V747" i="1"/>
  <c r="U763" i="1"/>
  <c r="V763" i="1"/>
  <c r="U159" i="1"/>
  <c r="V159" i="1"/>
  <c r="U570" i="1"/>
  <c r="V570" i="1"/>
  <c r="U853" i="1"/>
  <c r="V853" i="1"/>
  <c r="U738" i="1"/>
  <c r="V738" i="1"/>
  <c r="U829" i="1"/>
  <c r="V829" i="1"/>
  <c r="U236" i="1"/>
  <c r="V236" i="1"/>
  <c r="U676" i="1"/>
  <c r="V676" i="1"/>
  <c r="U178" i="1"/>
  <c r="V178" i="1"/>
  <c r="U719" i="1"/>
  <c r="V719" i="1"/>
  <c r="U560" i="1"/>
  <c r="V560" i="1"/>
  <c r="U22" i="1"/>
  <c r="V22" i="1"/>
  <c r="U219" i="1"/>
  <c r="V219" i="1"/>
  <c r="U691" i="1"/>
  <c r="V691" i="1"/>
  <c r="U220" i="1"/>
  <c r="V220" i="1"/>
  <c r="U207" i="1"/>
  <c r="V207" i="1"/>
  <c r="U769" i="1"/>
  <c r="V769" i="1"/>
  <c r="U195" i="1"/>
  <c r="V195" i="1"/>
  <c r="U413" i="1"/>
  <c r="V413" i="1"/>
  <c r="U296" i="1"/>
  <c r="V296" i="1"/>
  <c r="U593" i="1"/>
  <c r="V593" i="1"/>
  <c r="U759" i="1"/>
  <c r="V759" i="1"/>
  <c r="U113" i="1"/>
  <c r="V113" i="1"/>
  <c r="U129" i="1"/>
  <c r="V129" i="1"/>
  <c r="U26" i="1"/>
  <c r="V26" i="1"/>
  <c r="U157" i="1"/>
  <c r="V157" i="1"/>
  <c r="U774" i="1"/>
  <c r="V774" i="1"/>
  <c r="U881" i="1"/>
  <c r="V881" i="1"/>
  <c r="U203" i="1"/>
  <c r="V203" i="1"/>
  <c r="U872" i="1"/>
  <c r="V872" i="1"/>
  <c r="U270" i="1"/>
  <c r="V270" i="1"/>
  <c r="U25" i="1"/>
  <c r="V25" i="1"/>
  <c r="U14" i="1"/>
  <c r="V14" i="1"/>
  <c r="U489" i="1"/>
  <c r="V489" i="1"/>
  <c r="U628" i="1"/>
  <c r="V628" i="1"/>
  <c r="U804" i="1"/>
  <c r="V804" i="1"/>
  <c r="U699" i="1"/>
  <c r="V699" i="1"/>
  <c r="U898" i="1"/>
  <c r="V898" i="1"/>
  <c r="U86" i="1"/>
  <c r="V86" i="1"/>
  <c r="U737" i="1"/>
  <c r="V737" i="1"/>
  <c r="U285" i="1"/>
  <c r="V285" i="1"/>
  <c r="U557" i="1"/>
  <c r="V557" i="1"/>
  <c r="U701" i="1"/>
  <c r="V701" i="1"/>
  <c r="U449" i="1"/>
  <c r="V449" i="1"/>
  <c r="U104" i="1"/>
  <c r="V104" i="1"/>
  <c r="U286" i="1"/>
  <c r="V286" i="1"/>
  <c r="U572" i="1"/>
  <c r="V572" i="1"/>
  <c r="U717" i="1"/>
  <c r="V717" i="1"/>
  <c r="U642" i="1"/>
  <c r="V642" i="1"/>
  <c r="U412" i="1"/>
  <c r="V412" i="1"/>
  <c r="U119" i="1"/>
  <c r="V119" i="1"/>
  <c r="U408" i="1"/>
  <c r="V408" i="1"/>
  <c r="U459" i="1"/>
  <c r="V459" i="1"/>
  <c r="U766" i="1"/>
  <c r="V766" i="1"/>
  <c r="U81" i="1"/>
  <c r="V81" i="1"/>
  <c r="U91" i="1"/>
  <c r="V91" i="1"/>
  <c r="U857" i="1"/>
  <c r="V857" i="1"/>
  <c r="U120" i="1"/>
  <c r="V120" i="1"/>
  <c r="U424" i="1"/>
  <c r="V424" i="1"/>
  <c r="U64" i="1"/>
  <c r="V64" i="1"/>
  <c r="U601" i="1"/>
  <c r="V601" i="1"/>
  <c r="U382" i="1"/>
  <c r="V382" i="1"/>
  <c r="U51" i="1"/>
  <c r="V51" i="1"/>
  <c r="U589" i="1"/>
  <c r="V589" i="1"/>
  <c r="U263" i="1"/>
  <c r="V263" i="1"/>
  <c r="U352" i="1"/>
  <c r="V352" i="1"/>
  <c r="U253" i="1"/>
  <c r="V253" i="1"/>
  <c r="U355" i="1"/>
  <c r="V355" i="1"/>
  <c r="U140" i="1"/>
  <c r="V140" i="1"/>
  <c r="U384" i="1"/>
  <c r="V384" i="1"/>
  <c r="U453" i="1"/>
  <c r="V453" i="1"/>
  <c r="U12" i="1"/>
  <c r="V12" i="1"/>
  <c r="U814" i="1"/>
  <c r="V814" i="1"/>
  <c r="U115" i="1"/>
  <c r="V115" i="1"/>
  <c r="U546" i="1"/>
  <c r="V546" i="1"/>
  <c r="U672" i="1"/>
  <c r="V672" i="1"/>
  <c r="U555" i="1"/>
  <c r="V555" i="1"/>
  <c r="U633" i="1"/>
  <c r="V633" i="1"/>
  <c r="U631" i="1"/>
  <c r="V631" i="1"/>
  <c r="U784" i="1"/>
  <c r="V784" i="1"/>
  <c r="U551" i="1"/>
  <c r="V551" i="1"/>
  <c r="U379" i="1"/>
  <c r="V379" i="1"/>
  <c r="U97" i="1"/>
  <c r="V97" i="1"/>
  <c r="U395" i="1"/>
  <c r="V395" i="1"/>
  <c r="U517" i="1"/>
  <c r="V517" i="1"/>
  <c r="U702" i="1"/>
  <c r="V702" i="1"/>
  <c r="U733" i="1"/>
  <c r="V733" i="1"/>
  <c r="U430" i="1"/>
  <c r="V430" i="1"/>
  <c r="U212" i="1"/>
  <c r="V212" i="1"/>
  <c r="U542" i="1"/>
  <c r="V542" i="1"/>
  <c r="U670" i="1"/>
  <c r="V670" i="1"/>
  <c r="U388" i="1"/>
  <c r="V388" i="1"/>
  <c r="U893" i="1"/>
  <c r="V893" i="1"/>
  <c r="U537" i="1"/>
  <c r="V537" i="1"/>
  <c r="U400" i="1"/>
  <c r="V400" i="1"/>
  <c r="U529" i="1"/>
  <c r="V529" i="1"/>
  <c r="U564" i="1"/>
  <c r="V564" i="1"/>
  <c r="U309" i="1"/>
  <c r="V309" i="1"/>
  <c r="U30" i="1"/>
  <c r="V30" i="1"/>
  <c r="U443" i="1"/>
  <c r="V443" i="1"/>
  <c r="U522" i="1"/>
  <c r="V522" i="1"/>
  <c r="U548" i="1"/>
  <c r="V548" i="1"/>
  <c r="U883" i="1"/>
  <c r="V883" i="1"/>
  <c r="U563" i="1"/>
  <c r="V563" i="1"/>
  <c r="U721" i="1"/>
  <c r="V721" i="1"/>
  <c r="U530" i="1"/>
  <c r="V530" i="1"/>
  <c r="U9" i="1"/>
  <c r="V9" i="1"/>
  <c r="U160" i="1"/>
  <c r="V160" i="1"/>
  <c r="U204" i="1"/>
  <c r="V204" i="1"/>
  <c r="U36" i="1"/>
  <c r="V36" i="1"/>
  <c r="U358" i="1"/>
  <c r="V358" i="1"/>
  <c r="U862" i="1"/>
  <c r="V862" i="1"/>
  <c r="U198" i="1"/>
  <c r="V198" i="1"/>
  <c r="U329" i="1"/>
  <c r="V329" i="1"/>
  <c r="U269" i="1"/>
  <c r="V269" i="1"/>
  <c r="U293" i="1"/>
  <c r="V293" i="1"/>
  <c r="U588" i="1"/>
  <c r="V588" i="1"/>
  <c r="U730" i="1"/>
  <c r="V730" i="1"/>
  <c r="U770" i="1"/>
  <c r="V770" i="1"/>
  <c r="U477" i="1"/>
  <c r="V477" i="1"/>
  <c r="U215" i="1"/>
  <c r="V215" i="1"/>
  <c r="U616" i="1"/>
  <c r="V616" i="1"/>
  <c r="U353" i="1"/>
  <c r="V353" i="1"/>
  <c r="U356" i="1"/>
  <c r="V356" i="1"/>
  <c r="U788" i="1"/>
  <c r="V788" i="1"/>
  <c r="U592" i="1"/>
  <c r="V592" i="1"/>
  <c r="U490" i="1"/>
  <c r="V490" i="1"/>
  <c r="U695" i="1"/>
  <c r="V695" i="1"/>
  <c r="U869" i="1"/>
  <c r="V869" i="1"/>
  <c r="U300" i="1"/>
  <c r="V300" i="1"/>
  <c r="U38" i="1"/>
  <c r="V38" i="1"/>
  <c r="U748" i="1"/>
  <c r="V748" i="1"/>
  <c r="U839" i="1"/>
  <c r="V839" i="1"/>
  <c r="U206" i="1"/>
  <c r="V206" i="1"/>
  <c r="U901" i="1"/>
  <c r="V901" i="1"/>
  <c r="U118" i="1"/>
  <c r="V118" i="1"/>
  <c r="U232" i="1"/>
  <c r="V232" i="1"/>
  <c r="U334" i="1"/>
  <c r="V334" i="1"/>
  <c r="U794" i="1"/>
  <c r="V794" i="1"/>
  <c r="U796" i="1"/>
  <c r="V796" i="1"/>
  <c r="U781" i="1"/>
  <c r="V781" i="1"/>
  <c r="U354" i="1"/>
  <c r="V354" i="1"/>
  <c r="U40" i="1"/>
  <c r="V40" i="1"/>
  <c r="U343" i="1"/>
  <c r="V343" i="1"/>
  <c r="U698" i="1"/>
  <c r="V698" i="1"/>
  <c r="U69" i="1"/>
  <c r="V69" i="1"/>
  <c r="U792" i="1"/>
  <c r="V792" i="1"/>
  <c r="U54" i="1"/>
  <c r="V54" i="1"/>
  <c r="U294" i="1"/>
  <c r="V294" i="1"/>
  <c r="U441" i="1"/>
  <c r="V441" i="1"/>
  <c r="U822" i="1"/>
  <c r="V822" i="1"/>
  <c r="U524" i="1"/>
  <c r="V524" i="1"/>
  <c r="U71" i="1"/>
  <c r="V71" i="1"/>
  <c r="U428" i="1"/>
  <c r="V428" i="1"/>
  <c r="U549" i="1"/>
  <c r="V549" i="1"/>
  <c r="U580" i="1"/>
  <c r="V580" i="1"/>
  <c r="U297" i="1"/>
  <c r="V297" i="1"/>
  <c r="U504" i="1"/>
  <c r="V504" i="1"/>
  <c r="U205" i="1"/>
  <c r="V205" i="1"/>
  <c r="U801" i="1"/>
  <c r="V801" i="1"/>
  <c r="U607" i="1"/>
  <c r="V607" i="1"/>
  <c r="U158" i="1"/>
  <c r="V158" i="1"/>
  <c r="U175" i="1"/>
  <c r="V175" i="1"/>
  <c r="U301" i="1"/>
  <c r="V301" i="1"/>
  <c r="U470" i="1"/>
  <c r="V470" i="1"/>
  <c r="U751" i="1"/>
  <c r="V751" i="1"/>
  <c r="U444" i="1"/>
  <c r="V444" i="1"/>
  <c r="U146" i="1"/>
  <c r="V146" i="1"/>
  <c r="U726" i="1"/>
  <c r="V726" i="1"/>
  <c r="U191" i="1"/>
  <c r="V191" i="1"/>
  <c r="U559" i="1"/>
  <c r="V559" i="1"/>
  <c r="U151" i="1"/>
  <c r="V151" i="1"/>
  <c r="U218" i="1"/>
  <c r="V218" i="1"/>
  <c r="U652" i="1"/>
  <c r="V652" i="1"/>
  <c r="U137" i="1"/>
  <c r="V137" i="1"/>
  <c r="U166" i="1"/>
  <c r="V166" i="1"/>
  <c r="U885" i="1"/>
  <c r="V885" i="1"/>
  <c r="U290" i="1"/>
  <c r="V290" i="1"/>
  <c r="U895" i="1"/>
  <c r="V895" i="1"/>
  <c r="U437" i="1"/>
  <c r="V437" i="1"/>
  <c r="U426" i="1"/>
  <c r="V426" i="1"/>
  <c r="U127" i="1"/>
  <c r="V127" i="1"/>
  <c r="U43" i="1"/>
  <c r="V43" i="1"/>
  <c r="U516" i="1"/>
  <c r="V516" i="1"/>
  <c r="U350" i="1"/>
  <c r="V350" i="1"/>
  <c r="U235" i="1"/>
  <c r="V235" i="1"/>
  <c r="U492" i="1"/>
  <c r="V492" i="1"/>
  <c r="U646" i="1"/>
  <c r="V646" i="1"/>
  <c r="U797" i="1"/>
  <c r="V797" i="1"/>
  <c r="U647" i="1"/>
  <c r="V647" i="1"/>
  <c r="U139" i="1"/>
  <c r="V139" i="1"/>
  <c r="U46" i="1"/>
  <c r="V46" i="1"/>
  <c r="U464" i="1"/>
  <c r="V464" i="1"/>
  <c r="U605" i="1"/>
  <c r="V605" i="1"/>
  <c r="U176" i="1"/>
  <c r="V176" i="1"/>
  <c r="U481" i="1"/>
  <c r="V481" i="1"/>
  <c r="U210" i="1"/>
  <c r="V210" i="1"/>
  <c r="U466" i="1"/>
  <c r="V466" i="1"/>
  <c r="U786" i="1"/>
  <c r="V786" i="1"/>
  <c r="U373" i="1"/>
  <c r="V373" i="1"/>
  <c r="U179" i="1"/>
  <c r="V179" i="1"/>
  <c r="U897" i="1"/>
  <c r="V897" i="1"/>
  <c r="U33" i="1"/>
  <c r="V33" i="1"/>
  <c r="U840" i="1"/>
  <c r="V840" i="1"/>
  <c r="U793" i="1"/>
  <c r="V793" i="1"/>
  <c r="U237" i="1"/>
  <c r="V237" i="1"/>
  <c r="U66" i="1"/>
  <c r="V66" i="1"/>
  <c r="U478" i="1"/>
  <c r="V478" i="1"/>
  <c r="U594" i="1"/>
  <c r="V594" i="1"/>
  <c r="U778" i="1"/>
  <c r="V778" i="1"/>
  <c r="U506" i="1"/>
  <c r="V506" i="1"/>
  <c r="U817" i="1"/>
  <c r="V817" i="1"/>
  <c r="U187" i="1"/>
  <c r="V187" i="1"/>
  <c r="U627" i="1"/>
  <c r="V627" i="1"/>
  <c r="U707" i="1"/>
  <c r="V707" i="1"/>
  <c r="U501" i="1"/>
  <c r="V501" i="1"/>
  <c r="U471" i="1"/>
  <c r="V471" i="1"/>
  <c r="U859" i="1"/>
  <c r="V859" i="1"/>
  <c r="U53" i="1"/>
  <c r="V53" i="1"/>
  <c r="U866" i="1"/>
  <c r="V866" i="1"/>
  <c r="U182" i="1"/>
  <c r="V182" i="1"/>
  <c r="U584" i="1"/>
  <c r="V584" i="1"/>
  <c r="U841" i="1"/>
  <c r="V841" i="1"/>
  <c r="U265" i="1"/>
  <c r="V265" i="1"/>
  <c r="U525" i="1"/>
  <c r="V525" i="1"/>
  <c r="U376" i="1"/>
  <c r="V376" i="1"/>
  <c r="U132" i="1"/>
  <c r="V132" i="1"/>
  <c r="U420" i="1"/>
  <c r="V420" i="1"/>
  <c r="U196" i="1"/>
  <c r="V196" i="1"/>
  <c r="U134" i="1"/>
  <c r="V134" i="1"/>
  <c r="U703" i="1"/>
  <c r="V703" i="1"/>
  <c r="U322" i="1"/>
  <c r="V322" i="1"/>
  <c r="U602" i="1"/>
  <c r="V602" i="1"/>
  <c r="U23" i="1"/>
  <c r="V23" i="1"/>
  <c r="U606" i="1"/>
  <c r="V606" i="1"/>
  <c r="U154" i="1"/>
  <c r="V154" i="1"/>
  <c r="U311" i="1"/>
  <c r="V311" i="1"/>
  <c r="U619" i="1"/>
  <c r="V619" i="1"/>
  <c r="U173" i="1"/>
  <c r="V173" i="1"/>
  <c r="U648" i="1"/>
  <c r="V648" i="1"/>
  <c r="U227" i="1"/>
  <c r="V227" i="1"/>
  <c r="U188" i="1"/>
  <c r="V188" i="1"/>
  <c r="U634" i="1"/>
  <c r="V634" i="1"/>
  <c r="U807" i="1"/>
  <c r="V807" i="1"/>
  <c r="U618" i="1"/>
  <c r="V618" i="1"/>
  <c r="U852" i="1"/>
  <c r="V852" i="1"/>
  <c r="U514" i="1"/>
  <c r="V514" i="1"/>
  <c r="U720" i="1"/>
  <c r="V720" i="1"/>
  <c r="U902" i="1"/>
  <c r="V902" i="1"/>
  <c r="U556" i="1"/>
  <c r="V556" i="1"/>
  <c r="U59" i="1"/>
  <c r="V59" i="1"/>
  <c r="U324" i="1"/>
  <c r="V324" i="1"/>
  <c r="U214" i="1"/>
  <c r="V214" i="1"/>
  <c r="U108" i="1"/>
  <c r="V108" i="1"/>
  <c r="U264" i="1"/>
  <c r="V264" i="1"/>
  <c r="U832" i="1"/>
  <c r="V832" i="1"/>
  <c r="U226" i="1"/>
  <c r="V226" i="1"/>
  <c r="U775" i="1"/>
  <c r="V775" i="1"/>
  <c r="U386" i="1"/>
  <c r="V386" i="1"/>
  <c r="U582" i="1"/>
  <c r="V582" i="1"/>
  <c r="U722" i="1"/>
  <c r="V722" i="1"/>
  <c r="U473" i="1"/>
  <c r="V473" i="1"/>
  <c r="U587" i="1"/>
  <c r="V587" i="1"/>
  <c r="U613" i="1"/>
  <c r="V613" i="1"/>
  <c r="U15" i="1"/>
  <c r="V15" i="1"/>
  <c r="U351" i="1"/>
  <c r="V351" i="1"/>
  <c r="U313" i="1"/>
  <c r="V313" i="1"/>
  <c r="U243" i="1"/>
  <c r="V243" i="1"/>
  <c r="U553" i="1"/>
  <c r="V553" i="1"/>
  <c r="U273" i="1"/>
  <c r="V273" i="1"/>
  <c r="U58" i="1"/>
  <c r="V58" i="1"/>
  <c r="U865" i="1"/>
  <c r="V865" i="1"/>
  <c r="U860" i="1"/>
  <c r="V860" i="1"/>
  <c r="U332" i="1"/>
  <c r="V332" i="1"/>
  <c r="U90" i="1"/>
  <c r="V90" i="1"/>
  <c r="U228" i="1"/>
  <c r="V228" i="1"/>
  <c r="U877" i="1"/>
  <c r="V877" i="1"/>
  <c r="U851" i="1"/>
  <c r="V851" i="1"/>
  <c r="U121" i="1"/>
  <c r="V121" i="1"/>
  <c r="U812" i="1"/>
  <c r="V812" i="1"/>
  <c r="U92" i="1"/>
  <c r="V92" i="1"/>
  <c r="U153" i="1"/>
  <c r="V153" i="1"/>
  <c r="U686" i="1"/>
  <c r="V686" i="1"/>
  <c r="U725" i="1"/>
  <c r="V725" i="1"/>
  <c r="U272" i="1"/>
  <c r="V272" i="1"/>
  <c r="U834" i="1"/>
  <c r="V834" i="1"/>
  <c r="U595" i="1"/>
  <c r="V595" i="1"/>
  <c r="U777" i="1"/>
  <c r="V777" i="1"/>
  <c r="U241" i="1"/>
  <c r="V241" i="1"/>
  <c r="U850" i="1"/>
  <c r="V850" i="1"/>
  <c r="U894" i="1"/>
  <c r="V894" i="1"/>
  <c r="U156" i="1"/>
  <c r="V156" i="1"/>
  <c r="U360" i="1"/>
  <c r="V360" i="1"/>
  <c r="U476" i="1"/>
  <c r="V476" i="1"/>
  <c r="U583" i="1"/>
  <c r="V583" i="1"/>
  <c r="U892" i="1"/>
  <c r="V892" i="1"/>
  <c r="U671" i="1"/>
  <c r="V671" i="1"/>
  <c r="U39" i="1"/>
  <c r="V39" i="1"/>
  <c r="U116" i="1"/>
  <c r="V116" i="1"/>
  <c r="U622" i="1"/>
  <c r="V622" i="1"/>
  <c r="U688" i="1"/>
  <c r="V688" i="1"/>
  <c r="U347" i="1"/>
  <c r="V347" i="1"/>
  <c r="U303" i="1"/>
  <c r="V303" i="1"/>
  <c r="U612" i="1"/>
  <c r="V612" i="1"/>
  <c r="U21" i="1"/>
  <c r="V21" i="1"/>
  <c r="U693" i="1"/>
  <c r="V693" i="1"/>
  <c r="U539" i="1"/>
  <c r="V539" i="1"/>
  <c r="U48" i="1"/>
  <c r="V48" i="1"/>
  <c r="U496" i="1"/>
  <c r="V496" i="1"/>
  <c r="U818" i="1"/>
  <c r="V818" i="1"/>
  <c r="U323" i="1"/>
  <c r="V323" i="1"/>
  <c r="U133" i="1"/>
  <c r="V133" i="1"/>
  <c r="U136" i="1"/>
  <c r="V136" i="1"/>
  <c r="U500" i="1"/>
  <c r="V500" i="1"/>
  <c r="U65" i="1"/>
  <c r="V65" i="1"/>
  <c r="U291" i="1"/>
  <c r="V291" i="1"/>
  <c r="U208" i="1"/>
  <c r="V208" i="1"/>
  <c r="U276" i="1"/>
  <c r="V276" i="1"/>
  <c r="U381" i="1"/>
  <c r="V381" i="1"/>
  <c r="U370" i="1"/>
  <c r="V370" i="1"/>
  <c r="U254" i="1"/>
  <c r="V254" i="1"/>
  <c r="U414" i="1"/>
  <c r="V414" i="1"/>
  <c r="U528" i="1"/>
  <c r="V528" i="1"/>
  <c r="U42" i="1"/>
  <c r="V42" i="1"/>
  <c r="U467" i="1"/>
  <c r="V467" i="1"/>
  <c r="U761" i="1"/>
  <c r="V761" i="1"/>
  <c r="U72" i="1"/>
  <c r="V72" i="1"/>
  <c r="U864" i="1"/>
  <c r="V864" i="1"/>
  <c r="U468" i="1"/>
  <c r="V468" i="1"/>
  <c r="U403" i="1"/>
  <c r="V403" i="1"/>
  <c r="U410" i="1"/>
  <c r="V410" i="1"/>
  <c r="U639" i="1"/>
  <c r="V639" i="1"/>
  <c r="U799" i="1"/>
  <c r="V799" i="1"/>
  <c r="U724" i="1"/>
  <c r="V724" i="1"/>
  <c r="U825" i="1"/>
  <c r="V825" i="1"/>
  <c r="U385" i="1"/>
  <c r="V385" i="1"/>
  <c r="U76" i="1"/>
  <c r="V76" i="1"/>
  <c r="U41" i="1"/>
  <c r="V41" i="1"/>
  <c r="U406" i="1"/>
  <c r="V406" i="1"/>
  <c r="U821" i="1"/>
  <c r="V821" i="1"/>
  <c r="U658" i="1"/>
  <c r="V658" i="1"/>
  <c r="U200" i="1"/>
  <c r="V200" i="1"/>
  <c r="U876" i="1"/>
  <c r="V876" i="1"/>
  <c r="U873" i="1"/>
  <c r="V873" i="1"/>
  <c r="U256" i="1"/>
  <c r="V256" i="1"/>
  <c r="U144" i="1"/>
  <c r="V144" i="1"/>
  <c r="U868" i="1"/>
  <c r="V868" i="1"/>
  <c r="U603" i="1"/>
  <c r="V603" i="1"/>
  <c r="U710" i="1"/>
  <c r="V710" i="1"/>
  <c r="U666" i="1"/>
  <c r="V666" i="1"/>
  <c r="U19" i="1"/>
  <c r="V19" i="1"/>
  <c r="U336" i="1"/>
  <c r="V336" i="1"/>
  <c r="U281" i="1"/>
  <c r="V281" i="1"/>
  <c r="U479" i="1"/>
  <c r="V479" i="1"/>
  <c r="U554" i="1"/>
  <c r="V554" i="1"/>
  <c r="U614" i="1"/>
  <c r="V614" i="1"/>
  <c r="U98" i="1"/>
  <c r="V98" i="1"/>
  <c r="U586" i="1"/>
  <c r="V586" i="1"/>
  <c r="U900" i="1"/>
  <c r="V900" i="1"/>
  <c r="U576" i="1"/>
  <c r="V576" i="1"/>
  <c r="U767" i="1"/>
  <c r="V767" i="1"/>
  <c r="U224" i="1"/>
  <c r="V224" i="1"/>
  <c r="U261" i="1"/>
  <c r="V261" i="1"/>
  <c r="U50" i="1"/>
  <c r="V50" i="1"/>
  <c r="U621" i="1"/>
  <c r="V621" i="1"/>
  <c r="U349" i="1"/>
  <c r="V349" i="1"/>
  <c r="U13" i="1"/>
  <c r="V13" i="1"/>
  <c r="U871" i="1"/>
  <c r="V871" i="1"/>
  <c r="U47" i="1"/>
  <c r="V47" i="1"/>
  <c r="U234" i="1"/>
  <c r="V234" i="1"/>
  <c r="U409" i="1"/>
  <c r="V409" i="1"/>
  <c r="U448" i="1"/>
  <c r="V448" i="1"/>
  <c r="U436" i="1"/>
  <c r="V436" i="1"/>
  <c r="U169" i="1"/>
  <c r="V169" i="1"/>
  <c r="U823" i="1"/>
  <c r="V823" i="1"/>
  <c r="U416" i="1"/>
  <c r="V416" i="1"/>
  <c r="U723" i="1"/>
  <c r="V723" i="1"/>
  <c r="U27" i="1"/>
  <c r="V27" i="1"/>
  <c r="U520" i="1"/>
  <c r="V520" i="1"/>
  <c r="U815" i="1"/>
  <c r="V815" i="1"/>
  <c r="U7" i="1"/>
  <c r="V7" i="1"/>
  <c r="U635" i="1"/>
  <c r="V635" i="1"/>
  <c r="U316" i="1"/>
  <c r="V316" i="1"/>
  <c r="U122" i="1"/>
  <c r="V122" i="1"/>
  <c r="U245" i="1"/>
  <c r="V245" i="1"/>
  <c r="U405" i="1"/>
  <c r="V405" i="1"/>
  <c r="U482" i="1"/>
  <c r="V482" i="1"/>
  <c r="U598" i="1"/>
  <c r="V598" i="1"/>
  <c r="U739" i="1"/>
  <c r="V739" i="1"/>
  <c r="U123" i="1"/>
  <c r="V123" i="1"/>
  <c r="U483" i="1"/>
  <c r="V483" i="1"/>
  <c r="U842" i="1"/>
  <c r="V842" i="1"/>
  <c r="U362" i="1"/>
  <c r="V362" i="1"/>
  <c r="U397" i="1"/>
  <c r="V397" i="1"/>
  <c r="U393" i="1"/>
  <c r="V393" i="1"/>
  <c r="U17" i="1"/>
  <c r="V17" i="1"/>
  <c r="U535" i="1"/>
  <c r="V535" i="1"/>
  <c r="U640" i="1"/>
  <c r="V640" i="1"/>
  <c r="U78" i="1"/>
  <c r="V78" i="1"/>
  <c r="U577" i="1"/>
  <c r="V577" i="1"/>
  <c r="U474" i="1"/>
  <c r="V474" i="1"/>
  <c r="U808" i="1"/>
  <c r="V808" i="1"/>
  <c r="U280" i="1"/>
  <c r="V280" i="1"/>
  <c r="U887" i="1"/>
  <c r="V887" i="1"/>
  <c r="U70" i="1"/>
  <c r="V70" i="1"/>
  <c r="U683" i="1"/>
  <c r="V683" i="1"/>
  <c r="U454" i="1"/>
  <c r="V454" i="1"/>
  <c r="U749" i="1"/>
  <c r="V749" i="1"/>
  <c r="U197" i="1"/>
  <c r="V197" i="1"/>
  <c r="U361" i="1"/>
  <c r="V361" i="1"/>
  <c r="U502" i="1"/>
  <c r="V502" i="1"/>
  <c r="U333" i="1"/>
  <c r="V333" i="1"/>
  <c r="U262" i="1"/>
  <c r="V262" i="1"/>
  <c r="U442" i="1"/>
  <c r="V442" i="1"/>
  <c r="U870" i="1"/>
  <c r="V870" i="1"/>
  <c r="U540" i="1"/>
  <c r="V540" i="1"/>
  <c r="U429" i="1"/>
  <c r="V429" i="1"/>
  <c r="U312" i="1"/>
  <c r="V312" i="1"/>
  <c r="U565" i="1"/>
  <c r="V565" i="1"/>
  <c r="U249" i="1"/>
  <c r="V249" i="1"/>
  <c r="U415" i="1"/>
  <c r="V415" i="1"/>
  <c r="U599" i="1"/>
  <c r="V599" i="1"/>
  <c r="U779" i="1"/>
  <c r="V779" i="1"/>
  <c r="U735" i="1"/>
  <c r="V735" i="1"/>
  <c r="U162" i="1"/>
  <c r="V162" i="1"/>
  <c r="U705" i="1"/>
  <c r="V705" i="1"/>
  <c r="U18" i="1"/>
  <c r="V18" i="1"/>
  <c r="U743" i="1"/>
  <c r="V743" i="1"/>
  <c r="U680" i="1"/>
  <c r="V680" i="1"/>
  <c r="U746" i="1"/>
  <c r="V746" i="1"/>
  <c r="U279" i="1"/>
  <c r="V279" i="1"/>
  <c r="U741" i="1"/>
  <c r="V741" i="1"/>
  <c r="U512" i="1"/>
  <c r="V512" i="1"/>
  <c r="U181" i="1"/>
  <c r="V181" i="1"/>
  <c r="U843" i="1"/>
  <c r="V843" i="1"/>
  <c r="U95" i="1"/>
  <c r="V95" i="1"/>
  <c r="U816" i="1"/>
  <c r="V816" i="1"/>
  <c r="U445" i="1"/>
  <c r="V445" i="1"/>
  <c r="U199" i="1"/>
  <c r="V199" i="1"/>
  <c r="U499" i="1"/>
  <c r="V499" i="1"/>
  <c r="U419" i="1"/>
  <c r="V419" i="1"/>
  <c r="U252" i="1"/>
  <c r="V252" i="1"/>
  <c r="U335" i="1"/>
  <c r="V335" i="1"/>
  <c r="U339" i="1"/>
  <c r="V339" i="1"/>
  <c r="U216" i="1"/>
  <c r="V216" i="1"/>
  <c r="U844" i="1"/>
  <c r="V844" i="1"/>
  <c r="U111" i="1"/>
  <c r="V111" i="1"/>
  <c r="U402" i="1"/>
  <c r="V402" i="1"/>
  <c r="U186" i="1"/>
  <c r="V186" i="1"/>
  <c r="U229" i="1"/>
  <c r="V229" i="1"/>
  <c r="U305" i="1"/>
  <c r="V305" i="1"/>
  <c r="U67" i="1"/>
  <c r="V67" i="1"/>
  <c r="U659" i="1"/>
  <c r="V659" i="1"/>
  <c r="U314" i="1"/>
  <c r="V314" i="1"/>
  <c r="U345" i="1"/>
  <c r="V345" i="1"/>
  <c r="U472" i="1"/>
  <c r="V472" i="1"/>
  <c r="U190" i="1"/>
  <c r="V190" i="1"/>
  <c r="U493" i="1"/>
  <c r="V493" i="1"/>
  <c r="U304" i="1"/>
  <c r="V304" i="1"/>
  <c r="U222" i="1"/>
  <c r="V222" i="1"/>
  <c r="U233" i="1"/>
  <c r="V233" i="1"/>
  <c r="U765" i="1"/>
  <c r="V765" i="1"/>
  <c r="U637" i="1"/>
  <c r="V637" i="1"/>
  <c r="U610" i="1"/>
  <c r="V610" i="1"/>
  <c r="U390" i="1"/>
  <c r="V390" i="1"/>
  <c r="U809" i="1"/>
  <c r="V809" i="1"/>
  <c r="U861" i="1"/>
  <c r="V861" i="1"/>
  <c r="U665" i="1"/>
  <c r="V665" i="1"/>
  <c r="U630" i="1"/>
  <c r="V630" i="1"/>
  <c r="U764" i="1"/>
  <c r="V764" i="1"/>
  <c r="U145" i="1"/>
  <c r="V145" i="1"/>
  <c r="U161" i="1"/>
  <c r="V161" i="1"/>
  <c r="U457" i="1"/>
  <c r="V457" i="1"/>
  <c r="U246" i="1"/>
  <c r="V246" i="1"/>
  <c r="U93" i="1"/>
  <c r="V93" i="1"/>
  <c r="U217" i="1"/>
  <c r="V217" i="1"/>
  <c r="U573" i="1"/>
  <c r="V573" i="1"/>
  <c r="U364" i="1"/>
  <c r="V364" i="1"/>
  <c r="U421" i="1"/>
  <c r="V421" i="1"/>
  <c r="U819" i="1"/>
  <c r="V819" i="1"/>
  <c r="U209" i="1"/>
  <c r="V209" i="1"/>
  <c r="U716" i="1"/>
  <c r="V716" i="1"/>
  <c r="U756" i="1"/>
  <c r="V756" i="1"/>
  <c r="U109" i="1"/>
  <c r="V109" i="1"/>
  <c r="U20" i="1"/>
  <c r="V20" i="1"/>
  <c r="U591" i="1"/>
  <c r="V591" i="1"/>
  <c r="U184" i="1"/>
  <c r="V184" i="1"/>
  <c r="U772" i="1"/>
  <c r="V772" i="1"/>
  <c r="U325" i="1"/>
  <c r="V325" i="1"/>
  <c r="U327" i="1"/>
  <c r="V327" i="1"/>
  <c r="U299" i="1"/>
  <c r="V299" i="1"/>
  <c r="U114" i="1"/>
  <c r="V114" i="1"/>
  <c r="U372" i="1"/>
  <c r="V372" i="1"/>
  <c r="U697" i="1"/>
  <c r="V697" i="1"/>
  <c r="U213" i="1"/>
  <c r="V213" i="1"/>
  <c r="U165" i="1"/>
  <c r="V165" i="1"/>
  <c r="U657" i="1"/>
  <c r="V657" i="1"/>
  <c r="U155" i="1"/>
  <c r="V155" i="1"/>
  <c r="U694" i="1"/>
  <c r="V694" i="1"/>
  <c r="U183" i="1"/>
  <c r="V183" i="1"/>
  <c r="U310" i="1"/>
  <c r="V310" i="1"/>
  <c r="U838" i="1"/>
  <c r="V838" i="1"/>
  <c r="U626" i="1"/>
  <c r="V626" i="1"/>
  <c r="U660" i="1"/>
  <c r="V660" i="1"/>
  <c r="U810" i="1"/>
  <c r="V810" i="1"/>
  <c r="U238" i="1"/>
  <c r="V238" i="1"/>
  <c r="U56" i="1"/>
  <c r="V56" i="1"/>
  <c r="U417" i="1"/>
  <c r="V417" i="1"/>
  <c r="U831" i="1"/>
  <c r="V831" i="1"/>
  <c r="U620" i="1"/>
  <c r="V620" i="1"/>
  <c r="U422" i="1"/>
  <c r="V422" i="1"/>
  <c r="U654" i="1"/>
  <c r="V654" i="1"/>
  <c r="U180" i="1"/>
  <c r="V180" i="1"/>
  <c r="U31" i="1"/>
  <c r="V31" i="1"/>
  <c r="U75" i="1"/>
  <c r="V75" i="1"/>
  <c r="U534" i="1"/>
  <c r="V534" i="1"/>
  <c r="U682" i="1"/>
  <c r="V682" i="1"/>
  <c r="U463" i="1"/>
  <c r="V463" i="1"/>
  <c r="U645" i="1"/>
  <c r="V645" i="1"/>
  <c r="U673" i="1"/>
  <c r="V673" i="1"/>
  <c r="U789" i="1"/>
  <c r="V789" i="1"/>
  <c r="U461" i="1"/>
  <c r="V461" i="1"/>
  <c r="U320" i="1"/>
  <c r="V320" i="1"/>
  <c r="U787" i="1"/>
  <c r="V787" i="1"/>
  <c r="U87" i="1"/>
  <c r="V87" i="1"/>
  <c r="U545" i="1"/>
  <c r="V545" i="1"/>
  <c r="U600" i="1"/>
  <c r="V600" i="1"/>
  <c r="U271" i="1"/>
  <c r="V271" i="1"/>
  <c r="U250" i="1"/>
  <c r="V250" i="1"/>
  <c r="U798" i="1"/>
  <c r="V798" i="1"/>
  <c r="U11" i="1"/>
  <c r="V11" i="1"/>
  <c r="U484" i="1"/>
  <c r="V484" i="1"/>
  <c r="U848" i="1"/>
  <c r="V848" i="1"/>
  <c r="U346" i="1"/>
  <c r="V346" i="1"/>
  <c r="U24" i="1"/>
  <c r="V24" i="1"/>
  <c r="U643" i="1"/>
  <c r="V643" i="1"/>
  <c r="U521" i="1"/>
  <c r="V521" i="1"/>
  <c r="U734" i="1"/>
  <c r="V734" i="1"/>
  <c r="U880" i="1"/>
  <c r="V880" i="1"/>
  <c r="U896" i="1"/>
  <c r="V896" i="1"/>
  <c r="U344" i="1"/>
  <c r="V344" i="1"/>
  <c r="U380" i="1"/>
  <c r="V380" i="1"/>
  <c r="U805" i="1"/>
  <c r="V805" i="1"/>
  <c r="U713" i="1"/>
  <c r="V713" i="1"/>
  <c r="U783" i="1"/>
  <c r="V783" i="1"/>
  <c r="U117" i="1"/>
  <c r="V117" i="1"/>
  <c r="U585" i="1"/>
  <c r="V585" i="1"/>
  <c r="U795" i="1"/>
  <c r="V795" i="1"/>
  <c r="U690" i="1"/>
  <c r="V690" i="1"/>
  <c r="U536" i="1"/>
  <c r="V536" i="1"/>
  <c r="U82" i="1"/>
  <c r="V82" i="1"/>
  <c r="U255" i="1"/>
  <c r="V255" i="1"/>
  <c r="U675" i="1"/>
  <c r="V675" i="1"/>
  <c r="U497" i="1"/>
  <c r="V497" i="1"/>
  <c r="U667" i="1"/>
  <c r="V667" i="1"/>
  <c r="U239" i="1"/>
  <c r="V239" i="1"/>
  <c r="U773" i="1"/>
  <c r="V773" i="1"/>
  <c r="U10" i="1"/>
  <c r="V10" i="1"/>
  <c r="U283" i="1"/>
  <c r="V283" i="1"/>
  <c r="U387" i="1"/>
  <c r="V387" i="1"/>
  <c r="U581" i="1"/>
  <c r="V581" i="1"/>
  <c r="U284" i="1"/>
  <c r="V284" i="1"/>
  <c r="U884" i="1"/>
  <c r="V884" i="1"/>
  <c r="U750" i="1"/>
  <c r="V750" i="1"/>
  <c r="U34" i="1"/>
  <c r="V34" i="1"/>
  <c r="U268" i="1"/>
  <c r="V268" i="1"/>
  <c r="U80" i="1"/>
  <c r="V80" i="1"/>
  <c r="U29" i="1"/>
  <c r="V29" i="1"/>
  <c r="U189" i="1"/>
  <c r="V189" i="1"/>
  <c r="U867" i="1"/>
  <c r="V867" i="1"/>
  <c r="U61" i="1"/>
  <c r="V61" i="1"/>
  <c r="U538" i="1"/>
  <c r="V538" i="1"/>
  <c r="U174" i="1"/>
  <c r="V174" i="1"/>
  <c r="U315" i="1"/>
  <c r="V315" i="1"/>
  <c r="U532" i="1"/>
  <c r="V532" i="1"/>
  <c r="U903" i="1"/>
  <c r="V903" i="1"/>
  <c r="U317" i="1"/>
  <c r="V317" i="1"/>
  <c r="U790" i="1"/>
  <c r="V790" i="1"/>
  <c r="U590" i="1"/>
  <c r="V590" i="1"/>
  <c r="U740" i="1"/>
  <c r="V740" i="1"/>
  <c r="U718" i="1"/>
  <c r="V718" i="1"/>
  <c r="U757" i="1"/>
  <c r="V757" i="1"/>
  <c r="U411" i="1"/>
  <c r="V411" i="1"/>
  <c r="U248" i="1"/>
  <c r="V248" i="1"/>
  <c r="U337" i="1"/>
  <c r="V337" i="1"/>
  <c r="U278" i="1"/>
  <c r="V278" i="1"/>
  <c r="U274" i="1"/>
  <c r="V274" i="1"/>
  <c r="U715" i="1"/>
  <c r="V715" i="1"/>
  <c r="U498" i="1"/>
  <c r="V498" i="1"/>
  <c r="U94" i="1"/>
  <c r="V94" i="1"/>
  <c r="U475" i="1"/>
  <c r="V475" i="1"/>
  <c r="U55" i="1"/>
  <c r="V55" i="1"/>
  <c r="U439" i="1"/>
  <c r="V439" i="1"/>
  <c r="U644" i="1"/>
  <c r="V644" i="1"/>
  <c r="U427" i="1"/>
  <c r="V427" i="1"/>
  <c r="U824" i="1"/>
  <c r="V824" i="1"/>
  <c r="U171" i="1"/>
  <c r="V171" i="1"/>
  <c r="U711" i="1"/>
  <c r="V711" i="1"/>
  <c r="U242" i="1"/>
  <c r="V242" i="1"/>
  <c r="U684" i="1"/>
  <c r="V684" i="1"/>
  <c r="U533" i="1"/>
  <c r="V533" i="1"/>
  <c r="U266" i="1"/>
  <c r="V266" i="1"/>
  <c r="U523" i="1"/>
  <c r="V523" i="1"/>
  <c r="U663" i="1"/>
  <c r="V663" i="1"/>
  <c r="U813" i="1"/>
  <c r="V813" i="1"/>
  <c r="U664" i="1"/>
  <c r="V664" i="1"/>
  <c r="U706" i="1"/>
  <c r="V706" i="1"/>
  <c r="U110" i="1"/>
  <c r="V110" i="1"/>
  <c r="U511" i="1"/>
  <c r="V511" i="1"/>
  <c r="U650" i="1"/>
  <c r="V650" i="1"/>
  <c r="U193" i="1"/>
  <c r="V193" i="1"/>
  <c r="U527" i="1"/>
  <c r="V527" i="1"/>
  <c r="U240" i="1"/>
  <c r="V240" i="1"/>
  <c r="U833" i="1"/>
  <c r="V833" i="1"/>
  <c r="U771" i="1"/>
  <c r="V771" i="1"/>
  <c r="U225" i="1"/>
  <c r="V225" i="1"/>
  <c r="U5" i="1"/>
  <c r="V5" i="1"/>
  <c r="L567" i="1"/>
  <c r="N130" i="1"/>
  <c r="Q130" i="1" s="1"/>
  <c r="N187" i="1"/>
  <c r="R187" i="1" s="1"/>
  <c r="N766" i="1"/>
  <c r="Q766" i="1" s="1"/>
  <c r="N192" i="1"/>
  <c r="R192" i="1" s="1"/>
  <c r="N646" i="1"/>
  <c r="Q646" i="1" s="1"/>
  <c r="M700" i="1"/>
  <c r="L147" i="1"/>
  <c r="AA147" i="1" s="1"/>
  <c r="M63" i="1"/>
  <c r="L367" i="1"/>
  <c r="L135" i="1"/>
  <c r="AA135" i="1" s="1"/>
  <c r="M107" i="1"/>
  <c r="L307" i="1"/>
  <c r="L486" i="1"/>
  <c r="M308" i="1"/>
  <c r="M487" i="1"/>
  <c r="N55" i="1"/>
  <c r="R55" i="1" s="1"/>
  <c r="M383" i="1"/>
  <c r="L708" i="1"/>
  <c r="L57" i="1"/>
  <c r="AA57" i="1" s="1"/>
  <c r="M863" i="1"/>
  <c r="M85" i="1"/>
  <c r="N480" i="1"/>
  <c r="R480" i="1" s="1"/>
  <c r="M485" i="1"/>
  <c r="M141" i="1"/>
  <c r="M889" i="1"/>
  <c r="L105" i="1"/>
  <c r="AA105" i="1" s="1"/>
  <c r="N661" i="1"/>
  <c r="R661" i="1" s="1"/>
  <c r="M88" i="1"/>
  <c r="M28" i="1"/>
  <c r="L776" i="1"/>
  <c r="AA776" i="1" s="1"/>
  <c r="M368" i="1"/>
  <c r="M803" i="1"/>
  <c r="L879" i="1"/>
  <c r="AA879" i="1" s="1"/>
  <c r="M231" i="1"/>
  <c r="M624" i="1"/>
  <c r="L369" i="1"/>
  <c r="AA369" i="1" s="1"/>
  <c r="L377" i="1"/>
  <c r="AA377" i="1" s="1"/>
  <c r="L379" i="1"/>
  <c r="M653" i="1"/>
  <c r="M292" i="1"/>
  <c r="L167" i="1"/>
  <c r="AA167" i="1" s="1"/>
  <c r="L513" i="1"/>
  <c r="AA513" i="1" s="1"/>
  <c r="N295" i="1"/>
  <c r="R295" i="1" s="1"/>
  <c r="M341" i="1"/>
  <c r="N518" i="1"/>
  <c r="Q518" i="1" s="1"/>
  <c r="M762" i="1"/>
  <c r="M827" i="1"/>
  <c r="M83" i="1"/>
  <c r="L404" i="1"/>
  <c r="L886" i="1"/>
  <c r="M704" i="1"/>
  <c r="M826" i="1"/>
  <c r="M862" i="1"/>
  <c r="L74" i="1"/>
  <c r="M551" i="1"/>
  <c r="M745" i="1"/>
  <c r="M463" i="1"/>
  <c r="L160" i="1"/>
  <c r="AA160" i="1" s="1"/>
  <c r="M331" i="1"/>
  <c r="L443" i="1"/>
  <c r="AA443" i="1" s="1"/>
  <c r="L204" i="1"/>
  <c r="AA204" i="1" s="1"/>
  <c r="L821" i="1"/>
  <c r="AA821" i="1" s="1"/>
  <c r="M62" i="1"/>
  <c r="L247" i="1"/>
  <c r="AA247" i="1" s="1"/>
  <c r="M18" i="1"/>
  <c r="M36" i="1"/>
  <c r="M226" i="1"/>
  <c r="L608" i="1"/>
  <c r="AA608" i="1" s="1"/>
  <c r="L329" i="1"/>
  <c r="L775" i="1"/>
  <c r="AA775" i="1" s="1"/>
  <c r="M386" i="1"/>
  <c r="M578" i="1"/>
  <c r="M746" i="1"/>
  <c r="L269" i="1"/>
  <c r="N200" i="1"/>
  <c r="Q200" i="1" s="1"/>
  <c r="L326" i="1"/>
  <c r="L722" i="1"/>
  <c r="M702" i="1"/>
  <c r="M473" i="1"/>
  <c r="L733" i="1"/>
  <c r="M587" i="1"/>
  <c r="M613" i="1"/>
  <c r="M400" i="1"/>
  <c r="M670" i="1"/>
  <c r="M758" i="1"/>
  <c r="L388" i="1"/>
  <c r="AA388" i="1" s="1"/>
  <c r="M868" i="1"/>
  <c r="L645" i="1"/>
  <c r="L445" i="1"/>
  <c r="L600" i="1"/>
  <c r="AA600" i="1" s="1"/>
  <c r="L250" i="1"/>
  <c r="L484" i="1"/>
  <c r="AA484" i="1" s="1"/>
  <c r="L848" i="1"/>
  <c r="AA848" i="1" s="1"/>
  <c r="M687" i="1"/>
  <c r="N695" i="1"/>
  <c r="Q695" i="1" s="1"/>
  <c r="L568" i="1"/>
  <c r="AA568" i="1" s="1"/>
  <c r="L550" i="1"/>
  <c r="M595" i="1"/>
  <c r="M586" i="1"/>
  <c r="L186" i="1"/>
  <c r="M490" i="1"/>
  <c r="M460" i="1"/>
  <c r="L736" i="1"/>
  <c r="AA736" i="1" s="1"/>
  <c r="L755" i="1"/>
  <c r="AA755" i="1" s="1"/>
  <c r="M126" i="1"/>
  <c r="L878" i="1"/>
  <c r="L574" i="1"/>
  <c r="L14" i="1"/>
  <c r="L187" i="1"/>
  <c r="AA187" i="1" s="1"/>
  <c r="M570" i="1"/>
  <c r="L560" i="1"/>
  <c r="M497" i="1"/>
  <c r="M52" i="1"/>
  <c r="L593" i="1"/>
  <c r="AA593" i="1" s="1"/>
  <c r="L113" i="1"/>
  <c r="L26" i="1"/>
  <c r="AA26" i="1" s="1"/>
  <c r="L872" i="1"/>
  <c r="L270" i="1"/>
  <c r="M321" i="1"/>
  <c r="L844" i="1"/>
  <c r="AA844" i="1" s="1"/>
  <c r="L508" i="1"/>
  <c r="L604" i="1"/>
  <c r="AA604" i="1" s="1"/>
  <c r="L309" i="1"/>
  <c r="M494" i="1"/>
  <c r="M19" i="1"/>
  <c r="M789" i="1"/>
  <c r="M843" i="1"/>
  <c r="M787" i="1"/>
  <c r="M545" i="1"/>
  <c r="M30" i="1"/>
  <c r="M406" i="1"/>
  <c r="M9" i="1"/>
  <c r="L709" i="1"/>
  <c r="L488" i="1"/>
  <c r="L893" i="1"/>
  <c r="L666" i="1"/>
  <c r="AA666" i="1" s="1"/>
  <c r="L84" i="1"/>
  <c r="L90" i="1"/>
  <c r="M806" i="1"/>
  <c r="M592" i="1"/>
  <c r="M629" i="1"/>
  <c r="M219" i="1"/>
  <c r="M66" i="1"/>
  <c r="M820" i="1"/>
  <c r="L190" i="1"/>
  <c r="M143" i="1"/>
  <c r="L456" i="1"/>
  <c r="AA456" i="1" s="1"/>
  <c r="M366" i="1"/>
  <c r="M24" i="1"/>
  <c r="M257" i="1"/>
  <c r="M402" i="1"/>
  <c r="L12" i="1"/>
  <c r="L349" i="1"/>
  <c r="AA349" i="1" s="1"/>
  <c r="L382" i="1"/>
  <c r="L283" i="1"/>
  <c r="AA283" i="1" s="1"/>
  <c r="M698" i="1"/>
  <c r="L723" i="1"/>
  <c r="M158" i="1"/>
  <c r="M117" i="1"/>
  <c r="L584" i="1"/>
  <c r="AA584" i="1" s="1"/>
  <c r="M751" i="1"/>
  <c r="L304" i="1"/>
  <c r="AA304" i="1" s="1"/>
  <c r="M151" i="1"/>
  <c r="L137" i="1"/>
  <c r="L134" i="1"/>
  <c r="M166" i="1"/>
  <c r="L437" i="1"/>
  <c r="M707" i="1"/>
  <c r="L127" i="1"/>
  <c r="AA127" i="1" s="1"/>
  <c r="M298" i="1"/>
  <c r="L795" i="1"/>
  <c r="N797" i="1"/>
  <c r="R797" i="1" s="1"/>
  <c r="M647" i="1"/>
  <c r="L210" i="1"/>
  <c r="M786" i="1"/>
  <c r="L373" i="1"/>
  <c r="AA373" i="1" s="1"/>
  <c r="M637" i="1"/>
  <c r="M148" i="1"/>
  <c r="L289" i="1"/>
  <c r="M365" i="1"/>
  <c r="L529" i="1"/>
  <c r="AA529" i="1" s="1"/>
  <c r="M860" i="1"/>
  <c r="L164" i="1"/>
  <c r="M582" i="1"/>
  <c r="M353" i="1"/>
  <c r="M817" i="1"/>
  <c r="L305" i="1"/>
  <c r="M237" i="1"/>
  <c r="M345" i="1"/>
  <c r="L394" i="1"/>
  <c r="M804" i="1"/>
  <c r="L408" i="1"/>
  <c r="L120" i="1"/>
  <c r="AA120" i="1" s="1"/>
  <c r="M68" i="1"/>
  <c r="L814" i="1"/>
  <c r="L195" i="1"/>
  <c r="AA195" i="1" s="1"/>
  <c r="L390" i="1"/>
  <c r="M471" i="1"/>
  <c r="L794" i="1"/>
  <c r="L884" i="1"/>
  <c r="AA884" i="1" s="1"/>
  <c r="L520" i="1"/>
  <c r="AA520" i="1" s="1"/>
  <c r="M866" i="1"/>
  <c r="L376" i="1"/>
  <c r="AA376" i="1" s="1"/>
  <c r="L133" i="1"/>
  <c r="M196" i="1"/>
  <c r="M234" i="1"/>
  <c r="L448" i="1"/>
  <c r="M667" i="1"/>
  <c r="M354" i="1"/>
  <c r="M23" i="1"/>
  <c r="L311" i="1"/>
  <c r="L648" i="1"/>
  <c r="AA648" i="1" s="1"/>
  <c r="M188" i="1"/>
  <c r="M639" i="1"/>
  <c r="L69" i="1"/>
  <c r="AA69" i="1" s="1"/>
  <c r="L205" i="1"/>
  <c r="AA205" i="1" s="1"/>
  <c r="M607" i="1"/>
  <c r="M168" i="1"/>
  <c r="M256" i="1"/>
  <c r="M770" i="1"/>
  <c r="M281" i="1"/>
  <c r="M609" i="1"/>
  <c r="L229" i="1"/>
  <c r="AA229" i="1" s="1"/>
  <c r="L314" i="1"/>
  <c r="L380" i="1"/>
  <c r="M215" i="1"/>
  <c r="N660" i="1"/>
  <c r="R660" i="1" s="1"/>
  <c r="L871" i="1"/>
  <c r="M726" i="1"/>
  <c r="M64" i="1"/>
  <c r="M416" i="1"/>
  <c r="M697" i="1"/>
  <c r="L255" i="1"/>
  <c r="AA255" i="1" s="1"/>
  <c r="M498" i="1"/>
  <c r="M688" i="1"/>
  <c r="L347" i="1"/>
  <c r="AA347" i="1" s="1"/>
  <c r="M146" i="1"/>
  <c r="M496" i="1"/>
  <c r="L290" i="1"/>
  <c r="L370" i="1"/>
  <c r="L528" i="1"/>
  <c r="L467" i="1"/>
  <c r="AA467" i="1" s="1"/>
  <c r="M299" i="1"/>
  <c r="L114" i="1"/>
  <c r="AA114" i="1" s="1"/>
  <c r="L197" i="1"/>
  <c r="L76" i="1"/>
  <c r="L41" i="1"/>
  <c r="L350" i="1"/>
  <c r="M399" i="1"/>
  <c r="L313" i="1"/>
  <c r="L603" i="1"/>
  <c r="AA603" i="1" s="1"/>
  <c r="M375" i="1"/>
  <c r="L6" i="1"/>
  <c r="AA6" i="1" s="1"/>
  <c r="M285" i="1"/>
  <c r="L717" i="1"/>
  <c r="AA717" i="1" s="1"/>
  <c r="M766" i="1"/>
  <c r="M192" i="1"/>
  <c r="M845" i="1"/>
  <c r="L569" i="1"/>
  <c r="M839" i="1"/>
  <c r="L662" i="1"/>
  <c r="AA662" i="1" s="1"/>
  <c r="L836" i="1"/>
  <c r="L748" i="1"/>
  <c r="AA748" i="1" s="1"/>
  <c r="L901" i="1"/>
  <c r="AA901" i="1" s="1"/>
  <c r="M526" i="1"/>
  <c r="L47" i="1"/>
  <c r="AA47" i="1" s="1"/>
  <c r="M71" i="1"/>
  <c r="L165" i="1"/>
  <c r="AA165" i="1" s="1"/>
  <c r="M27" i="1"/>
  <c r="M635" i="1"/>
  <c r="M182" i="1"/>
  <c r="L123" i="1"/>
  <c r="AA123" i="1" s="1"/>
  <c r="L246" i="1"/>
  <c r="AA246" i="1" s="1"/>
  <c r="M132" i="1"/>
  <c r="M420" i="1"/>
  <c r="M397" i="1"/>
  <c r="M17" i="1"/>
  <c r="L819" i="1"/>
  <c r="AA819" i="1" s="1"/>
  <c r="M209" i="1"/>
  <c r="L602" i="1"/>
  <c r="M887" i="1"/>
  <c r="L249" i="1"/>
  <c r="AA249" i="1" s="1"/>
  <c r="L828" i="1"/>
  <c r="AA828" i="1" s="1"/>
  <c r="L509" i="1"/>
  <c r="AA509" i="1" s="1"/>
  <c r="M611" i="1"/>
  <c r="L793" i="1"/>
  <c r="M876" i="1"/>
  <c r="L320" i="1"/>
  <c r="AA320" i="1" s="1"/>
  <c r="L651" i="1"/>
  <c r="AA651" i="1" s="1"/>
  <c r="L724" i="1"/>
  <c r="AA724" i="1" s="1"/>
  <c r="L96" i="1"/>
  <c r="AA96" i="1" s="1"/>
  <c r="M154" i="1"/>
  <c r="L101" i="1"/>
  <c r="AA101" i="1" s="1"/>
  <c r="L271" i="1"/>
  <c r="M293" i="1"/>
  <c r="L150" i="1"/>
  <c r="AA150" i="1" s="1"/>
  <c r="M798" i="1"/>
  <c r="L100" i="1"/>
  <c r="AA100" i="1" s="1"/>
  <c r="L87" i="1"/>
  <c r="L89" i="1"/>
  <c r="L659" i="1"/>
  <c r="L788" i="1"/>
  <c r="M900" i="1"/>
  <c r="M159" i="1"/>
  <c r="L503" i="1"/>
  <c r="L398" i="1"/>
  <c r="L346" i="1"/>
  <c r="AA346" i="1" s="1"/>
  <c r="M211" i="1"/>
  <c r="L86" i="1"/>
  <c r="M572" i="1"/>
  <c r="L601" i="1"/>
  <c r="AA601" i="1" s="1"/>
  <c r="M239" i="1"/>
  <c r="L546" i="1"/>
  <c r="AA546" i="1" s="1"/>
  <c r="L469" i="1"/>
  <c r="L170" i="1"/>
  <c r="AA170" i="1" s="1"/>
  <c r="L38" i="1"/>
  <c r="AA38" i="1" s="1"/>
  <c r="M627" i="1"/>
  <c r="L157" i="1"/>
  <c r="L476" i="1"/>
  <c r="AA476" i="1" s="1"/>
  <c r="M610" i="1"/>
  <c r="L809" i="1"/>
  <c r="M169" i="1"/>
  <c r="M10" i="1"/>
  <c r="L387" i="1"/>
  <c r="AA387" i="1" s="1"/>
  <c r="M504" i="1"/>
  <c r="L385" i="1"/>
  <c r="M501" i="1"/>
  <c r="M711" i="1"/>
  <c r="M268" i="1"/>
  <c r="M630" i="1"/>
  <c r="L29" i="1"/>
  <c r="L622" i="1"/>
  <c r="M764" i="1"/>
  <c r="M145" i="1"/>
  <c r="M161" i="1"/>
  <c r="L457" i="1"/>
  <c r="AA457" i="1" s="1"/>
  <c r="M93" i="1"/>
  <c r="M21" i="1"/>
  <c r="M48" i="1"/>
  <c r="L217" i="1"/>
  <c r="AA217" i="1" s="1"/>
  <c r="M364" i="1"/>
  <c r="L421" i="1"/>
  <c r="AA421" i="1" s="1"/>
  <c r="M716" i="1"/>
  <c r="L109" i="1"/>
  <c r="AA109" i="1" s="1"/>
  <c r="L42" i="1"/>
  <c r="L327" i="1"/>
  <c r="L468" i="1"/>
  <c r="AA468" i="1" s="1"/>
  <c r="M657" i="1"/>
  <c r="L310" i="1"/>
  <c r="M838" i="1"/>
  <c r="L626" i="1"/>
  <c r="L180" i="1"/>
  <c r="M433" i="1"/>
  <c r="M741" i="1"/>
  <c r="L389" i="1"/>
  <c r="L753" i="1"/>
  <c r="M288" i="1"/>
  <c r="M351" i="1"/>
  <c r="L579" i="1"/>
  <c r="L873" i="1"/>
  <c r="AA873" i="1" s="1"/>
  <c r="M865" i="1"/>
  <c r="L507" i="1"/>
  <c r="AA507" i="1" s="1"/>
  <c r="M877" i="1"/>
  <c r="L725" i="1"/>
  <c r="M730" i="1"/>
  <c r="L479" i="1"/>
  <c r="AA479" i="1" s="1"/>
  <c r="M506" i="1"/>
  <c r="M228" i="1"/>
  <c r="L98" i="1"/>
  <c r="AA98" i="1" s="1"/>
  <c r="M615" i="1"/>
  <c r="M656" i="1"/>
  <c r="M447" i="1"/>
  <c r="M896" i="1"/>
  <c r="L344" i="1"/>
  <c r="M747" i="1"/>
  <c r="M655" i="1"/>
  <c r="M91" i="1"/>
  <c r="L541" i="1"/>
  <c r="AA541" i="1" s="1"/>
  <c r="M359" i="1"/>
  <c r="L318" i="1"/>
  <c r="L129" i="1"/>
  <c r="AA129" i="1" s="1"/>
  <c r="M675" i="1"/>
  <c r="M409" i="1"/>
  <c r="L294" i="1"/>
  <c r="AA294" i="1" s="1"/>
  <c r="M297" i="1"/>
  <c r="M466" i="1"/>
  <c r="L155" i="1"/>
  <c r="L439" i="1"/>
  <c r="L7" i="1"/>
  <c r="M174" i="1"/>
  <c r="L790" i="1"/>
  <c r="AA790" i="1" s="1"/>
  <c r="L740" i="1"/>
  <c r="AA740" i="1" s="1"/>
  <c r="L855" i="1"/>
  <c r="AA855" i="1" s="1"/>
  <c r="L718" i="1"/>
  <c r="AA718" i="1" s="1"/>
  <c r="L362" i="1"/>
  <c r="L411" i="1"/>
  <c r="AA411" i="1" s="1"/>
  <c r="L337" i="1"/>
  <c r="M278" i="1"/>
  <c r="M715" i="1"/>
  <c r="M94" i="1"/>
  <c r="M475" i="1"/>
  <c r="N749" i="1"/>
  <c r="R749" i="1" s="1"/>
  <c r="M684" i="1"/>
  <c r="L333" i="1"/>
  <c r="AA333" i="1" s="1"/>
  <c r="L429" i="1"/>
  <c r="AA429" i="1" s="1"/>
  <c r="L266" i="1"/>
  <c r="AA266" i="1" s="1"/>
  <c r="L193" i="1"/>
  <c r="AA193" i="1" s="1"/>
  <c r="M527" i="1"/>
  <c r="M240" i="1"/>
  <c r="M771" i="1"/>
  <c r="M431" i="1"/>
  <c r="L15" i="1"/>
  <c r="AA15" i="1" s="1"/>
  <c r="M335" i="1"/>
  <c r="L638" i="1"/>
  <c r="M658" i="1"/>
  <c r="L99" i="1"/>
  <c r="AA99" i="1" s="1"/>
  <c r="L812" i="1"/>
  <c r="L46" i="1"/>
  <c r="AA46" i="1" s="1"/>
  <c r="M162" i="1"/>
  <c r="L552" i="1"/>
  <c r="L588" i="1"/>
  <c r="M11" i="1"/>
  <c r="N521" i="1"/>
  <c r="Q521" i="1" s="1"/>
  <c r="N576" i="1"/>
  <c r="R576" i="1" s="1"/>
  <c r="M643" i="1"/>
  <c r="M767" i="1"/>
  <c r="L67" i="1"/>
  <c r="AA67" i="1" s="1"/>
  <c r="M342" i="1"/>
  <c r="L261" i="1"/>
  <c r="L472" i="1"/>
  <c r="M623" i="1"/>
  <c r="M438" i="1"/>
  <c r="M731" i="1"/>
  <c r="M589" i="1"/>
  <c r="L453" i="1"/>
  <c r="L39" i="1"/>
  <c r="L207" i="1"/>
  <c r="L524" i="1"/>
  <c r="AA524" i="1" s="1"/>
  <c r="L206" i="1"/>
  <c r="AA206" i="1" s="1"/>
  <c r="M765" i="1"/>
  <c r="M232" i="1"/>
  <c r="L428" i="1"/>
  <c r="AA428" i="1" s="1"/>
  <c r="M801" i="1"/>
  <c r="M34" i="1"/>
  <c r="M152" i="1"/>
  <c r="L130" i="1"/>
  <c r="L338" i="1"/>
  <c r="AA338" i="1" s="1"/>
  <c r="L597" i="1"/>
  <c r="M867" i="1"/>
  <c r="M391" i="1"/>
  <c r="L177" i="1"/>
  <c r="M407" i="1"/>
  <c r="L573" i="1"/>
  <c r="AA573" i="1" s="1"/>
  <c r="L728" i="1"/>
  <c r="M423" i="1"/>
  <c r="L149" i="1"/>
  <c r="AA149" i="1" s="1"/>
  <c r="L306" i="1"/>
  <c r="AA306" i="1" s="1"/>
  <c r="L668" i="1"/>
  <c r="AA668" i="1" s="1"/>
  <c r="M185" i="1"/>
  <c r="L566" i="1"/>
  <c r="AA566" i="1" s="1"/>
  <c r="M491" i="1"/>
  <c r="L780" i="1"/>
  <c r="AA780" i="1" s="1"/>
  <c r="L106" i="1"/>
  <c r="AA106" i="1" s="1"/>
  <c r="M620" i="1"/>
  <c r="M5" i="1"/>
  <c r="N647" i="1"/>
  <c r="R647" i="1" s="1"/>
  <c r="N190" i="1"/>
  <c r="Q190" i="1" s="1"/>
  <c r="N528" i="1"/>
  <c r="Q528" i="1" s="1"/>
  <c r="N512" i="1"/>
  <c r="Q512" i="1" s="1"/>
  <c r="N542" i="1"/>
  <c r="Q542" i="1" s="1"/>
  <c r="N452" i="1"/>
  <c r="Q452" i="1" s="1"/>
  <c r="N425" i="1"/>
  <c r="Q425" i="1" s="1"/>
  <c r="N759" i="1"/>
  <c r="Q759" i="1" s="1"/>
  <c r="N75" i="1"/>
  <c r="Q75" i="1" s="1"/>
  <c r="N492" i="1"/>
  <c r="Q492" i="1" s="1"/>
  <c r="N739" i="1"/>
  <c r="Q739" i="1" s="1"/>
  <c r="N842" i="1"/>
  <c r="Q842" i="1" s="1"/>
  <c r="N784" i="1"/>
  <c r="R784" i="1" s="1"/>
  <c r="L627" i="1"/>
  <c r="AA627" i="1" s="1"/>
  <c r="N126" i="1"/>
  <c r="Q126" i="1" s="1"/>
  <c r="N767" i="1"/>
  <c r="Q767" i="1" s="1"/>
  <c r="N186" i="1"/>
  <c r="R186" i="1" s="1"/>
  <c r="M668" i="1"/>
  <c r="M708" i="1"/>
  <c r="M486" i="1"/>
  <c r="N486" i="1"/>
  <c r="R486" i="1" s="1"/>
  <c r="L308" i="1"/>
  <c r="L107" i="1"/>
  <c r="AA107" i="1" s="1"/>
  <c r="N487" i="1"/>
  <c r="R487" i="1" s="1"/>
  <c r="L863" i="1"/>
  <c r="N107" i="1"/>
  <c r="Q107" i="1" s="1"/>
  <c r="M307" i="1"/>
  <c r="L487" i="1"/>
  <c r="L148" i="1"/>
  <c r="N308" i="1"/>
  <c r="R308" i="1" s="1"/>
  <c r="N388" i="1"/>
  <c r="R388" i="1" s="1"/>
  <c r="N351" i="1"/>
  <c r="R351" i="1" s="1"/>
  <c r="N68" i="1"/>
  <c r="R68" i="1" s="1"/>
  <c r="N86" i="1"/>
  <c r="Q86" i="1" s="1"/>
  <c r="N230" i="1"/>
  <c r="Q230" i="1" s="1"/>
  <c r="N546" i="1"/>
  <c r="R546" i="1" s="1"/>
  <c r="N688" i="1"/>
  <c r="Q688" i="1" s="1"/>
  <c r="N539" i="1"/>
  <c r="R539" i="1" s="1"/>
  <c r="N370" i="1"/>
  <c r="R370" i="1" s="1"/>
  <c r="N606" i="1"/>
  <c r="Q606" i="1" s="1"/>
  <c r="N887" i="1"/>
  <c r="Q887" i="1" s="1"/>
  <c r="N779" i="1"/>
  <c r="Q779" i="1" s="1"/>
  <c r="N259" i="1"/>
  <c r="Q259" i="1" s="1"/>
  <c r="N148" i="1"/>
  <c r="R148" i="1" s="1"/>
  <c r="N350" i="1"/>
  <c r="R350" i="1" s="1"/>
  <c r="L868" i="1"/>
  <c r="AA868" i="1" s="1"/>
  <c r="N292" i="1"/>
  <c r="R292" i="1" s="1"/>
  <c r="L108" i="1"/>
  <c r="AA108" i="1" s="1"/>
  <c r="N562" i="1"/>
  <c r="Q562" i="1" s="1"/>
  <c r="N648" i="1"/>
  <c r="R648" i="1" s="1"/>
  <c r="N69" i="1"/>
  <c r="Q69" i="1" s="1"/>
  <c r="M167" i="1"/>
  <c r="M513" i="1"/>
  <c r="N791" i="1"/>
  <c r="Q791" i="1" s="1"/>
  <c r="L52" i="1"/>
  <c r="N138" i="1"/>
  <c r="R138" i="1" s="1"/>
  <c r="N167" i="1"/>
  <c r="Q167" i="1" s="1"/>
  <c r="M69" i="1"/>
  <c r="N728" i="1"/>
  <c r="Q728" i="1" s="1"/>
  <c r="N721" i="1"/>
  <c r="R721" i="1" s="1"/>
  <c r="M210" i="1"/>
  <c r="N833" i="1"/>
  <c r="Q833" i="1" s="1"/>
  <c r="N743" i="1"/>
  <c r="Q743" i="1" s="1"/>
  <c r="L646" i="1"/>
  <c r="N735" i="1"/>
  <c r="Q735" i="1" s="1"/>
  <c r="N488" i="1"/>
  <c r="Q488" i="1" s="1"/>
  <c r="N279" i="1"/>
  <c r="Q279" i="1" s="1"/>
  <c r="N150" i="1"/>
  <c r="Q150" i="1" s="1"/>
  <c r="N897" i="1"/>
  <c r="Q897" i="1" s="1"/>
  <c r="N883" i="1"/>
  <c r="Q883" i="1" s="1"/>
  <c r="N243" i="1"/>
  <c r="Q243" i="1" s="1"/>
  <c r="N840" i="1"/>
  <c r="R840" i="1" s="1"/>
  <c r="N282" i="1"/>
  <c r="Q282" i="1" s="1"/>
  <c r="N621" i="1"/>
  <c r="Q621" i="1" s="1"/>
  <c r="N713" i="1"/>
  <c r="Q713" i="1" s="1"/>
  <c r="N605" i="1"/>
  <c r="R605" i="1" s="1"/>
  <c r="N179" i="1"/>
  <c r="Q179" i="1" s="1"/>
  <c r="N827" i="1"/>
  <c r="Q827" i="1" s="1"/>
  <c r="N331" i="1"/>
  <c r="Q331" i="1" s="1"/>
  <c r="N556" i="1"/>
  <c r="Q556" i="1" s="1"/>
  <c r="N59" i="1"/>
  <c r="Q59" i="1" s="1"/>
  <c r="N73" i="1"/>
  <c r="R73" i="1" s="1"/>
  <c r="L228" i="1"/>
  <c r="L447" i="1"/>
  <c r="N591" i="1"/>
  <c r="Q591" i="1" s="1"/>
  <c r="L128" i="1"/>
  <c r="N52" i="1"/>
  <c r="Q52" i="1" s="1"/>
  <c r="M127" i="1"/>
  <c r="N16" i="1"/>
  <c r="L827" i="1"/>
  <c r="AA827" i="1" s="1"/>
  <c r="N353" i="1"/>
  <c r="R353" i="1" s="1"/>
  <c r="L707" i="1"/>
  <c r="L351" i="1"/>
  <c r="AA351" i="1" s="1"/>
  <c r="N459" i="1"/>
  <c r="Q459" i="1" s="1"/>
  <c r="N67" i="1"/>
  <c r="R67" i="1" s="1"/>
  <c r="N242" i="1"/>
  <c r="Q242" i="1" s="1"/>
  <c r="M499" i="1"/>
  <c r="N499" i="1"/>
  <c r="Q499" i="1" s="1"/>
  <c r="N781" i="1"/>
  <c r="Q781" i="1" s="1"/>
  <c r="N25" i="1"/>
  <c r="Q25" i="1" s="1"/>
  <c r="N371" i="1"/>
  <c r="Q371" i="1" s="1"/>
  <c r="N571" i="1"/>
  <c r="Q571" i="1" s="1"/>
  <c r="M788" i="1"/>
  <c r="L826" i="1"/>
  <c r="N174" i="1"/>
  <c r="Q174" i="1" s="1"/>
  <c r="N403" i="1"/>
  <c r="Q403" i="1" s="1"/>
  <c r="N634" i="1"/>
  <c r="Q634" i="1" s="1"/>
  <c r="N729" i="1"/>
  <c r="Q729" i="1" s="1"/>
  <c r="N363" i="1"/>
  <c r="Q363" i="1" s="1"/>
  <c r="N768" i="1"/>
  <c r="R768" i="1" s="1"/>
  <c r="N35" i="1"/>
  <c r="Q35" i="1" s="1"/>
  <c r="N418" i="1"/>
  <c r="Q418" i="1" s="1"/>
  <c r="L687" i="1"/>
  <c r="AA687" i="1" s="1"/>
  <c r="N830" i="1"/>
  <c r="Q830" i="1" s="1"/>
  <c r="L766" i="1"/>
  <c r="AA766" i="1" s="1"/>
  <c r="N235" i="1"/>
  <c r="Q235" i="1" s="1"/>
  <c r="N223" i="1"/>
  <c r="Q223" i="1" s="1"/>
  <c r="N142" i="1"/>
  <c r="Q142" i="1" s="1"/>
  <c r="M848" i="1"/>
  <c r="N127" i="1"/>
  <c r="Q127" i="1" s="1"/>
  <c r="M289" i="1"/>
  <c r="M186" i="1"/>
  <c r="L767" i="1"/>
  <c r="L789" i="1"/>
  <c r="AA789" i="1" s="1"/>
  <c r="M206" i="1"/>
  <c r="N307" i="1"/>
  <c r="R307" i="1" s="1"/>
  <c r="N851" i="1"/>
  <c r="Q851" i="1" s="1"/>
  <c r="N461" i="1"/>
  <c r="Q461" i="1" s="1"/>
  <c r="N783" i="1"/>
  <c r="R783" i="1" s="1"/>
  <c r="N356" i="1"/>
  <c r="Q356" i="1" s="1"/>
  <c r="N401" i="1"/>
  <c r="R401" i="1" s="1"/>
  <c r="N894" i="1"/>
  <c r="R894" i="1" s="1"/>
  <c r="N40" i="1"/>
  <c r="Q40" i="1" s="1"/>
  <c r="N627" i="1"/>
  <c r="R627" i="1" s="1"/>
  <c r="N289" i="1"/>
  <c r="Q289" i="1" s="1"/>
  <c r="N277" i="1"/>
  <c r="Q277" i="1" s="1"/>
  <c r="M326" i="1"/>
  <c r="N125" i="1"/>
  <c r="N328" i="1"/>
  <c r="Q328" i="1" s="1"/>
  <c r="N220" i="1"/>
  <c r="R220" i="1" s="1"/>
  <c r="L353" i="1"/>
  <c r="N525" i="1"/>
  <c r="R525" i="1" s="1"/>
  <c r="N631" i="1"/>
  <c r="Q631" i="1" s="1"/>
  <c r="N564" i="1"/>
  <c r="Q564" i="1" s="1"/>
  <c r="M150" i="1"/>
  <c r="M371" i="1"/>
  <c r="L371" i="1"/>
  <c r="AA371" i="1" s="1"/>
  <c r="M313" i="1"/>
  <c r="N194" i="1"/>
  <c r="R194" i="1" s="1"/>
  <c r="N427" i="1"/>
  <c r="Q427" i="1" s="1"/>
  <c r="N664" i="1"/>
  <c r="Q664" i="1" s="1"/>
  <c r="N241" i="1"/>
  <c r="Q241" i="1" s="1"/>
  <c r="M408" i="1"/>
  <c r="N313" i="1"/>
  <c r="R313" i="1" s="1"/>
  <c r="N384" i="1"/>
  <c r="Q384" i="1" s="1"/>
  <c r="M748" i="1"/>
  <c r="M250" i="1"/>
  <c r="L126" i="1"/>
  <c r="AA126" i="1" s="1"/>
  <c r="N87" i="1"/>
  <c r="Q87" i="1" s="1"/>
  <c r="M666" i="1"/>
  <c r="N33" i="1"/>
  <c r="Q33" i="1" s="1"/>
  <c r="N326" i="1"/>
  <c r="R326" i="1" s="1"/>
  <c r="M528" i="1"/>
  <c r="L630" i="1"/>
  <c r="L606" i="1"/>
  <c r="N559" i="1"/>
  <c r="Q559" i="1" s="1"/>
  <c r="N788" i="1"/>
  <c r="R788" i="1" s="1"/>
  <c r="N789" i="1"/>
  <c r="R789" i="1" s="1"/>
  <c r="N422" i="1"/>
  <c r="Q422" i="1" s="1"/>
  <c r="N598" i="1"/>
  <c r="R598" i="1" s="1"/>
  <c r="N611" i="1"/>
  <c r="R611" i="1" s="1"/>
  <c r="N630" i="1"/>
  <c r="Q630" i="1" s="1"/>
  <c r="N29" i="1"/>
  <c r="Q29" i="1" s="1"/>
  <c r="N413" i="1"/>
  <c r="R413" i="1" s="1"/>
  <c r="N826" i="1"/>
  <c r="R826" i="1" s="1"/>
  <c r="N9" i="1"/>
  <c r="N339" i="1"/>
  <c r="Q339" i="1" s="1"/>
  <c r="N426" i="1"/>
  <c r="Q426" i="1" s="1"/>
  <c r="N707" i="1"/>
  <c r="Q707" i="1" s="1"/>
  <c r="N170" i="1"/>
  <c r="R170" i="1" s="1"/>
  <c r="N296" i="1"/>
  <c r="Q296" i="1" s="1"/>
  <c r="N596" i="1"/>
  <c r="Q596" i="1" s="1"/>
  <c r="N291" i="1"/>
  <c r="R291" i="1" s="1"/>
  <c r="N360" i="1"/>
  <c r="Q360" i="1" s="1"/>
  <c r="N391" i="1"/>
  <c r="R391" i="1" s="1"/>
  <c r="L611" i="1"/>
  <c r="AA611" i="1" s="1"/>
  <c r="N683" i="1"/>
  <c r="Q683" i="1" s="1"/>
  <c r="N549" i="1"/>
  <c r="Q549" i="1" s="1"/>
  <c r="N677" i="1"/>
  <c r="Q677" i="1" s="1"/>
  <c r="N163" i="1"/>
  <c r="R163" i="1" s="1"/>
  <c r="N640" i="1"/>
  <c r="R640" i="1" s="1"/>
  <c r="N748" i="1"/>
  <c r="Q748" i="1" s="1"/>
  <c r="N246" i="1"/>
  <c r="R246" i="1" s="1"/>
  <c r="N787" i="1"/>
  <c r="Q787" i="1" s="1"/>
  <c r="M67" i="1"/>
  <c r="M349" i="1"/>
  <c r="L328" i="1"/>
  <c r="N446" i="1"/>
  <c r="Q446" i="1" s="1"/>
  <c r="N513" i="1"/>
  <c r="Q513" i="1" s="1"/>
  <c r="N832" i="1"/>
  <c r="Q832" i="1" s="1"/>
  <c r="N824" i="1"/>
  <c r="Q824" i="1" s="1"/>
  <c r="N171" i="1"/>
  <c r="R171" i="1" s="1"/>
  <c r="N61" i="1"/>
  <c r="Q61" i="1" s="1"/>
  <c r="N522" i="1"/>
  <c r="Q522" i="1" s="1"/>
  <c r="N863" i="1"/>
  <c r="R863" i="1" s="1"/>
  <c r="N310" i="1"/>
  <c r="Q310" i="1" s="1"/>
  <c r="N464" i="1"/>
  <c r="Q464" i="1" s="1"/>
  <c r="N82" i="1"/>
  <c r="Q82" i="1" s="1"/>
  <c r="N532" i="1"/>
  <c r="Q532" i="1" s="1"/>
  <c r="N115" i="1"/>
  <c r="Q115" i="1" s="1"/>
  <c r="M29" i="1"/>
  <c r="N772" i="1"/>
  <c r="R772" i="1" s="1"/>
  <c r="N644" i="1"/>
  <c r="Q644" i="1" s="1"/>
  <c r="M828" i="1"/>
  <c r="N58" i="1"/>
  <c r="Q58" i="1" s="1"/>
  <c r="N248" i="1"/>
  <c r="Q248" i="1" s="1"/>
  <c r="N357" i="1"/>
  <c r="Q357" i="1" s="1"/>
  <c r="M248" i="1"/>
  <c r="N124" i="1"/>
  <c r="Q124" i="1" s="1"/>
  <c r="L368" i="1"/>
  <c r="AA368" i="1" s="1"/>
  <c r="N408" i="1"/>
  <c r="Q408" i="1" s="1"/>
  <c r="N537" i="1"/>
  <c r="Q537" i="1" s="1"/>
  <c r="N275" i="1"/>
  <c r="Q275" i="1" s="1"/>
  <c r="N415" i="1"/>
  <c r="R415" i="1" s="1"/>
  <c r="N706" i="1"/>
  <c r="Q706" i="1" s="1"/>
  <c r="N885" i="1"/>
  <c r="R885" i="1" s="1"/>
  <c r="N703" i="1"/>
  <c r="Q703" i="1" s="1"/>
  <c r="N10" i="1"/>
  <c r="M129" i="1"/>
  <c r="L10" i="1"/>
  <c r="M170" i="1"/>
  <c r="L703" i="1"/>
  <c r="AA703" i="1" s="1"/>
  <c r="L787" i="1"/>
  <c r="AA787" i="1" s="1"/>
  <c r="N853" i="1"/>
  <c r="Q853" i="1" s="1"/>
  <c r="N676" i="1"/>
  <c r="Q676" i="1" s="1"/>
  <c r="N178" i="1"/>
  <c r="Q178" i="1" s="1"/>
  <c r="N563" i="1"/>
  <c r="Q563" i="1" s="1"/>
  <c r="N181" i="1"/>
  <c r="Q181" i="1" s="1"/>
  <c r="N867" i="1"/>
  <c r="Q867" i="1" s="1"/>
  <c r="N823" i="1"/>
  <c r="Q823" i="1" s="1"/>
  <c r="N850" i="1"/>
  <c r="Q850" i="1" s="1"/>
  <c r="M134" i="1"/>
  <c r="N112" i="1"/>
  <c r="Q112" i="1" s="1"/>
  <c r="L431" i="1"/>
  <c r="AA431" i="1" s="1"/>
  <c r="N561" i="1"/>
  <c r="Q561" i="1" s="1"/>
  <c r="M87" i="1"/>
  <c r="L288" i="1"/>
  <c r="AA288" i="1" s="1"/>
  <c r="L9" i="1"/>
  <c r="M546" i="1"/>
  <c r="N848" i="1"/>
  <c r="Q848" i="1" s="1"/>
  <c r="N129" i="1"/>
  <c r="R129" i="1" s="1"/>
  <c r="N904" i="1"/>
  <c r="R904" i="1" s="1"/>
  <c r="N465" i="1"/>
  <c r="Q465" i="1" s="1"/>
  <c r="N312" i="1"/>
  <c r="Q312" i="1" s="1"/>
  <c r="N890" i="1"/>
  <c r="Q890" i="1" s="1"/>
  <c r="N225" i="1"/>
  <c r="Q225" i="1" s="1"/>
  <c r="M78" i="1"/>
  <c r="N78" i="1"/>
  <c r="Q78" i="1" s="1"/>
  <c r="M130" i="1"/>
  <c r="N366" i="1"/>
  <c r="R366" i="1" s="1"/>
  <c r="N74" i="1"/>
  <c r="Q74" i="1" s="1"/>
  <c r="N28" i="1"/>
  <c r="R28" i="1" s="1"/>
  <c r="N726" i="1"/>
  <c r="R726" i="1" s="1"/>
  <c r="N210" i="1"/>
  <c r="R210" i="1" s="1"/>
  <c r="M728" i="1"/>
  <c r="M328" i="1"/>
  <c r="L391" i="1"/>
  <c r="AA391" i="1" s="1"/>
  <c r="N193" i="1"/>
  <c r="Q193" i="1" s="1"/>
  <c r="M706" i="1"/>
  <c r="L706" i="1"/>
  <c r="AA706" i="1" s="1"/>
  <c r="L730" i="1"/>
  <c r="N147" i="1"/>
  <c r="R147" i="1" s="1"/>
  <c r="N368" i="1"/>
  <c r="Q368" i="1" s="1"/>
  <c r="N306" i="1"/>
  <c r="Q306" i="1" s="1"/>
  <c r="L384" i="1"/>
  <c r="AA384" i="1" s="1"/>
  <c r="L746" i="1"/>
  <c r="M246" i="1"/>
  <c r="L711" i="1"/>
  <c r="AA711" i="1" s="1"/>
  <c r="N466" i="1"/>
  <c r="Q466" i="1" s="1"/>
  <c r="M47" i="1"/>
  <c r="M149" i="1"/>
  <c r="L731" i="1"/>
  <c r="AA731" i="1" s="1"/>
  <c r="L92" i="1"/>
  <c r="M426" i="1"/>
  <c r="N389" i="1"/>
  <c r="Q389" i="1" s="1"/>
  <c r="N228" i="1"/>
  <c r="R228" i="1" s="1"/>
  <c r="M488" i="1"/>
  <c r="M329" i="1"/>
  <c r="L331" i="1"/>
  <c r="L426" i="1"/>
  <c r="AA426" i="1" s="1"/>
  <c r="L366" i="1"/>
  <c r="N146" i="1"/>
  <c r="R146" i="1" s="1"/>
  <c r="N329" i="1"/>
  <c r="Q329" i="1" s="1"/>
  <c r="M388" i="1"/>
  <c r="M249" i="1"/>
  <c r="L688" i="1"/>
  <c r="AA688" i="1" s="1"/>
  <c r="N687" i="1"/>
  <c r="R687" i="1" s="1"/>
  <c r="N733" i="1"/>
  <c r="R733" i="1" s="1"/>
  <c r="N250" i="1"/>
  <c r="R250" i="1" s="1"/>
  <c r="M76" i="1"/>
  <c r="L232" i="1"/>
  <c r="AA232" i="1" s="1"/>
  <c r="L466" i="1"/>
  <c r="AA466" i="1" s="1"/>
  <c r="N93" i="1"/>
  <c r="Q93" i="1" s="1"/>
  <c r="N588" i="1"/>
  <c r="Q588" i="1" s="1"/>
  <c r="M568" i="1"/>
  <c r="M389" i="1"/>
  <c r="L292" i="1"/>
  <c r="N232" i="1"/>
  <c r="R232" i="1" s="1"/>
  <c r="N429" i="1"/>
  <c r="R429" i="1" s="1"/>
  <c r="N568" i="1"/>
  <c r="Q568" i="1" s="1"/>
  <c r="M886" i="1"/>
  <c r="N604" i="1"/>
  <c r="R604" i="1" s="1"/>
  <c r="L28" i="1"/>
  <c r="N288" i="1"/>
  <c r="R288" i="1" s="1"/>
  <c r="N886" i="1"/>
  <c r="R886" i="1" s="1"/>
  <c r="N152" i="1"/>
  <c r="Q152" i="1" s="1"/>
  <c r="M588" i="1"/>
  <c r="M429" i="1"/>
  <c r="M312" i="1"/>
  <c r="L726" i="1"/>
  <c r="L527" i="1"/>
  <c r="AA527" i="1" s="1"/>
  <c r="L68" i="1"/>
  <c r="N730" i="1"/>
  <c r="Q730" i="1" s="1"/>
  <c r="N26" i="1"/>
  <c r="Q26" i="1" s="1"/>
  <c r="L312" i="1"/>
  <c r="AA312" i="1" s="1"/>
  <c r="N471" i="1"/>
  <c r="Q471" i="1" s="1"/>
  <c r="L802" i="1"/>
  <c r="N802" i="1"/>
  <c r="Q802" i="1" s="1"/>
  <c r="K847" i="1"/>
  <c r="AA847" i="1" s="1"/>
  <c r="K252" i="1"/>
  <c r="N554" i="1"/>
  <c r="Q554" i="1" s="1"/>
  <c r="N92" i="1"/>
  <c r="Q92" i="1" s="1"/>
  <c r="N538" i="1"/>
  <c r="R538" i="1" s="1"/>
  <c r="L227" i="1"/>
  <c r="AA227" i="1" s="1"/>
  <c r="N227" i="1"/>
  <c r="Q227" i="1" s="1"/>
  <c r="N405" i="1"/>
  <c r="R405" i="1" s="1"/>
  <c r="M171" i="1"/>
  <c r="N451" i="1"/>
  <c r="Q451" i="1" s="1"/>
  <c r="N372" i="1"/>
  <c r="Q372" i="1" s="1"/>
  <c r="N852" i="1"/>
  <c r="Q852" i="1" s="1"/>
  <c r="N454" i="1"/>
  <c r="Q454" i="1" s="1"/>
  <c r="K807" i="1"/>
  <c r="AA807" i="1" s="1"/>
  <c r="N90" i="1"/>
  <c r="Q90" i="1" s="1"/>
  <c r="N889" i="1"/>
  <c r="R889" i="1" s="1"/>
  <c r="M791" i="1"/>
  <c r="L889" i="1"/>
  <c r="AA889" i="1" s="1"/>
  <c r="N47" i="1"/>
  <c r="R47" i="1" s="1"/>
  <c r="L267" i="1"/>
  <c r="N267" i="1"/>
  <c r="Q267" i="1" s="1"/>
  <c r="M193" i="1"/>
  <c r="L791" i="1"/>
  <c r="AA791" i="1" s="1"/>
  <c r="M147" i="1"/>
  <c r="L248" i="1"/>
  <c r="M291" i="1"/>
  <c r="M337" i="1"/>
  <c r="M733" i="1"/>
  <c r="L768" i="1"/>
  <c r="AA768" i="1" s="1"/>
  <c r="M768" i="1"/>
  <c r="N358" i="1"/>
  <c r="R358" i="1" s="1"/>
  <c r="N273" i="1"/>
  <c r="R273" i="1" s="1"/>
  <c r="N669" i="1"/>
  <c r="Q669" i="1" s="1"/>
  <c r="N577" i="1"/>
  <c r="Q577" i="1" s="1"/>
  <c r="K808" i="1"/>
  <c r="N880" i="1"/>
  <c r="R880" i="1" s="1"/>
  <c r="K727" i="1"/>
  <c r="AA727" i="1" s="1"/>
  <c r="N742" i="1"/>
  <c r="Q742" i="1" s="1"/>
  <c r="K53" i="1"/>
  <c r="N110" i="1"/>
  <c r="R110" i="1" s="1"/>
  <c r="M266" i="1"/>
  <c r="M446" i="1"/>
  <c r="N116" i="1"/>
  <c r="Q116" i="1" s="1"/>
  <c r="N412" i="1"/>
  <c r="R412" i="1" s="1"/>
  <c r="N777" i="1"/>
  <c r="Q777" i="1" s="1"/>
  <c r="N724" i="1"/>
  <c r="Q724" i="1" s="1"/>
  <c r="N873" i="1"/>
  <c r="Q873" i="1" s="1"/>
  <c r="M187" i="1"/>
  <c r="L348" i="1"/>
  <c r="AA348" i="1" s="1"/>
  <c r="M92" i="1"/>
  <c r="N587" i="1"/>
  <c r="Q587" i="1" s="1"/>
  <c r="L586" i="1"/>
  <c r="N361" i="1"/>
  <c r="Q361" i="1" s="1"/>
  <c r="N731" i="1"/>
  <c r="Q731" i="1" s="1"/>
  <c r="K8" i="1"/>
  <c r="N233" i="1"/>
  <c r="Q233" i="1" s="1"/>
  <c r="M567" i="1"/>
  <c r="N567" i="1"/>
  <c r="R567" i="1" s="1"/>
  <c r="L888" i="1"/>
  <c r="M888" i="1"/>
  <c r="N888" i="1"/>
  <c r="Q888" i="1" s="1"/>
  <c r="K689" i="1"/>
  <c r="AA689" i="1" s="1"/>
  <c r="M306" i="1"/>
  <c r="M128" i="1"/>
  <c r="N128" i="1"/>
  <c r="R128" i="1" s="1"/>
  <c r="L628" i="1"/>
  <c r="N628" i="1"/>
  <c r="Q628" i="1" s="1"/>
  <c r="L230" i="1"/>
  <c r="M230" i="1"/>
  <c r="M899" i="1"/>
  <c r="N899" i="1"/>
  <c r="R899" i="1" s="1"/>
  <c r="L386" i="1"/>
  <c r="AA386" i="1" s="1"/>
  <c r="N386" i="1"/>
  <c r="Q386" i="1" s="1"/>
  <c r="N236" i="1"/>
  <c r="Q236" i="1" s="1"/>
  <c r="K686" i="1"/>
  <c r="N352" i="1"/>
  <c r="Q352" i="1" s="1"/>
  <c r="L515" i="1"/>
  <c r="AA515" i="1" s="1"/>
  <c r="M515" i="1"/>
  <c r="K898" i="1"/>
  <c r="K458" i="1"/>
  <c r="K548" i="1"/>
  <c r="N793" i="1"/>
  <c r="R793" i="1" s="1"/>
  <c r="M628" i="1"/>
  <c r="K547" i="1"/>
  <c r="K430" i="1"/>
  <c r="N348" i="1"/>
  <c r="Q348" i="1" s="1"/>
  <c r="N815" i="1"/>
  <c r="R815" i="1" s="1"/>
  <c r="N701" i="1"/>
  <c r="Q701" i="1" s="1"/>
  <c r="M227" i="1"/>
  <c r="M108" i="1"/>
  <c r="N108" i="1"/>
  <c r="R108" i="1" s="1"/>
  <c r="N37" i="1"/>
  <c r="Q37" i="1" s="1"/>
  <c r="N816" i="1"/>
  <c r="Q816" i="1" s="1"/>
  <c r="N891" i="1"/>
  <c r="Q891" i="1" s="1"/>
  <c r="N500" i="1"/>
  <c r="R500" i="1" s="1"/>
  <c r="L78" i="1"/>
  <c r="N796" i="1"/>
  <c r="Q796" i="1" s="1"/>
  <c r="N436" i="1"/>
  <c r="Q436" i="1" s="1"/>
  <c r="N474" i="1"/>
  <c r="Q474" i="1" s="1"/>
  <c r="N13" i="1"/>
  <c r="N300" i="1"/>
  <c r="Q300" i="1" s="1"/>
  <c r="M90" i="1"/>
  <c r="M86" i="1"/>
  <c r="M348" i="1"/>
  <c r="M651" i="1"/>
  <c r="N651" i="1"/>
  <c r="Q651" i="1" s="1"/>
  <c r="N732" i="1"/>
  <c r="Q732" i="1" s="1"/>
  <c r="L418" i="1"/>
  <c r="L209" i="1"/>
  <c r="N209" i="1"/>
  <c r="Q209" i="1" s="1"/>
  <c r="N895" i="1"/>
  <c r="Q895" i="1" s="1"/>
  <c r="N515" i="1"/>
  <c r="Q515" i="1" s="1"/>
  <c r="K208" i="1"/>
  <c r="N737" i="1"/>
  <c r="R737" i="1" s="1"/>
  <c r="N432" i="1"/>
  <c r="Q432" i="1" s="1"/>
  <c r="L286" i="1"/>
  <c r="AA286" i="1" s="1"/>
  <c r="N286" i="1"/>
  <c r="Q286" i="1" s="1"/>
  <c r="L446" i="1"/>
  <c r="M793" i="1"/>
  <c r="L587" i="1"/>
  <c r="AA587" i="1" s="1"/>
  <c r="N535" i="1"/>
  <c r="Q535" i="1" s="1"/>
  <c r="L166" i="1"/>
  <c r="N166" i="1"/>
  <c r="Q166" i="1" s="1"/>
  <c r="N806" i="1"/>
  <c r="Q806" i="1" s="1"/>
  <c r="L30" i="1"/>
  <c r="AA30" i="1" s="1"/>
  <c r="N30" i="1"/>
  <c r="Q30" i="1" s="1"/>
  <c r="L747" i="1"/>
  <c r="L806" i="1"/>
  <c r="AA806" i="1" s="1"/>
  <c r="L168" i="1"/>
  <c r="N747" i="1"/>
  <c r="Q747" i="1" s="1"/>
  <c r="L607" i="1"/>
  <c r="AA607" i="1" s="1"/>
  <c r="M286" i="1"/>
  <c r="N868" i="1"/>
  <c r="Q868" i="1" s="1"/>
  <c r="L169" i="1"/>
  <c r="AA169" i="1" s="1"/>
  <c r="N169" i="1"/>
  <c r="R169" i="1" s="1"/>
  <c r="K253" i="1"/>
  <c r="L192" i="1"/>
  <c r="L867" i="1"/>
  <c r="N678" i="1"/>
  <c r="Q678" i="1" s="1"/>
  <c r="N315" i="1"/>
  <c r="R315" i="1" s="1"/>
  <c r="N80" i="1"/>
  <c r="R80" i="1" s="1"/>
  <c r="N189" i="1"/>
  <c r="R189" i="1" s="1"/>
  <c r="N626" i="1"/>
  <c r="Q626" i="1" s="1"/>
  <c r="N447" i="1"/>
  <c r="R447" i="1" s="1"/>
  <c r="N746" i="1"/>
  <c r="R746" i="1" s="1"/>
  <c r="M347" i="1"/>
  <c r="N262" i="1"/>
  <c r="Q262" i="1" s="1"/>
  <c r="N431" i="1"/>
  <c r="R431" i="1" s="1"/>
  <c r="N323" i="1"/>
  <c r="Q323" i="1" s="1"/>
  <c r="N761" i="1"/>
  <c r="R761" i="1" s="1"/>
  <c r="L464" i="1"/>
  <c r="N317" i="1"/>
  <c r="R317" i="1" s="1"/>
  <c r="L551" i="1"/>
  <c r="N347" i="1"/>
  <c r="Q347" i="1" s="1"/>
  <c r="L146" i="1"/>
  <c r="N828" i="1"/>
  <c r="Q828" i="1" s="1"/>
  <c r="N134" i="1"/>
  <c r="Q134" i="1" s="1"/>
  <c r="N607" i="1"/>
  <c r="R607" i="1" s="1"/>
  <c r="L378" i="1"/>
  <c r="N378" i="1"/>
  <c r="Q378" i="1" s="1"/>
  <c r="L70" i="1"/>
  <c r="M70" i="1"/>
  <c r="L131" i="1"/>
  <c r="AA131" i="1" s="1"/>
  <c r="M131" i="1"/>
  <c r="N131" i="1"/>
  <c r="Q131" i="1" s="1"/>
  <c r="L519" i="1"/>
  <c r="AA519" i="1" s="1"/>
  <c r="N519" i="1"/>
  <c r="Q519" i="1" s="1"/>
  <c r="L51" i="1"/>
  <c r="AA51" i="1" s="1"/>
  <c r="N51" i="1"/>
  <c r="Q51" i="1" s="1"/>
  <c r="M369" i="1"/>
  <c r="N753" i="1"/>
  <c r="R753" i="1" s="1"/>
  <c r="N866" i="1"/>
  <c r="R866" i="1" s="1"/>
  <c r="N71" i="1"/>
  <c r="Q71" i="1" s="1"/>
  <c r="N133" i="1"/>
  <c r="R133" i="1" s="1"/>
  <c r="N468" i="1"/>
  <c r="R468" i="1" s="1"/>
  <c r="N266" i="1"/>
  <c r="Q266" i="1" s="1"/>
  <c r="L291" i="1"/>
  <c r="M384" i="1"/>
  <c r="L526" i="1"/>
  <c r="AA526" i="1" s="1"/>
  <c r="L93" i="1"/>
  <c r="M626" i="1"/>
  <c r="L48" i="1"/>
  <c r="AA48" i="1" s="1"/>
  <c r="N48" i="1"/>
  <c r="Q48" i="1" s="1"/>
  <c r="M133" i="1"/>
  <c r="N79" i="1"/>
  <c r="Q79" i="1" s="1"/>
  <c r="M61" i="1"/>
  <c r="N263" i="1"/>
  <c r="R263" i="1" s="1"/>
  <c r="N136" i="1"/>
  <c r="Q136" i="1" s="1"/>
  <c r="N786" i="1"/>
  <c r="R786" i="1" s="1"/>
  <c r="N406" i="1"/>
  <c r="Q406" i="1" s="1"/>
  <c r="M7" i="1"/>
  <c r="M448" i="1"/>
  <c r="M566" i="1"/>
  <c r="M106" i="1"/>
  <c r="N774" i="1"/>
  <c r="Q774" i="1" s="1"/>
  <c r="N618" i="1"/>
  <c r="R618" i="1" s="1"/>
  <c r="N199" i="1"/>
  <c r="R199" i="1" s="1"/>
  <c r="N46" i="1"/>
  <c r="R46" i="1" s="1"/>
  <c r="N526" i="1"/>
  <c r="R526" i="1" s="1"/>
  <c r="N268" i="1"/>
  <c r="Q268" i="1" s="1"/>
  <c r="N477" i="1"/>
  <c r="R477" i="1" s="1"/>
  <c r="N301" i="1"/>
  <c r="Q301" i="1" s="1"/>
  <c r="N290" i="1"/>
  <c r="R290" i="1" s="1"/>
  <c r="L188" i="1"/>
  <c r="N247" i="1"/>
  <c r="R247" i="1" s="1"/>
  <c r="N226" i="1"/>
  <c r="R226" i="1" s="1"/>
  <c r="N551" i="1"/>
  <c r="Q551" i="1" s="1"/>
  <c r="N168" i="1"/>
  <c r="R168" i="1" s="1"/>
  <c r="N407" i="1"/>
  <c r="Q407" i="1" s="1"/>
  <c r="L372" i="1"/>
  <c r="AA372" i="1" s="1"/>
  <c r="L786" i="1"/>
  <c r="AA786" i="1" s="1"/>
  <c r="L427" i="1"/>
  <c r="L406" i="1"/>
  <c r="AA406" i="1" s="1"/>
  <c r="M464" i="1"/>
  <c r="N103" i="1"/>
  <c r="Q103" i="1" s="1"/>
  <c r="N325" i="1"/>
  <c r="Q325" i="1" s="1"/>
  <c r="N294" i="1"/>
  <c r="Q294" i="1" s="1"/>
  <c r="N251" i="1"/>
  <c r="Q251" i="1" s="1"/>
  <c r="N829" i="1"/>
  <c r="Q829" i="1" s="1"/>
  <c r="L171" i="1"/>
  <c r="AA171" i="1" s="1"/>
  <c r="N467" i="1"/>
  <c r="R467" i="1" s="1"/>
  <c r="M508" i="1"/>
  <c r="N98" i="1"/>
  <c r="R98" i="1" s="1"/>
  <c r="M41" i="1"/>
  <c r="N207" i="1"/>
  <c r="Q207" i="1" s="1"/>
  <c r="N544" i="1"/>
  <c r="Q544" i="1" s="1"/>
  <c r="N102" i="1"/>
  <c r="R102" i="1" s="1"/>
  <c r="N369" i="1"/>
  <c r="Q369" i="1" s="1"/>
  <c r="M74" i="1"/>
  <c r="M890" i="1"/>
  <c r="M428" i="1"/>
  <c r="L400" i="1"/>
  <c r="AA400" i="1" s="1"/>
  <c r="N450" i="1"/>
  <c r="Q450" i="1" s="1"/>
  <c r="N188" i="1"/>
  <c r="R188" i="1" s="1"/>
  <c r="N132" i="1"/>
  <c r="R132" i="1" s="1"/>
  <c r="M112" i="1"/>
  <c r="L112" i="1"/>
  <c r="AA112" i="1" s="1"/>
  <c r="N114" i="1"/>
  <c r="R114" i="1" s="1"/>
  <c r="M367" i="1"/>
  <c r="M468" i="1"/>
  <c r="N6" i="1"/>
  <c r="N346" i="1"/>
  <c r="R346" i="1" s="1"/>
  <c r="N428" i="1"/>
  <c r="Q428" i="1" s="1"/>
  <c r="M387" i="1"/>
  <c r="M304" i="1"/>
  <c r="L61" i="1"/>
  <c r="AA61" i="1" s="1"/>
  <c r="N367" i="1"/>
  <c r="Q367" i="1" s="1"/>
  <c r="M346" i="1"/>
  <c r="M372" i="1"/>
  <c r="M427" i="1"/>
  <c r="N666" i="1"/>
  <c r="R666" i="1" s="1"/>
  <c r="L407" i="1"/>
  <c r="AA407" i="1" s="1"/>
  <c r="N569" i="1"/>
  <c r="Q569" i="1" s="1"/>
  <c r="M190" i="1"/>
  <c r="I905" i="1"/>
  <c r="M467" i="1"/>
  <c r="N106" i="1"/>
  <c r="Q106" i="1" s="1"/>
  <c r="N608" i="1"/>
  <c r="R608" i="1" s="1"/>
  <c r="N327" i="1"/>
  <c r="R327" i="1" s="1"/>
  <c r="M207" i="1"/>
  <c r="I906" i="1"/>
  <c r="L866" i="1"/>
  <c r="N88" i="1"/>
  <c r="Q88" i="1" s="1"/>
  <c r="M290" i="1"/>
  <c r="L174" i="1"/>
  <c r="AA174" i="1" s="1"/>
  <c r="N506" i="1"/>
  <c r="R506" i="1" s="1"/>
  <c r="N566" i="1"/>
  <c r="Q566" i="1" s="1"/>
  <c r="N667" i="1"/>
  <c r="Q667" i="1" s="1"/>
  <c r="M247" i="1"/>
  <c r="M648" i="1"/>
  <c r="L499" i="1"/>
  <c r="AA499" i="1" s="1"/>
  <c r="L71" i="1"/>
  <c r="AA71" i="1" s="1"/>
  <c r="L471" i="1"/>
  <c r="AA471" i="1" s="1"/>
  <c r="L152" i="1"/>
  <c r="AA152" i="1" s="1"/>
  <c r="L667" i="1"/>
  <c r="AA667" i="1" s="1"/>
  <c r="L237" i="1"/>
  <c r="AA237" i="1" s="1"/>
  <c r="M507" i="1"/>
  <c r="N837" i="1"/>
  <c r="Q837" i="1" s="1"/>
  <c r="N448" i="1"/>
  <c r="R448" i="1" s="1"/>
  <c r="N7" i="1"/>
  <c r="M98" i="1"/>
  <c r="N508" i="1"/>
  <c r="Q508" i="1" s="1"/>
  <c r="N708" i="1"/>
  <c r="R708" i="1" s="1"/>
  <c r="N206" i="1"/>
  <c r="R206" i="1" s="1"/>
  <c r="I907" i="1"/>
  <c r="N344" i="1"/>
  <c r="Q344" i="1" s="1"/>
  <c r="L268" i="1"/>
  <c r="AA268" i="1" s="1"/>
  <c r="M344" i="1"/>
  <c r="L226" i="1"/>
  <c r="AA226" i="1" s="1"/>
  <c r="N349" i="1"/>
  <c r="Q349" i="1" s="1"/>
  <c r="M608" i="1"/>
  <c r="L890" i="1"/>
  <c r="L132" i="1"/>
  <c r="N757" i="1"/>
  <c r="R757" i="1" s="1"/>
  <c r="N507" i="1"/>
  <c r="R507" i="1" s="1"/>
  <c r="M114" i="1"/>
  <c r="M6" i="1"/>
  <c r="N387" i="1"/>
  <c r="R387" i="1" s="1"/>
  <c r="M267" i="1"/>
  <c r="M802" i="1"/>
  <c r="L88" i="1"/>
  <c r="AA88" i="1" s="1"/>
  <c r="L506" i="1"/>
  <c r="M873" i="1"/>
  <c r="L335" i="1"/>
  <c r="AA335" i="1" s="1"/>
  <c r="L27" i="1"/>
  <c r="L491" i="1"/>
  <c r="AA491" i="1" s="1"/>
  <c r="L823" i="1"/>
  <c r="AA823" i="1" s="1"/>
  <c r="N162" i="1"/>
  <c r="R162" i="1" s="1"/>
  <c r="L298" i="1"/>
  <c r="AA298" i="1" s="1"/>
  <c r="M46" i="1"/>
  <c r="L66" i="1"/>
  <c r="AA66" i="1" s="1"/>
  <c r="M472" i="1"/>
  <c r="M897" i="1"/>
  <c r="M283" i="1"/>
  <c r="M492" i="1"/>
  <c r="L897" i="1"/>
  <c r="AA897" i="1" s="1"/>
  <c r="M363" i="1"/>
  <c r="N622" i="1"/>
  <c r="R622" i="1" s="1"/>
  <c r="N66" i="1"/>
  <c r="Q66" i="1" s="1"/>
  <c r="M552" i="1"/>
  <c r="L363" i="1"/>
  <c r="M519" i="1"/>
  <c r="N609" i="1"/>
  <c r="Q609" i="1" s="1"/>
  <c r="M180" i="1"/>
  <c r="M783" i="1"/>
  <c r="L783" i="1"/>
  <c r="AA783" i="1" s="1"/>
  <c r="L11" i="1"/>
  <c r="AA11" i="1" s="1"/>
  <c r="M220" i="1"/>
  <c r="N751" i="1"/>
  <c r="R751" i="1" s="1"/>
  <c r="N180" i="1"/>
  <c r="R180" i="1" s="1"/>
  <c r="N601" i="1"/>
  <c r="R601" i="1" s="1"/>
  <c r="N476" i="1"/>
  <c r="R476" i="1" s="1"/>
  <c r="L278" i="1"/>
  <c r="M270" i="1"/>
  <c r="M743" i="1"/>
  <c r="L535" i="1"/>
  <c r="AA535" i="1" s="1"/>
  <c r="N120" i="1"/>
  <c r="R120" i="1" s="1"/>
  <c r="L220" i="1"/>
  <c r="M135" i="1"/>
  <c r="N278" i="1"/>
  <c r="R278" i="1" s="1"/>
  <c r="N745" i="1"/>
  <c r="Q745" i="1" s="1"/>
  <c r="L743" i="1"/>
  <c r="AA743" i="1" s="1"/>
  <c r="N100" i="1"/>
  <c r="Q100" i="1" s="1"/>
  <c r="L211" i="1"/>
  <c r="M451" i="1"/>
  <c r="M432" i="1"/>
  <c r="L843" i="1"/>
  <c r="AA843" i="1" s="1"/>
  <c r="M205" i="1"/>
  <c r="N463" i="1"/>
  <c r="R463" i="1" s="1"/>
  <c r="N385" i="1"/>
  <c r="Q385" i="1" s="1"/>
  <c r="L432" i="1"/>
  <c r="AA432" i="1" s="1"/>
  <c r="M823" i="1"/>
  <c r="M309" i="1"/>
  <c r="L162" i="1"/>
  <c r="AA162" i="1" s="1"/>
  <c r="M26" i="1"/>
  <c r="N70" i="1"/>
  <c r="R70" i="1" s="1"/>
  <c r="N798" i="1"/>
  <c r="R798" i="1" s="1"/>
  <c r="N182" i="1"/>
  <c r="Q182" i="1" s="1"/>
  <c r="N27" i="1"/>
  <c r="R27" i="1" s="1"/>
  <c r="M14" i="1"/>
  <c r="L539" i="1"/>
  <c r="M394" i="1"/>
  <c r="M539" i="1"/>
  <c r="M315" i="1"/>
  <c r="L315" i="1"/>
  <c r="AA315" i="1" s="1"/>
  <c r="N637" i="1"/>
  <c r="Q637" i="1" s="1"/>
  <c r="M795" i="1"/>
  <c r="M269" i="1"/>
  <c r="L798" i="1"/>
  <c r="AA798" i="1" s="1"/>
  <c r="N311" i="1"/>
  <c r="R311" i="1" s="1"/>
  <c r="N843" i="1"/>
  <c r="R843" i="1" s="1"/>
  <c r="M89" i="1"/>
  <c r="N411" i="1"/>
  <c r="Q411" i="1" s="1"/>
  <c r="M520" i="1"/>
  <c r="M529" i="1"/>
  <c r="L451" i="1"/>
  <c r="AA451" i="1" s="1"/>
  <c r="M333" i="1"/>
  <c r="N524" i="1"/>
  <c r="Q524" i="1" s="1"/>
  <c r="L745" i="1"/>
  <c r="AA745" i="1" s="1"/>
  <c r="N520" i="1"/>
  <c r="R520" i="1" s="1"/>
  <c r="M271" i="1"/>
  <c r="M73" i="1"/>
  <c r="N860" i="1"/>
  <c r="Q860" i="1" s="1"/>
  <c r="L73" i="1"/>
  <c r="M96" i="1"/>
  <c r="L251" i="1"/>
  <c r="L281" i="1"/>
  <c r="N711" i="1"/>
  <c r="Q711" i="1" s="1"/>
  <c r="N281" i="1"/>
  <c r="Q281" i="1" s="1"/>
  <c r="L751" i="1"/>
  <c r="AA751" i="1" s="1"/>
  <c r="M753" i="1"/>
  <c r="L764" i="1"/>
  <c r="L637" i="1"/>
  <c r="M251" i="1"/>
  <c r="L589" i="1"/>
  <c r="AA589" i="1" s="1"/>
  <c r="N879" i="1"/>
  <c r="R879" i="1" s="1"/>
  <c r="M509" i="1"/>
  <c r="L801" i="1"/>
  <c r="M123" i="1"/>
  <c r="M584" i="1"/>
  <c r="M524" i="1"/>
  <c r="L231" i="1"/>
  <c r="L518" i="1"/>
  <c r="N552" i="1"/>
  <c r="R552" i="1" s="1"/>
  <c r="N770" i="1"/>
  <c r="Q770" i="1" s="1"/>
  <c r="M469" i="1"/>
  <c r="N723" i="1"/>
  <c r="R723" i="1" s="1"/>
  <c r="N96" i="1"/>
  <c r="Q96" i="1" s="1"/>
  <c r="M836" i="1"/>
  <c r="M142" i="1"/>
  <c r="M518" i="1"/>
  <c r="M113" i="1"/>
  <c r="N14" i="1"/>
  <c r="M439" i="1"/>
  <c r="L643" i="1"/>
  <c r="AA643" i="1" s="1"/>
  <c r="N469" i="1"/>
  <c r="Q469" i="1" s="1"/>
  <c r="M380" i="1"/>
  <c r="N298" i="1"/>
  <c r="R298" i="1" s="1"/>
  <c r="N439" i="1"/>
  <c r="Q439" i="1" s="1"/>
  <c r="M603" i="1"/>
  <c r="M760" i="1"/>
  <c r="N760" i="1"/>
  <c r="Q760" i="1" s="1"/>
  <c r="N404" i="1"/>
  <c r="R404" i="1" s="1"/>
  <c r="N15" i="1"/>
  <c r="N584" i="1"/>
  <c r="Q584" i="1" s="1"/>
  <c r="N63" i="1"/>
  <c r="Q63" i="1" s="1"/>
  <c r="N844" i="1"/>
  <c r="Q844" i="1" s="1"/>
  <c r="M724" i="1"/>
  <c r="N105" i="1"/>
  <c r="R105" i="1" s="1"/>
  <c r="N337" i="1"/>
  <c r="R337" i="1" s="1"/>
  <c r="M197" i="1"/>
  <c r="M532" i="1"/>
  <c r="M677" i="1"/>
  <c r="M362" i="1"/>
  <c r="M844" i="1"/>
  <c r="N261" i="1"/>
  <c r="Q261" i="1" s="1"/>
  <c r="N382" i="1"/>
  <c r="Q382" i="1" s="1"/>
  <c r="L532" i="1"/>
  <c r="L677" i="1"/>
  <c r="N237" i="1"/>
  <c r="R237" i="1" s="1"/>
  <c r="M535" i="1"/>
  <c r="M385" i="1"/>
  <c r="M796" i="1"/>
  <c r="L777" i="1"/>
  <c r="AA777" i="1" s="1"/>
  <c r="M177" i="1"/>
  <c r="N362" i="1"/>
  <c r="Q362" i="1" s="1"/>
  <c r="M37" i="1"/>
  <c r="M137" i="1"/>
  <c r="L37" i="1"/>
  <c r="AA37" i="1" s="1"/>
  <c r="L609" i="1"/>
  <c r="AA609" i="1" s="1"/>
  <c r="M837" i="1"/>
  <c r="M404" i="1"/>
  <c r="M476" i="1"/>
  <c r="L504" i="1"/>
  <c r="AA504" i="1" s="1"/>
  <c r="N11" i="1"/>
  <c r="N717" i="1"/>
  <c r="Q717" i="1" s="1"/>
  <c r="N359" i="1"/>
  <c r="R359" i="1" s="1"/>
  <c r="L592" i="1"/>
  <c r="AA592" i="1" s="1"/>
  <c r="M279" i="1"/>
  <c r="M105" i="1"/>
  <c r="M273" i="1"/>
  <c r="N504" i="1"/>
  <c r="Q504" i="1" s="1"/>
  <c r="M717" i="1"/>
  <c r="M604" i="1"/>
  <c r="M777" i="1"/>
  <c r="M241" i="1"/>
  <c r="N592" i="1"/>
  <c r="Q592" i="1" s="1"/>
  <c r="M338" i="1"/>
  <c r="M163" i="1"/>
  <c r="L770" i="1"/>
  <c r="AA770" i="1" s="1"/>
  <c r="L241" i="1"/>
  <c r="M418" i="1"/>
  <c r="L273" i="1"/>
  <c r="N64" i="1"/>
  <c r="R64" i="1" s="1"/>
  <c r="N94" i="1"/>
  <c r="Q94" i="1" s="1"/>
  <c r="N299" i="1"/>
  <c r="Q299" i="1" s="1"/>
  <c r="N529" i="1"/>
  <c r="Q529" i="1" s="1"/>
  <c r="M382" i="1"/>
  <c r="L181" i="1"/>
  <c r="N177" i="1"/>
  <c r="R177" i="1" s="1"/>
  <c r="M261" i="1"/>
  <c r="N801" i="1"/>
  <c r="R801" i="1" s="1"/>
  <c r="L737" i="1"/>
  <c r="AA737" i="1" s="1"/>
  <c r="N137" i="1"/>
  <c r="Q137" i="1" s="1"/>
  <c r="N375" i="1"/>
  <c r="Q375" i="1" s="1"/>
  <c r="L279" i="1"/>
  <c r="AA279" i="1" s="1"/>
  <c r="L837" i="1"/>
  <c r="AA837" i="1" s="1"/>
  <c r="M181" i="1"/>
  <c r="N270" i="1"/>
  <c r="Q270" i="1" s="1"/>
  <c r="L359" i="1"/>
  <c r="AA359" i="1" s="1"/>
  <c r="N790" i="1"/>
  <c r="R790" i="1" s="1"/>
  <c r="M378" i="1"/>
  <c r="L163" i="1"/>
  <c r="M790" i="1"/>
  <c r="L631" i="1"/>
  <c r="N197" i="1"/>
  <c r="Q197" i="1" s="1"/>
  <c r="N776" i="1"/>
  <c r="R776" i="1" s="1"/>
  <c r="N165" i="1"/>
  <c r="Q165" i="1" s="1"/>
  <c r="N589" i="1"/>
  <c r="R589" i="1" s="1"/>
  <c r="N338" i="1"/>
  <c r="R338" i="1" s="1"/>
  <c r="L463" i="1"/>
  <c r="N269" i="1"/>
  <c r="R269" i="1" s="1"/>
  <c r="L774" i="1"/>
  <c r="AA774" i="1" s="1"/>
  <c r="L343" i="1"/>
  <c r="AA343" i="1" s="1"/>
  <c r="M343" i="1"/>
  <c r="N343" i="1"/>
  <c r="R343" i="1" s="1"/>
  <c r="L221" i="1"/>
  <c r="N221" i="1"/>
  <c r="Q221" i="1" s="1"/>
  <c r="M221" i="1"/>
  <c r="M585" i="1"/>
  <c r="N585" i="1"/>
  <c r="Q585" i="1" s="1"/>
  <c r="L734" i="1"/>
  <c r="AA734" i="1" s="1"/>
  <c r="N734" i="1"/>
  <c r="R734" i="1" s="1"/>
  <c r="M734" i="1"/>
  <c r="L565" i="1"/>
  <c r="M565" i="1"/>
  <c r="N565" i="1"/>
  <c r="Q565" i="1" s="1"/>
  <c r="L118" i="1"/>
  <c r="M118" i="1"/>
  <c r="N118" i="1"/>
  <c r="Q118" i="1" s="1"/>
  <c r="N224" i="1"/>
  <c r="Q224" i="1" s="1"/>
  <c r="L224" i="1"/>
  <c r="AA224" i="1" s="1"/>
  <c r="M224" i="1"/>
  <c r="L396" i="1"/>
  <c r="M396" i="1"/>
  <c r="N396" i="1"/>
  <c r="R396" i="1" s="1"/>
  <c r="L470" i="1"/>
  <c r="AA470" i="1" s="1"/>
  <c r="M470" i="1"/>
  <c r="N470" i="1"/>
  <c r="Q470" i="1" s="1"/>
  <c r="L340" i="1"/>
  <c r="AA340" i="1" s="1"/>
  <c r="N340" i="1"/>
  <c r="Q340" i="1" s="1"/>
  <c r="M617" i="1"/>
  <c r="N617" i="1"/>
  <c r="R617" i="1" s="1"/>
  <c r="L617" i="1"/>
  <c r="AA617" i="1" s="1"/>
  <c r="M43" i="1"/>
  <c r="N43" i="1"/>
  <c r="Q43" i="1" s="1"/>
  <c r="L43" i="1"/>
  <c r="AA43" i="1" s="1"/>
  <c r="L244" i="1"/>
  <c r="N244" i="1"/>
  <c r="R244" i="1" s="1"/>
  <c r="M244" i="1"/>
  <c r="N377" i="1"/>
  <c r="R377" i="1" s="1"/>
  <c r="M779" i="1"/>
  <c r="M755" i="1"/>
  <c r="N293" i="1"/>
  <c r="Q293" i="1" s="1"/>
  <c r="N376" i="1"/>
  <c r="R376" i="1" s="1"/>
  <c r="N123" i="1"/>
  <c r="Q123" i="1" s="1"/>
  <c r="N541" i="1"/>
  <c r="R541" i="1" s="1"/>
  <c r="N215" i="1"/>
  <c r="Q215" i="1" s="1"/>
  <c r="L299" i="1"/>
  <c r="AA299" i="1" s="1"/>
  <c r="L13" i="1"/>
  <c r="AA13" i="1" s="1"/>
  <c r="M377" i="1"/>
  <c r="L151" i="1"/>
  <c r="AA151" i="1" s="1"/>
  <c r="M376" i="1"/>
  <c r="L182" i="1"/>
  <c r="AA182" i="1" s="1"/>
  <c r="L345" i="1"/>
  <c r="M891" i="1"/>
  <c r="N231" i="1"/>
  <c r="Q231" i="1" s="1"/>
  <c r="M735" i="1"/>
  <c r="N804" i="1"/>
  <c r="R804" i="1" s="1"/>
  <c r="N560" i="1"/>
  <c r="Q560" i="1" s="1"/>
  <c r="M479" i="1"/>
  <c r="M411" i="1"/>
  <c r="L285" i="1"/>
  <c r="L63" i="1"/>
  <c r="M311" i="1"/>
  <c r="N160" i="1"/>
  <c r="R160" i="1" s="1"/>
  <c r="N491" i="1"/>
  <c r="Q491" i="1" s="1"/>
  <c r="N335" i="1"/>
  <c r="R335" i="1" s="1"/>
  <c r="N775" i="1"/>
  <c r="Q775" i="1" s="1"/>
  <c r="M569" i="1"/>
  <c r="M893" i="1"/>
  <c r="N99" i="1"/>
  <c r="R99" i="1" s="1"/>
  <c r="N623" i="1"/>
  <c r="Q623" i="1" s="1"/>
  <c r="N309" i="1"/>
  <c r="R309" i="1" s="1"/>
  <c r="L142" i="1"/>
  <c r="L891" i="1"/>
  <c r="N600" i="1"/>
  <c r="Q600" i="1" s="1"/>
  <c r="M562" i="1"/>
  <c r="N157" i="1"/>
  <c r="Q157" i="1" s="1"/>
  <c r="N838" i="1"/>
  <c r="R838" i="1" s="1"/>
  <c r="N135" i="1"/>
  <c r="Q135" i="1" s="1"/>
  <c r="N400" i="1"/>
  <c r="Q400" i="1" s="1"/>
  <c r="N255" i="1"/>
  <c r="Q255" i="1" s="1"/>
  <c r="M775" i="1"/>
  <c r="M601" i="1"/>
  <c r="M737" i="1"/>
  <c r="M879" i="1"/>
  <c r="M622" i="1"/>
  <c r="L803" i="1"/>
  <c r="AA803" i="1" s="1"/>
  <c r="N624" i="1"/>
  <c r="R624" i="1" s="1"/>
  <c r="L94" i="1"/>
  <c r="AA94" i="1" s="1"/>
  <c r="M904" i="1"/>
  <c r="N645" i="1"/>
  <c r="Q645" i="1" s="1"/>
  <c r="M776" i="1"/>
  <c r="L562" i="1"/>
  <c r="AA562" i="1" s="1"/>
  <c r="L804" i="1"/>
  <c r="M814" i="1"/>
  <c r="N304" i="1"/>
  <c r="R304" i="1" s="1"/>
  <c r="M103" i="1"/>
  <c r="N509" i="1"/>
  <c r="Q509" i="1" s="1"/>
  <c r="N635" i="1"/>
  <c r="R635" i="1" s="1"/>
  <c r="N479" i="1"/>
  <c r="R479" i="1" s="1"/>
  <c r="N771" i="1"/>
  <c r="Q771" i="1" s="1"/>
  <c r="M102" i="1"/>
  <c r="L899" i="1"/>
  <c r="AA899" i="1" s="1"/>
  <c r="L103" i="1"/>
  <c r="M51" i="1"/>
  <c r="L215" i="1"/>
  <c r="AA215" i="1" s="1"/>
  <c r="L399" i="1"/>
  <c r="M645" i="1"/>
  <c r="L480" i="1"/>
  <c r="M885" i="1"/>
  <c r="N593" i="1"/>
  <c r="Q593" i="1" s="1"/>
  <c r="L501" i="1"/>
  <c r="N285" i="1"/>
  <c r="Q285" i="1" s="1"/>
  <c r="L102" i="1"/>
  <c r="N602" i="1"/>
  <c r="Q602" i="1" s="1"/>
  <c r="M480" i="1"/>
  <c r="L904" i="1"/>
  <c r="N643" i="1"/>
  <c r="R643" i="1" s="1"/>
  <c r="N89" i="1"/>
  <c r="Q89" i="1" s="1"/>
  <c r="N41" i="1"/>
  <c r="N836" i="1"/>
  <c r="R836" i="1" s="1"/>
  <c r="L771" i="1"/>
  <c r="M99" i="1"/>
  <c r="M82" i="1"/>
  <c r="L143" i="1"/>
  <c r="AA143" i="1" s="1"/>
  <c r="M450" i="1"/>
  <c r="M631" i="1"/>
  <c r="M255" i="1"/>
  <c r="M560" i="1"/>
  <c r="L885" i="1"/>
  <c r="AA885" i="1" s="1"/>
  <c r="N725" i="1"/>
  <c r="Q725" i="1" s="1"/>
  <c r="L779" i="1"/>
  <c r="AA779" i="1" s="1"/>
  <c r="N893" i="1"/>
  <c r="R893" i="1" s="1"/>
  <c r="L82" i="1"/>
  <c r="AA82" i="1" s="1"/>
  <c r="M593" i="1"/>
  <c r="M422" i="1"/>
  <c r="M725" i="1"/>
  <c r="M296" i="1"/>
  <c r="M600" i="1"/>
  <c r="N143" i="1"/>
  <c r="Q143" i="1" s="1"/>
  <c r="M320" i="1"/>
  <c r="L422" i="1"/>
  <c r="AA422" i="1" s="1"/>
  <c r="L760" i="1"/>
  <c r="M275" i="1"/>
  <c r="M461" i="1"/>
  <c r="L296" i="1"/>
  <c r="AA296" i="1" s="1"/>
  <c r="L624" i="1"/>
  <c r="M84" i="1"/>
  <c r="N501" i="1"/>
  <c r="Q501" i="1" s="1"/>
  <c r="N755" i="1"/>
  <c r="R755" i="1" s="1"/>
  <c r="L275" i="1"/>
  <c r="AA275" i="1" s="1"/>
  <c r="L461" i="1"/>
  <c r="N271" i="1"/>
  <c r="R271" i="1" s="1"/>
  <c r="N151" i="1"/>
  <c r="R151" i="1" s="1"/>
  <c r="N871" i="1"/>
  <c r="R871" i="1" s="1"/>
  <c r="N320" i="1"/>
  <c r="R320" i="1" s="1"/>
  <c r="N399" i="1"/>
  <c r="R399" i="1" s="1"/>
  <c r="N345" i="1"/>
  <c r="R345" i="1" s="1"/>
  <c r="N229" i="1"/>
  <c r="Q229" i="1" s="1"/>
  <c r="N657" i="1"/>
  <c r="R657" i="1" s="1"/>
  <c r="N84" i="1"/>
  <c r="Q84" i="1" s="1"/>
  <c r="M821" i="1"/>
  <c r="M541" i="1"/>
  <c r="M13" i="1"/>
  <c r="M602" i="1"/>
  <c r="L322" i="1"/>
  <c r="AA322" i="1" s="1"/>
  <c r="N322" i="1"/>
  <c r="Q322" i="1" s="1"/>
  <c r="M322" i="1"/>
  <c r="L424" i="1"/>
  <c r="AA424" i="1" s="1"/>
  <c r="N424" i="1"/>
  <c r="R424" i="1" s="1"/>
  <c r="M424" i="1"/>
  <c r="M203" i="1"/>
  <c r="L203" i="1"/>
  <c r="AA203" i="1" s="1"/>
  <c r="N203" i="1"/>
  <c r="Q203" i="1" s="1"/>
  <c r="L284" i="1"/>
  <c r="AA284" i="1" s="1"/>
  <c r="N284" i="1"/>
  <c r="Q284" i="1" s="1"/>
  <c r="L834" i="1"/>
  <c r="AA834" i="1" s="1"/>
  <c r="N834" i="1"/>
  <c r="Q834" i="1" s="1"/>
  <c r="M834" i="1"/>
  <c r="L183" i="1"/>
  <c r="N183" i="1"/>
  <c r="Q183" i="1" s="1"/>
  <c r="M183" i="1"/>
  <c r="L590" i="1"/>
  <c r="AA590" i="1" s="1"/>
  <c r="M590" i="1"/>
  <c r="N590" i="1"/>
  <c r="Q590" i="1" s="1"/>
  <c r="M763" i="1"/>
  <c r="N763" i="1"/>
  <c r="Q763" i="1" s="1"/>
  <c r="L763" i="1"/>
  <c r="M444" i="1"/>
  <c r="L444" i="1"/>
  <c r="N444" i="1"/>
  <c r="Q444" i="1" s="1"/>
  <c r="M381" i="1"/>
  <c r="L381" i="1"/>
  <c r="AA381" i="1" s="1"/>
  <c r="N381" i="1"/>
  <c r="Q381" i="1" s="1"/>
  <c r="L274" i="1"/>
  <c r="AA274" i="1" s="1"/>
  <c r="N274" i="1"/>
  <c r="Q274" i="1" s="1"/>
  <c r="M274" i="1"/>
  <c r="L516" i="1"/>
  <c r="N516" i="1"/>
  <c r="Q516" i="1" s="1"/>
  <c r="L813" i="1"/>
  <c r="AA813" i="1" s="1"/>
  <c r="N813" i="1"/>
  <c r="R813" i="1" s="1"/>
  <c r="N792" i="1"/>
  <c r="Q792" i="1" s="1"/>
  <c r="L792" i="1"/>
  <c r="AA792" i="1" s="1"/>
  <c r="L869" i="1"/>
  <c r="N869" i="1"/>
  <c r="R869" i="1" s="1"/>
  <c r="M869" i="1"/>
  <c r="L56" i="1"/>
  <c r="AA56" i="1" s="1"/>
  <c r="M56" i="1"/>
  <c r="N56" i="1"/>
  <c r="Q56" i="1" s="1"/>
  <c r="M782" i="1"/>
  <c r="N782" i="1"/>
  <c r="R782" i="1" s="1"/>
  <c r="L782" i="1"/>
  <c r="AA782" i="1" s="1"/>
  <c r="L712" i="1"/>
  <c r="M712" i="1"/>
  <c r="N712" i="1"/>
  <c r="R712" i="1" s="1"/>
  <c r="L680" i="1"/>
  <c r="N680" i="1"/>
  <c r="Q680" i="1" s="1"/>
  <c r="M680" i="1"/>
  <c r="L44" i="1"/>
  <c r="M44" i="1"/>
  <c r="M805" i="1"/>
  <c r="L805" i="1"/>
  <c r="AA805" i="1" s="1"/>
  <c r="N805" i="1"/>
  <c r="Q805" i="1" s="1"/>
  <c r="N172" i="1"/>
  <c r="Q172" i="1" s="1"/>
  <c r="L172" i="1"/>
  <c r="AA172" i="1" s="1"/>
  <c r="M172" i="1"/>
  <c r="L636" i="1"/>
  <c r="N636" i="1"/>
  <c r="Q636" i="1" s="1"/>
  <c r="M636" i="1"/>
  <c r="N778" i="1"/>
  <c r="R778" i="1" s="1"/>
  <c r="M778" i="1"/>
  <c r="L778" i="1"/>
  <c r="L674" i="1"/>
  <c r="N674" i="1"/>
  <c r="Q674" i="1" s="1"/>
  <c r="M674" i="1"/>
  <c r="M505" i="1"/>
  <c r="L505" i="1"/>
  <c r="AA505" i="1" s="1"/>
  <c r="N505" i="1"/>
  <c r="Q505" i="1" s="1"/>
  <c r="M581" i="1"/>
  <c r="L581" i="1"/>
  <c r="AA581" i="1" s="1"/>
  <c r="L62" i="1"/>
  <c r="N62" i="1"/>
  <c r="R62" i="1" s="1"/>
  <c r="N901" i="1"/>
  <c r="R901" i="1" s="1"/>
  <c r="N490" i="1"/>
  <c r="R490" i="1" s="1"/>
  <c r="L403" i="1"/>
  <c r="AA403" i="1" s="1"/>
  <c r="N437" i="1"/>
  <c r="R437" i="1" s="1"/>
  <c r="M437" i="1"/>
  <c r="M784" i="1"/>
  <c r="L784" i="1"/>
  <c r="AA784" i="1" s="1"/>
  <c r="M579" i="1"/>
  <c r="N579" i="1"/>
  <c r="R579" i="1" s="1"/>
  <c r="N540" i="1"/>
  <c r="R540" i="1" s="1"/>
  <c r="M540" i="1"/>
  <c r="L540" i="1"/>
  <c r="M482" i="1"/>
  <c r="N482" i="1"/>
  <c r="Q482" i="1" s="1"/>
  <c r="L121" i="1"/>
  <c r="N121" i="1"/>
  <c r="R121" i="1" s="1"/>
  <c r="M744" i="1"/>
  <c r="L744" i="1"/>
  <c r="N744" i="1"/>
  <c r="Q744" i="1" s="1"/>
  <c r="M511" i="1"/>
  <c r="N511" i="1"/>
  <c r="Q511" i="1" s="1"/>
  <c r="L511" i="1"/>
  <c r="AA511" i="1" s="1"/>
  <c r="L831" i="1"/>
  <c r="AA831" i="1" s="1"/>
  <c r="M831" i="1"/>
  <c r="L534" i="1"/>
  <c r="AA534" i="1" s="1"/>
  <c r="M534" i="1"/>
  <c r="L685" i="1"/>
  <c r="AA685" i="1" s="1"/>
  <c r="N685" i="1"/>
  <c r="Q685" i="1" s="1"/>
  <c r="M685" i="1"/>
  <c r="M484" i="1"/>
  <c r="N484" i="1"/>
  <c r="R484" i="1" s="1"/>
  <c r="M442" i="1"/>
  <c r="N442" i="1"/>
  <c r="Q442" i="1" s="1"/>
  <c r="M456" i="1"/>
  <c r="M403" i="1"/>
  <c r="L234" i="1"/>
  <c r="N234" i="1"/>
  <c r="Q234" i="1" s="1"/>
  <c r="L477" i="1"/>
  <c r="AA477" i="1" s="1"/>
  <c r="M477" i="1"/>
  <c r="M40" i="1"/>
  <c r="L40" i="1"/>
  <c r="AA40" i="1" s="1"/>
  <c r="M780" i="1"/>
  <c r="N780" i="1"/>
  <c r="R780" i="1" s="1"/>
  <c r="L561" i="1"/>
  <c r="M561" i="1"/>
  <c r="L79" i="1"/>
  <c r="AA79" i="1" s="1"/>
  <c r="M79" i="1"/>
  <c r="N831" i="1"/>
  <c r="Q831" i="1" s="1"/>
  <c r="M15" i="1"/>
  <c r="M339" i="1"/>
  <c r="M373" i="1"/>
  <c r="L490" i="1"/>
  <c r="AA490" i="1" s="1"/>
  <c r="M25" i="1"/>
  <c r="M531" i="1"/>
  <c r="L531" i="1"/>
  <c r="AA531" i="1" s="1"/>
  <c r="L54" i="1"/>
  <c r="AA54" i="1" s="1"/>
  <c r="M54" i="1"/>
  <c r="M217" i="1"/>
  <c r="N217" i="1"/>
  <c r="Q217" i="1" s="1"/>
  <c r="L570" i="1"/>
  <c r="N570" i="1"/>
  <c r="R570" i="1" s="1"/>
  <c r="L473" i="1"/>
  <c r="AA473" i="1" s="1"/>
  <c r="N473" i="1"/>
  <c r="R473" i="1" s="1"/>
  <c r="N612" i="1"/>
  <c r="R612" i="1" s="1"/>
  <c r="L612" i="1"/>
  <c r="AA612" i="1" s="1"/>
  <c r="L594" i="1"/>
  <c r="AA594" i="1" s="1"/>
  <c r="M594" i="1"/>
  <c r="N594" i="1"/>
  <c r="R594" i="1" s="1"/>
  <c r="L874" i="1"/>
  <c r="N874" i="1"/>
  <c r="Q874" i="1" s="1"/>
  <c r="M874" i="1"/>
  <c r="L517" i="1"/>
  <c r="AA517" i="1" s="1"/>
  <c r="M517" i="1"/>
  <c r="M537" i="1"/>
  <c r="L537" i="1"/>
  <c r="M39" i="1"/>
  <c r="N39" i="1"/>
  <c r="Q39" i="1" s="1"/>
  <c r="L59" i="1"/>
  <c r="M59" i="1"/>
  <c r="M550" i="1"/>
  <c r="L50" i="1"/>
  <c r="AA50" i="1" s="1"/>
  <c r="M50" i="1"/>
  <c r="L395" i="1"/>
  <c r="AA395" i="1" s="1"/>
  <c r="M395" i="1"/>
  <c r="N395" i="1"/>
  <c r="Q395" i="1" s="1"/>
  <c r="M875" i="1"/>
  <c r="L875" i="1"/>
  <c r="AA875" i="1" s="1"/>
  <c r="N875" i="1"/>
  <c r="Q875" i="1" s="1"/>
  <c r="M832" i="1"/>
  <c r="M398" i="1"/>
  <c r="N398" i="1"/>
  <c r="Q398" i="1" s="1"/>
  <c r="L16" i="1"/>
  <c r="AA16" i="1" s="1"/>
  <c r="M16" i="1"/>
  <c r="L219" i="1"/>
  <c r="N219" i="1"/>
  <c r="R219" i="1" s="1"/>
  <c r="L832" i="1"/>
  <c r="M901" i="1"/>
  <c r="L585" i="1"/>
  <c r="M35" i="1"/>
  <c r="L35" i="1"/>
  <c r="AA35" i="1" s="1"/>
  <c r="N435" i="1"/>
  <c r="Q435" i="1" s="1"/>
  <c r="L435" i="1"/>
  <c r="AA435" i="1" s="1"/>
  <c r="M435" i="1"/>
  <c r="L533" i="1"/>
  <c r="M533" i="1"/>
  <c r="N533" i="1"/>
  <c r="R533" i="1" s="1"/>
  <c r="N534" i="1"/>
  <c r="Q534" i="1" s="1"/>
  <c r="N718" i="1"/>
  <c r="R718" i="1" s="1"/>
  <c r="N283" i="1"/>
  <c r="R283" i="1" s="1"/>
  <c r="N531" i="1"/>
  <c r="Q531" i="1" s="1"/>
  <c r="N794" i="1"/>
  <c r="R794" i="1" s="1"/>
  <c r="M852" i="1"/>
  <c r="M703" i="1"/>
  <c r="N456" i="1"/>
  <c r="Q456" i="1" s="1"/>
  <c r="M165" i="1"/>
  <c r="M605" i="1"/>
  <c r="L796" i="1"/>
  <c r="L55" i="1"/>
  <c r="AA55" i="1" s="1"/>
  <c r="M55" i="1"/>
  <c r="N455" i="1"/>
  <c r="R455" i="1" s="1"/>
  <c r="L455" i="1"/>
  <c r="AA455" i="1" s="1"/>
  <c r="M455" i="1"/>
  <c r="M797" i="1"/>
  <c r="L797" i="1"/>
  <c r="AA797" i="1" s="1"/>
  <c r="L693" i="1"/>
  <c r="N693" i="1"/>
  <c r="Q693" i="1" s="1"/>
  <c r="M693" i="1"/>
  <c r="M652" i="1"/>
  <c r="N652" i="1"/>
  <c r="Q652" i="1" s="1"/>
  <c r="L652" i="1"/>
  <c r="M543" i="1"/>
  <c r="L543" i="1"/>
  <c r="L416" i="1"/>
  <c r="AA416" i="1" s="1"/>
  <c r="N416" i="1"/>
  <c r="Q416" i="1" s="1"/>
  <c r="M861" i="1"/>
  <c r="N861" i="1"/>
  <c r="R861" i="1" s="1"/>
  <c r="L72" i="1"/>
  <c r="N72" i="1"/>
  <c r="Q72" i="1" s="1"/>
  <c r="L654" i="1"/>
  <c r="AA654" i="1" s="1"/>
  <c r="M654" i="1"/>
  <c r="M72" i="1"/>
  <c r="N550" i="1"/>
  <c r="Q550" i="1" s="1"/>
  <c r="N603" i="1"/>
  <c r="Q603" i="1" s="1"/>
  <c r="L415" i="1"/>
  <c r="AA415" i="1" s="1"/>
  <c r="M415" i="1"/>
  <c r="M258" i="1"/>
  <c r="N258" i="1"/>
  <c r="R258" i="1" s="1"/>
  <c r="L738" i="1"/>
  <c r="N738" i="1"/>
  <c r="Q738" i="1" s="1"/>
  <c r="M738" i="1"/>
  <c r="L635" i="1"/>
  <c r="AA635" i="1" s="1"/>
  <c r="L852" i="1"/>
  <c r="M759" i="1"/>
  <c r="L605" i="1"/>
  <c r="AA605" i="1" s="1"/>
  <c r="M425" i="1"/>
  <c r="M340" i="1"/>
  <c r="L257" i="1"/>
  <c r="N257" i="1"/>
  <c r="Q257" i="1" s="1"/>
  <c r="L559" i="1"/>
  <c r="M559" i="1"/>
  <c r="M318" i="1"/>
  <c r="N318" i="1"/>
  <c r="R318" i="1" s="1"/>
  <c r="L60" i="1"/>
  <c r="AA60" i="1" s="1"/>
  <c r="M60" i="1"/>
  <c r="N60" i="1"/>
  <c r="Q60" i="1" s="1"/>
  <c r="M195" i="1"/>
  <c r="M872" i="1"/>
  <c r="L759" i="1"/>
  <c r="L861" i="1"/>
  <c r="M664" i="1"/>
  <c r="L425" i="1"/>
  <c r="AA425" i="1" s="1"/>
  <c r="N817" i="1"/>
  <c r="R817" i="1" s="1"/>
  <c r="L817" i="1"/>
  <c r="M233" i="1"/>
  <c r="L233" i="1"/>
  <c r="AA233" i="1" s="1"/>
  <c r="M277" i="1"/>
  <c r="L277" i="1"/>
  <c r="N276" i="1"/>
  <c r="Q276" i="1" s="1"/>
  <c r="M276" i="1"/>
  <c r="L276" i="1"/>
  <c r="AA276" i="1" s="1"/>
  <c r="M305" i="1"/>
  <c r="N305" i="1"/>
  <c r="Q305" i="1" s="1"/>
  <c r="L360" i="1"/>
  <c r="AA360" i="1" s="1"/>
  <c r="M360" i="1"/>
  <c r="L599" i="1"/>
  <c r="AA599" i="1" s="1"/>
  <c r="M599" i="1"/>
  <c r="N599" i="1"/>
  <c r="Q599" i="1" s="1"/>
  <c r="L342" i="1"/>
  <c r="AA342" i="1" s="1"/>
  <c r="N342" i="1"/>
  <c r="R342" i="1" s="1"/>
  <c r="N872" i="1"/>
  <c r="R872" i="1" s="1"/>
  <c r="L664" i="1"/>
  <c r="M598" i="1"/>
  <c r="M718" i="1"/>
  <c r="L690" i="1"/>
  <c r="AA690" i="1" s="1"/>
  <c r="N690" i="1"/>
  <c r="R690" i="1" s="1"/>
  <c r="M690" i="1"/>
  <c r="N297" i="1"/>
  <c r="R297" i="1" s="1"/>
  <c r="L297" i="1"/>
  <c r="L536" i="1"/>
  <c r="M536" i="1"/>
  <c r="N536" i="1"/>
  <c r="Q536" i="1" s="1"/>
  <c r="N672" i="1"/>
  <c r="Q672" i="1" s="1"/>
  <c r="M672" i="1"/>
  <c r="L341" i="1"/>
  <c r="N341" i="1"/>
  <c r="R341" i="1" s="1"/>
  <c r="N517" i="1"/>
  <c r="Q517" i="1" s="1"/>
  <c r="N57" i="1"/>
  <c r="R57" i="1" s="1"/>
  <c r="M57" i="1"/>
  <c r="L761" i="1"/>
  <c r="AA761" i="1" s="1"/>
  <c r="L742" i="1"/>
  <c r="AA742" i="1" s="1"/>
  <c r="M742" i="1"/>
  <c r="N819" i="1"/>
  <c r="Q819" i="1" s="1"/>
  <c r="L623" i="1"/>
  <c r="N211" i="1"/>
  <c r="R211" i="1" s="1"/>
  <c r="L714" i="1"/>
  <c r="AA714" i="1" s="1"/>
  <c r="N714" i="1"/>
  <c r="Q714" i="1" s="1"/>
  <c r="M705" i="1"/>
  <c r="N705" i="1"/>
  <c r="Q705" i="1" s="1"/>
  <c r="N722" i="1"/>
  <c r="Q722" i="1" s="1"/>
  <c r="N839" i="1"/>
  <c r="R839" i="1" s="1"/>
  <c r="M722" i="1"/>
  <c r="M121" i="1"/>
  <c r="M884" i="1"/>
  <c r="L598" i="1"/>
  <c r="AA598" i="1" s="1"/>
  <c r="L111" i="1"/>
  <c r="AA111" i="1" s="1"/>
  <c r="N111" i="1"/>
  <c r="Q111" i="1" s="1"/>
  <c r="M111" i="1"/>
  <c r="M669" i="1"/>
  <c r="L669" i="1"/>
  <c r="AA669" i="1" s="1"/>
  <c r="N156" i="1"/>
  <c r="R156" i="1" s="1"/>
  <c r="L156" i="1"/>
  <c r="M156" i="1"/>
  <c r="M761" i="1"/>
  <c r="L34" i="1"/>
  <c r="AA34" i="1" s="1"/>
  <c r="L117" i="1"/>
  <c r="N117" i="1"/>
  <c r="Q117" i="1" s="1"/>
  <c r="L833" i="1"/>
  <c r="M833" i="1"/>
  <c r="L339" i="1"/>
  <c r="AA339" i="1" s="1"/>
  <c r="L25" i="1"/>
  <c r="AA25" i="1" s="1"/>
  <c r="N373" i="1"/>
  <c r="R373" i="1" s="1"/>
  <c r="M819" i="1"/>
  <c r="N155" i="1"/>
  <c r="Q155" i="1" s="1"/>
  <c r="M155" i="1"/>
  <c r="L555" i="1"/>
  <c r="AA555" i="1" s="1"/>
  <c r="N555" i="1"/>
  <c r="Q555" i="1" s="1"/>
  <c r="M555" i="1"/>
  <c r="L138" i="1"/>
  <c r="M138" i="1"/>
  <c r="L580" i="1"/>
  <c r="M580" i="1"/>
  <c r="N580" i="1"/>
  <c r="Q580" i="1" s="1"/>
  <c r="M740" i="1"/>
  <c r="N740" i="1"/>
  <c r="Q740" i="1" s="1"/>
  <c r="L563" i="1"/>
  <c r="M563" i="1"/>
  <c r="N803" i="1"/>
  <c r="R803" i="1" s="1"/>
  <c r="N835" i="1"/>
  <c r="R835" i="1" s="1"/>
  <c r="M835" i="1"/>
  <c r="L835" i="1"/>
  <c r="N884" i="1"/>
  <c r="Q884" i="1" s="1"/>
  <c r="N581" i="1"/>
  <c r="Q581" i="1" s="1"/>
  <c r="N195" i="1"/>
  <c r="R195" i="1" s="1"/>
  <c r="N50" i="1"/>
  <c r="Q50" i="1" s="1"/>
  <c r="M361" i="1"/>
  <c r="N543" i="1"/>
  <c r="Q543" i="1" s="1"/>
  <c r="N764" i="1"/>
  <c r="R764" i="1" s="1"/>
  <c r="L839" i="1"/>
  <c r="AA839" i="1" s="1"/>
  <c r="L361" i="1"/>
  <c r="L705" i="1"/>
  <c r="AA705" i="1" s="1"/>
  <c r="M503" i="1"/>
  <c r="N503" i="1"/>
  <c r="Q503" i="1" s="1"/>
  <c r="L853" i="1"/>
  <c r="AA853" i="1" s="1"/>
  <c r="M853" i="1"/>
  <c r="L840" i="1"/>
  <c r="AA840" i="1" s="1"/>
  <c r="M840" i="1"/>
  <c r="M42" i="1"/>
  <c r="N42" i="1"/>
  <c r="R42" i="1" s="1"/>
  <c r="N472" i="1"/>
  <c r="Q472" i="1" s="1"/>
  <c r="N109" i="1"/>
  <c r="R109" i="1" s="1"/>
  <c r="L492" i="1"/>
  <c r="AA492" i="1" s="1"/>
  <c r="L735" i="1"/>
  <c r="AA735" i="1" s="1"/>
  <c r="N573" i="1"/>
  <c r="Q573" i="1" s="1"/>
  <c r="N394" i="1"/>
  <c r="Q394" i="1" s="1"/>
  <c r="M229" i="1"/>
  <c r="M851" i="1"/>
  <c r="M357" i="1"/>
  <c r="L851" i="1"/>
  <c r="AA851" i="1" s="1"/>
  <c r="L357" i="1"/>
  <c r="N597" i="1"/>
  <c r="R597" i="1" s="1"/>
  <c r="N380" i="1"/>
  <c r="R380" i="1" s="1"/>
  <c r="M100" i="1"/>
  <c r="M871" i="1"/>
  <c r="M160" i="1"/>
  <c r="L749" i="1"/>
  <c r="AA749" i="1" s="1"/>
  <c r="M597" i="1"/>
  <c r="M749" i="1"/>
  <c r="M785" i="1"/>
  <c r="N785" i="1"/>
  <c r="Q785" i="1" s="1"/>
  <c r="L785" i="1"/>
  <c r="M392" i="1"/>
  <c r="L392" i="1"/>
  <c r="AA392" i="1" s="1"/>
  <c r="N392" i="1"/>
  <c r="Q392" i="1" s="1"/>
  <c r="M870" i="1"/>
  <c r="L870" i="1"/>
  <c r="N870" i="1"/>
  <c r="Q870" i="1" s="1"/>
  <c r="M696" i="1"/>
  <c r="N696" i="1"/>
  <c r="Q696" i="1" s="1"/>
  <c r="L696" i="1"/>
  <c r="M462" i="1"/>
  <c r="N462" i="1"/>
  <c r="R462" i="1" s="1"/>
  <c r="L462" i="1"/>
  <c r="L510" i="1"/>
  <c r="M510" i="1"/>
  <c r="N510" i="1"/>
  <c r="Q510" i="1" s="1"/>
  <c r="M665" i="1"/>
  <c r="L665" i="1"/>
  <c r="N665" i="1"/>
  <c r="Q665" i="1" s="1"/>
  <c r="M769" i="1"/>
  <c r="L769" i="1"/>
  <c r="AA769" i="1" s="1"/>
  <c r="N769" i="1"/>
  <c r="Q769" i="1" s="1"/>
  <c r="L859" i="1"/>
  <c r="AA859" i="1" s="1"/>
  <c r="N859" i="1"/>
  <c r="Q859" i="1" s="1"/>
  <c r="M859" i="1"/>
  <c r="L144" i="1"/>
  <c r="AA144" i="1" s="1"/>
  <c r="M144" i="1"/>
  <c r="N144" i="1"/>
  <c r="Q144" i="1" s="1"/>
  <c r="N265" i="1"/>
  <c r="Q265" i="1" s="1"/>
  <c r="L265" i="1"/>
  <c r="M265" i="1"/>
  <c r="N324" i="1"/>
  <c r="Q324" i="1" s="1"/>
  <c r="M324" i="1"/>
  <c r="L324" i="1"/>
  <c r="L81" i="1"/>
  <c r="M81" i="1"/>
  <c r="N81" i="1"/>
  <c r="Q81" i="1" s="1"/>
  <c r="L773" i="1"/>
  <c r="M773" i="1"/>
  <c r="N773" i="1"/>
  <c r="R773" i="1" s="1"/>
  <c r="L882" i="1"/>
  <c r="N882" i="1"/>
  <c r="R882" i="1" s="1"/>
  <c r="M882" i="1"/>
  <c r="L45" i="1"/>
  <c r="AA45" i="1" s="1"/>
  <c r="M45" i="1"/>
  <c r="N45" i="1"/>
  <c r="Q45" i="1" s="1"/>
  <c r="M32" i="1"/>
  <c r="L32" i="1"/>
  <c r="AA32" i="1" s="1"/>
  <c r="N32" i="1"/>
  <c r="R32" i="1" s="1"/>
  <c r="L213" i="1"/>
  <c r="AA213" i="1" s="1"/>
  <c r="M213" i="1"/>
  <c r="N213" i="1"/>
  <c r="Q213" i="1" s="1"/>
  <c r="L650" i="1"/>
  <c r="AA650" i="1" s="1"/>
  <c r="M650" i="1"/>
  <c r="N332" i="1"/>
  <c r="Q332" i="1" s="1"/>
  <c r="L332" i="1"/>
  <c r="AA332" i="1" s="1"/>
  <c r="M332" i="1"/>
  <c r="L254" i="1"/>
  <c r="AA254" i="1" s="1"/>
  <c r="M254" i="1"/>
  <c r="L854" i="1"/>
  <c r="M854" i="1"/>
  <c r="N254" i="1"/>
  <c r="Q254" i="1" s="1"/>
  <c r="L330" i="1"/>
  <c r="M330" i="1"/>
  <c r="N330" i="1"/>
  <c r="Q330" i="1" s="1"/>
  <c r="M417" i="1"/>
  <c r="L417" i="1"/>
  <c r="AA417" i="1" s="1"/>
  <c r="N417" i="1"/>
  <c r="Q417" i="1" s="1"/>
  <c r="M558" i="1"/>
  <c r="N558" i="1"/>
  <c r="R558" i="1" s="1"/>
  <c r="L558" i="1"/>
  <c r="M198" i="1"/>
  <c r="L198" i="1"/>
  <c r="N574" i="1"/>
  <c r="R574" i="1" s="1"/>
  <c r="M659" i="1"/>
  <c r="L153" i="1"/>
  <c r="AA153" i="1" s="1"/>
  <c r="N153" i="1"/>
  <c r="Q153" i="1" s="1"/>
  <c r="M153" i="1"/>
  <c r="L682" i="1"/>
  <c r="AA682" i="1" s="1"/>
  <c r="M682" i="1"/>
  <c r="N682" i="1"/>
  <c r="R682" i="1" s="1"/>
  <c r="M523" i="1"/>
  <c r="L523" i="1"/>
  <c r="N523" i="1"/>
  <c r="R523" i="1" s="1"/>
  <c r="N659" i="1"/>
  <c r="Q659" i="1" s="1"/>
  <c r="L282" i="1"/>
  <c r="M282" i="1"/>
  <c r="L883" i="1"/>
  <c r="M883" i="1"/>
  <c r="N314" i="1"/>
  <c r="Q314" i="1" s="1"/>
  <c r="M453" i="1"/>
  <c r="L496" i="1"/>
  <c r="L750" i="1"/>
  <c r="AA750" i="1" s="1"/>
  <c r="M750" i="1"/>
  <c r="N173" i="1"/>
  <c r="L173" i="1"/>
  <c r="M173" i="1"/>
  <c r="L493" i="1"/>
  <c r="AA493" i="1" s="1"/>
  <c r="M493" i="1"/>
  <c r="L334" i="1"/>
  <c r="M334" i="1"/>
  <c r="N334" i="1"/>
  <c r="Q334" i="1" s="1"/>
  <c r="M616" i="1"/>
  <c r="L616" i="1"/>
  <c r="AA616" i="1" s="1"/>
  <c r="N616" i="1"/>
  <c r="R616" i="1" s="1"/>
  <c r="M302" i="1"/>
  <c r="L302" i="1"/>
  <c r="N903" i="1"/>
  <c r="Q903" i="1" s="1"/>
  <c r="M903" i="1"/>
  <c r="L903" i="1"/>
  <c r="M314" i="1"/>
  <c r="L354" i="1"/>
  <c r="N354" i="1"/>
  <c r="Q354" i="1" s="1"/>
  <c r="L741" i="1"/>
  <c r="N741" i="1"/>
  <c r="R741" i="1" s="1"/>
  <c r="M356" i="1"/>
  <c r="L356" i="1"/>
  <c r="L716" i="1"/>
  <c r="N716" i="1"/>
  <c r="Q716" i="1" s="1"/>
  <c r="M178" i="1"/>
  <c r="N572" i="1"/>
  <c r="Q572" i="1" s="1"/>
  <c r="L572" i="1"/>
  <c r="L553" i="1"/>
  <c r="N553" i="1"/>
  <c r="Q553" i="1" s="1"/>
  <c r="M553" i="1"/>
  <c r="N374" i="1"/>
  <c r="R374" i="1" s="1"/>
  <c r="L374" i="1"/>
  <c r="AA374" i="1" s="1"/>
  <c r="M374" i="1"/>
  <c r="N77" i="1"/>
  <c r="L77" i="1"/>
  <c r="AA77" i="1" s="1"/>
  <c r="M77" i="1"/>
  <c r="L557" i="1"/>
  <c r="AA557" i="1" s="1"/>
  <c r="N557" i="1"/>
  <c r="Q557" i="1" s="1"/>
  <c r="M557" i="1"/>
  <c r="L656" i="1"/>
  <c r="N656" i="1"/>
  <c r="R656" i="1" s="1"/>
  <c r="M856" i="1"/>
  <c r="N856" i="1"/>
  <c r="Q856" i="1" s="1"/>
  <c r="L856" i="1"/>
  <c r="AA856" i="1" s="1"/>
  <c r="M119" i="1"/>
  <c r="L119" i="1"/>
  <c r="N119" i="1"/>
  <c r="R119" i="1" s="1"/>
  <c r="N421" i="1"/>
  <c r="Q421" i="1" s="1"/>
  <c r="M421" i="1"/>
  <c r="L684" i="1"/>
  <c r="AA684" i="1" s="1"/>
  <c r="N684" i="1"/>
  <c r="Q684" i="1" s="1"/>
  <c r="N198" i="1"/>
  <c r="Q198" i="1" s="1"/>
  <c r="M120" i="1"/>
  <c r="L178" i="1"/>
  <c r="AA178" i="1" s="1"/>
  <c r="L849" i="1"/>
  <c r="N849" i="1"/>
  <c r="Q849" i="1" s="1"/>
  <c r="M849" i="1"/>
  <c r="L830" i="1"/>
  <c r="AA830" i="1" s="1"/>
  <c r="M830" i="1"/>
  <c r="N694" i="1"/>
  <c r="Q694" i="1" s="1"/>
  <c r="L694" i="1"/>
  <c r="AA694" i="1" s="1"/>
  <c r="M694" i="1"/>
  <c r="M441" i="1"/>
  <c r="N441" i="1"/>
  <c r="Q441" i="1" s="1"/>
  <c r="L441" i="1"/>
  <c r="AA441" i="1" s="1"/>
  <c r="L223" i="1"/>
  <c r="AA223" i="1" s="1"/>
  <c r="M223" i="1"/>
  <c r="M202" i="1"/>
  <c r="L202" i="1"/>
  <c r="AA202" i="1" s="1"/>
  <c r="L864" i="1"/>
  <c r="AA864" i="1" s="1"/>
  <c r="M864" i="1"/>
  <c r="N264" i="1"/>
  <c r="R264" i="1" s="1"/>
  <c r="L264" i="1"/>
  <c r="AA264" i="1" s="1"/>
  <c r="M264" i="1"/>
  <c r="N619" i="1"/>
  <c r="Q619" i="1" s="1"/>
  <c r="L619" i="1"/>
  <c r="M619" i="1"/>
  <c r="L614" i="1"/>
  <c r="M614" i="1"/>
  <c r="L449" i="1"/>
  <c r="AA449" i="1" s="1"/>
  <c r="M449" i="1"/>
  <c r="N449" i="1"/>
  <c r="R449" i="1" s="1"/>
  <c r="M825" i="1"/>
  <c r="N825" i="1"/>
  <c r="Q825" i="1" s="1"/>
  <c r="L17" i="1"/>
  <c r="AA17" i="1" s="1"/>
  <c r="N17" i="1"/>
  <c r="N632" i="1"/>
  <c r="Q632" i="1" s="1"/>
  <c r="L632" i="1"/>
  <c r="AA632" i="1" s="1"/>
  <c r="M632" i="1"/>
  <c r="L434" i="1"/>
  <c r="AA434" i="1" s="1"/>
  <c r="M434" i="1"/>
  <c r="N434" i="1"/>
  <c r="Q434" i="1" s="1"/>
  <c r="L196" i="1"/>
  <c r="N196" i="1"/>
  <c r="Q196" i="1" s="1"/>
  <c r="M799" i="1"/>
  <c r="N799" i="1"/>
  <c r="R799" i="1" s="1"/>
  <c r="M641" i="1"/>
  <c r="N641" i="1"/>
  <c r="Q641" i="1" s="1"/>
  <c r="L641" i="1"/>
  <c r="AA641" i="1" s="1"/>
  <c r="M101" i="1"/>
  <c r="N101" i="1"/>
  <c r="R101" i="1" s="1"/>
  <c r="L521" i="1"/>
  <c r="M521" i="1"/>
  <c r="L22" i="1"/>
  <c r="AA22" i="1" s="1"/>
  <c r="N22" i="1"/>
  <c r="Q22" i="1" s="1"/>
  <c r="M22" i="1"/>
  <c r="N670" i="1"/>
  <c r="R670" i="1" s="1"/>
  <c r="L799" i="1"/>
  <c r="AA799" i="1" s="1"/>
  <c r="M454" i="1"/>
  <c r="L454" i="1"/>
  <c r="AA454" i="1" s="1"/>
  <c r="L216" i="1"/>
  <c r="M216" i="1"/>
  <c r="N216" i="1"/>
  <c r="R216" i="1" s="1"/>
  <c r="L358" i="1"/>
  <c r="M358" i="1"/>
  <c r="N818" i="1"/>
  <c r="R818" i="1" s="1"/>
  <c r="L818" i="1"/>
  <c r="M818" i="1"/>
  <c r="L124" i="1"/>
  <c r="AA124" i="1" s="1"/>
  <c r="M124" i="1"/>
  <c r="M65" i="1"/>
  <c r="L65" i="1"/>
  <c r="AA65" i="1" s="1"/>
  <c r="N65" i="1"/>
  <c r="L323" i="1"/>
  <c r="M323" i="1"/>
  <c r="L683" i="1"/>
  <c r="AA683" i="1" s="1"/>
  <c r="M683" i="1"/>
  <c r="N864" i="1"/>
  <c r="R864" i="1" s="1"/>
  <c r="L489" i="1"/>
  <c r="AA489" i="1" s="1"/>
  <c r="N489" i="1"/>
  <c r="Q489" i="1" s="1"/>
  <c r="M489" i="1"/>
  <c r="L530" i="1"/>
  <c r="AA530" i="1" s="1"/>
  <c r="M530" i="1"/>
  <c r="N530" i="1"/>
  <c r="R530" i="1" s="1"/>
  <c r="M812" i="1"/>
  <c r="N812" i="1"/>
  <c r="R812" i="1" s="1"/>
  <c r="M757" i="1"/>
  <c r="L757" i="1"/>
  <c r="M525" i="1"/>
  <c r="L525" i="1"/>
  <c r="L236" i="1"/>
  <c r="AA236" i="1" s="1"/>
  <c r="M236" i="1"/>
  <c r="L500" i="1"/>
  <c r="M500" i="1"/>
  <c r="N38" i="1"/>
  <c r="Q38" i="1" s="1"/>
  <c r="M38" i="1"/>
  <c r="L319" i="1"/>
  <c r="N319" i="1"/>
  <c r="Q319" i="1" s="1"/>
  <c r="M319" i="1"/>
  <c r="L31" i="1"/>
  <c r="N31" i="1"/>
  <c r="Q31" i="1" s="1"/>
  <c r="M31" i="1"/>
  <c r="N671" i="1"/>
  <c r="R671" i="1" s="1"/>
  <c r="L671" i="1"/>
  <c r="AA671" i="1" s="1"/>
  <c r="M671" i="1"/>
  <c r="L75" i="1"/>
  <c r="M75" i="1"/>
  <c r="L475" i="1"/>
  <c r="N475" i="1"/>
  <c r="Q475" i="1" s="1"/>
  <c r="L549" i="1"/>
  <c r="M549" i="1"/>
  <c r="M317" i="1"/>
  <c r="L317" i="1"/>
  <c r="N692" i="1"/>
  <c r="R692" i="1" s="1"/>
  <c r="L692" i="1"/>
  <c r="M692" i="1"/>
  <c r="L633" i="1"/>
  <c r="N633" i="1"/>
  <c r="Q633" i="1" s="1"/>
  <c r="M633" i="1"/>
  <c r="N857" i="1"/>
  <c r="Q857" i="1" s="1"/>
  <c r="L857" i="1"/>
  <c r="M857" i="1"/>
  <c r="L256" i="1"/>
  <c r="AA256" i="1" s="1"/>
  <c r="N256" i="1"/>
  <c r="Q256" i="1" s="1"/>
  <c r="M640" i="1"/>
  <c r="L640" i="1"/>
  <c r="L858" i="1"/>
  <c r="AA858" i="1" s="1"/>
  <c r="N858" i="1"/>
  <c r="Q858" i="1" s="1"/>
  <c r="M858" i="1"/>
  <c r="N691" i="1"/>
  <c r="R691" i="1" s="1"/>
  <c r="M691" i="1"/>
  <c r="L691" i="1"/>
  <c r="AA691" i="1" s="1"/>
  <c r="N95" i="1"/>
  <c r="Q95" i="1" s="1"/>
  <c r="L95" i="1"/>
  <c r="AA95" i="1" s="1"/>
  <c r="M95" i="1"/>
  <c r="L495" i="1"/>
  <c r="AA495" i="1" s="1"/>
  <c r="M495" i="1"/>
  <c r="N495" i="1"/>
  <c r="R495" i="1" s="1"/>
  <c r="L154" i="1"/>
  <c r="AA154" i="1" s="1"/>
  <c r="N154" i="1"/>
  <c r="Q154" i="1" s="1"/>
  <c r="L576" i="1"/>
  <c r="AA576" i="1" s="1"/>
  <c r="M576" i="1"/>
  <c r="L316" i="1"/>
  <c r="AA316" i="1" s="1"/>
  <c r="M316" i="1"/>
  <c r="N316" i="1"/>
  <c r="Q316" i="1" s="1"/>
  <c r="M800" i="1"/>
  <c r="L800" i="1"/>
  <c r="N800" i="1"/>
  <c r="Q800" i="1" s="1"/>
  <c r="M379" i="1"/>
  <c r="N379" i="1"/>
  <c r="R379" i="1" s="1"/>
  <c r="N184" i="1"/>
  <c r="Q184" i="1" s="1"/>
  <c r="M184" i="1"/>
  <c r="L184" i="1"/>
  <c r="AA184" i="1" s="1"/>
  <c r="M201" i="1"/>
  <c r="L201" i="1"/>
  <c r="AA201" i="1" s="1"/>
  <c r="N201" i="1"/>
  <c r="Q201" i="1" s="1"/>
  <c r="N493" i="1"/>
  <c r="Q493" i="1" s="1"/>
  <c r="L825" i="1"/>
  <c r="AA825" i="1" s="1"/>
  <c r="L752" i="1"/>
  <c r="AA752" i="1" s="1"/>
  <c r="M752" i="1"/>
  <c r="N752" i="1"/>
  <c r="Q752" i="1" s="1"/>
  <c r="L393" i="1"/>
  <c r="AA393" i="1" s="1"/>
  <c r="M393" i="1"/>
  <c r="N393" i="1"/>
  <c r="Q393" i="1" s="1"/>
  <c r="L514" i="1"/>
  <c r="M514" i="1"/>
  <c r="N514" i="1"/>
  <c r="Q514" i="1" s="1"/>
  <c r="M824" i="1"/>
  <c r="L824" i="1"/>
  <c r="AA824" i="1" s="1"/>
  <c r="M336" i="1"/>
  <c r="N336" i="1"/>
  <c r="Q336" i="1" s="1"/>
  <c r="L336" i="1"/>
  <c r="L36" i="1"/>
  <c r="N36" i="1"/>
  <c r="Q36" i="1" s="1"/>
  <c r="L841" i="1"/>
  <c r="AA841" i="1" s="1"/>
  <c r="M841" i="1"/>
  <c r="N841" i="1"/>
  <c r="R841" i="1" s="1"/>
  <c r="M478" i="1"/>
  <c r="N478" i="1"/>
  <c r="Q478" i="1" s="1"/>
  <c r="L478" i="1"/>
  <c r="AA478" i="1" s="1"/>
  <c r="M878" i="1"/>
  <c r="N878" i="1"/>
  <c r="Q878" i="1" s="1"/>
  <c r="L122" i="1"/>
  <c r="M122" i="1"/>
  <c r="N122" i="1"/>
  <c r="Q122" i="1" s="1"/>
  <c r="L280" i="1"/>
  <c r="M280" i="1"/>
  <c r="N280" i="1"/>
  <c r="Q280" i="1" s="1"/>
  <c r="M263" i="1"/>
  <c r="L263" i="1"/>
  <c r="AA263" i="1" s="1"/>
  <c r="L481" i="1"/>
  <c r="N481" i="1"/>
  <c r="Q481" i="1" s="1"/>
  <c r="M481" i="1"/>
  <c r="N854" i="1"/>
  <c r="Q854" i="1" s="1"/>
  <c r="N650" i="1"/>
  <c r="Q650" i="1" s="1"/>
  <c r="N662" i="1"/>
  <c r="R662" i="1" s="1"/>
  <c r="N496" i="1"/>
  <c r="R496" i="1" s="1"/>
  <c r="L450" i="1"/>
  <c r="M649" i="1"/>
  <c r="N649" i="1"/>
  <c r="Q649" i="1" s="1"/>
  <c r="L649" i="1"/>
  <c r="M772" i="1"/>
  <c r="L772" i="1"/>
  <c r="L673" i="1"/>
  <c r="AA673" i="1" s="1"/>
  <c r="M673" i="1"/>
  <c r="N673" i="1"/>
  <c r="R673" i="1" s="1"/>
  <c r="N877" i="1"/>
  <c r="Q877" i="1" s="1"/>
  <c r="L877" i="1"/>
  <c r="L625" i="1"/>
  <c r="AA625" i="1" s="1"/>
  <c r="M625" i="1"/>
  <c r="N625" i="1"/>
  <c r="Q625" i="1" s="1"/>
  <c r="M880" i="1"/>
  <c r="L880" i="1"/>
  <c r="AA880" i="1" s="1"/>
  <c r="M621" i="1"/>
  <c r="L621" i="1"/>
  <c r="AA621" i="1" s="1"/>
  <c r="N419" i="1"/>
  <c r="Q419" i="1" s="1"/>
  <c r="L419" i="1"/>
  <c r="M419" i="1"/>
  <c r="L483" i="1"/>
  <c r="AA483" i="1" s="1"/>
  <c r="N483" i="1"/>
  <c r="Q483" i="1" s="1"/>
  <c r="M483" i="1"/>
  <c r="N202" i="1"/>
  <c r="R202" i="1" s="1"/>
  <c r="M663" i="1"/>
  <c r="L663" i="1"/>
  <c r="AA663" i="1" s="1"/>
  <c r="N663" i="1"/>
  <c r="Q663" i="1" s="1"/>
  <c r="N302" i="1"/>
  <c r="Q302" i="1" s="1"/>
  <c r="N614" i="1"/>
  <c r="R614" i="1" s="1"/>
  <c r="N185" i="1"/>
  <c r="Q185" i="1" s="1"/>
  <c r="N654" i="1"/>
  <c r="Q654" i="1" s="1"/>
  <c r="M259" i="1"/>
  <c r="M574" i="1"/>
  <c r="M662" i="1"/>
  <c r="N681" i="1"/>
  <c r="Q681" i="1" s="1"/>
  <c r="L681" i="1"/>
  <c r="AA681" i="1" s="1"/>
  <c r="M681" i="1"/>
  <c r="L522" i="1"/>
  <c r="AA522" i="1" s="1"/>
  <c r="M522" i="1"/>
  <c r="L222" i="1"/>
  <c r="AA222" i="1" s="1"/>
  <c r="N222" i="1"/>
  <c r="R222" i="1" s="1"/>
  <c r="M222" i="1"/>
  <c r="M642" i="1"/>
  <c r="L642" i="1"/>
  <c r="AA642" i="1" s="1"/>
  <c r="L670" i="1"/>
  <c r="L850" i="1"/>
  <c r="M850" i="1"/>
  <c r="M212" i="1"/>
  <c r="N212" i="1"/>
  <c r="R212" i="1" s="1"/>
  <c r="L212" i="1"/>
  <c r="AA212" i="1" s="1"/>
  <c r="L303" i="1"/>
  <c r="AA303" i="1" s="1"/>
  <c r="M303" i="1"/>
  <c r="N453" i="1"/>
  <c r="R453" i="1" s="1"/>
  <c r="N750" i="1"/>
  <c r="Q750" i="1" s="1"/>
  <c r="N303" i="1"/>
  <c r="Q303" i="1" s="1"/>
  <c r="L259" i="1"/>
  <c r="L185" i="1"/>
  <c r="AA185" i="1" s="1"/>
  <c r="N191" i="1"/>
  <c r="R191" i="1" s="1"/>
  <c r="M191" i="1"/>
  <c r="L191" i="1"/>
  <c r="L811" i="1"/>
  <c r="AA811" i="1" s="1"/>
  <c r="M811" i="1"/>
  <c r="N811" i="1"/>
  <c r="Q811" i="1" s="1"/>
  <c r="L175" i="1"/>
  <c r="AA175" i="1" s="1"/>
  <c r="M175" i="1"/>
  <c r="N175" i="1"/>
  <c r="Q175" i="1" s="1"/>
  <c r="M575" i="1"/>
  <c r="L575" i="1"/>
  <c r="N575" i="1"/>
  <c r="Q575" i="1" s="1"/>
  <c r="L272" i="1"/>
  <c r="AA272" i="1" s="1"/>
  <c r="N272" i="1"/>
  <c r="Q272" i="1" s="1"/>
  <c r="M272" i="1"/>
  <c r="L554" i="1"/>
  <c r="AA554" i="1" s="1"/>
  <c r="M554" i="1"/>
  <c r="M139" i="1"/>
  <c r="L139" i="1"/>
  <c r="N139" i="1"/>
  <c r="R139" i="1" s="1"/>
  <c r="N140" i="1"/>
  <c r="R140" i="1" s="1"/>
  <c r="L140" i="1"/>
  <c r="AA140" i="1" s="1"/>
  <c r="M140" i="1"/>
  <c r="L644" i="1"/>
  <c r="AA644" i="1" s="1"/>
  <c r="M644" i="1"/>
  <c r="L816" i="1"/>
  <c r="M816" i="1"/>
  <c r="N260" i="1"/>
  <c r="R260" i="1" s="1"/>
  <c r="M260" i="1"/>
  <c r="L260" i="1"/>
  <c r="AA260" i="1" s="1"/>
  <c r="L721" i="1"/>
  <c r="AA721" i="1" s="1"/>
  <c r="M721" i="1"/>
  <c r="L894" i="1"/>
  <c r="AA894" i="1" s="1"/>
  <c r="M894" i="1"/>
  <c r="M325" i="1"/>
  <c r="L325" i="1"/>
  <c r="M125" i="1"/>
  <c r="L125" i="1"/>
  <c r="L583" i="1"/>
  <c r="AA583" i="1" s="1"/>
  <c r="M583" i="1"/>
  <c r="N583" i="1"/>
  <c r="Q583" i="1" s="1"/>
  <c r="L104" i="1"/>
  <c r="M104" i="1"/>
  <c r="N104" i="1"/>
  <c r="Q104" i="1" s="1"/>
  <c r="L482" i="1"/>
  <c r="AA482" i="1" s="1"/>
  <c r="L49" i="1"/>
  <c r="AA49" i="1" s="1"/>
  <c r="M49" i="1"/>
  <c r="L655" i="1"/>
  <c r="AA655" i="1" s="1"/>
  <c r="N655" i="1"/>
  <c r="Q655" i="1" s="1"/>
  <c r="M709" i="1"/>
  <c r="N709" i="1"/>
  <c r="R709" i="1" s="1"/>
  <c r="L512" i="1"/>
  <c r="AA512" i="1" s="1"/>
  <c r="M512" i="1"/>
  <c r="L895" i="1"/>
  <c r="AA895" i="1" s="1"/>
  <c r="M895" i="1"/>
  <c r="M457" i="1"/>
  <c r="N457" i="1"/>
  <c r="Q457" i="1" s="1"/>
  <c r="M440" i="1"/>
  <c r="L440" i="1"/>
  <c r="AA440" i="1" s="1"/>
  <c r="L701" i="1"/>
  <c r="AA701" i="1" s="1"/>
  <c r="M701" i="1"/>
  <c r="L80" i="1"/>
  <c r="M80" i="1"/>
  <c r="N34" i="1"/>
  <c r="Q34" i="1" s="1"/>
  <c r="M714" i="1"/>
  <c r="M612" i="1"/>
  <c r="M723" i="1"/>
  <c r="L442" i="1"/>
  <c r="L364" i="1"/>
  <c r="L258" i="1"/>
  <c r="M284" i="1"/>
  <c r="L375" i="1"/>
  <c r="AA375" i="1" s="1"/>
  <c r="L235" i="1"/>
  <c r="M235" i="1"/>
  <c r="L695" i="1"/>
  <c r="M695" i="1"/>
  <c r="M729" i="1"/>
  <c r="L729" i="1"/>
  <c r="N610" i="1"/>
  <c r="R610" i="1" s="1"/>
  <c r="L610" i="1"/>
  <c r="AA610" i="1" s="1"/>
  <c r="M538" i="1"/>
  <c r="L538" i="1"/>
  <c r="AA538" i="1" s="1"/>
  <c r="L200" i="1"/>
  <c r="AA200" i="1" s="1"/>
  <c r="M200" i="1"/>
  <c r="L822" i="1"/>
  <c r="AA822" i="1" s="1"/>
  <c r="M822" i="1"/>
  <c r="N822" i="1"/>
  <c r="Q822" i="1" s="1"/>
  <c r="N414" i="1"/>
  <c r="Q414" i="1" s="1"/>
  <c r="L414" i="1"/>
  <c r="M414" i="1"/>
  <c r="L556" i="1"/>
  <c r="AA556" i="1" s="1"/>
  <c r="M556" i="1"/>
  <c r="N164" i="1"/>
  <c r="R164" i="1" s="1"/>
  <c r="M164" i="1"/>
  <c r="M245" i="1"/>
  <c r="L245" i="1"/>
  <c r="N245" i="1"/>
  <c r="Q245" i="1" s="1"/>
  <c r="L842" i="1"/>
  <c r="M842" i="1"/>
  <c r="L672" i="1"/>
  <c r="AA672" i="1" s="1"/>
  <c r="L653" i="1"/>
  <c r="AA653" i="1" s="1"/>
  <c r="M809" i="1"/>
  <c r="N809" i="1"/>
  <c r="R809" i="1" s="1"/>
  <c r="L413" i="1"/>
  <c r="M413" i="1"/>
  <c r="L596" i="1"/>
  <c r="AA596" i="1" s="1"/>
  <c r="M596" i="1"/>
  <c r="N218" i="1"/>
  <c r="Q218" i="1" s="1"/>
  <c r="L218" i="1"/>
  <c r="AA218" i="1" s="1"/>
  <c r="M502" i="1"/>
  <c r="L502" i="1"/>
  <c r="N502" i="1"/>
  <c r="Q502" i="1" s="1"/>
  <c r="N390" i="1"/>
  <c r="Q390" i="1" s="1"/>
  <c r="L409" i="1"/>
  <c r="N409" i="1"/>
  <c r="Q409" i="1" s="1"/>
  <c r="L355" i="1"/>
  <c r="M355" i="1"/>
  <c r="L410" i="1"/>
  <c r="AA410" i="1" s="1"/>
  <c r="M410" i="1"/>
  <c r="L352" i="1"/>
  <c r="AA352" i="1" s="1"/>
  <c r="M352" i="1"/>
  <c r="L194" i="1"/>
  <c r="AA194" i="1" s="1"/>
  <c r="M194" i="1"/>
  <c r="M116" i="1"/>
  <c r="L116" i="1"/>
  <c r="M238" i="1"/>
  <c r="L238" i="1"/>
  <c r="AA238" i="1" s="1"/>
  <c r="N238" i="1"/>
  <c r="Q238" i="1" s="1"/>
  <c r="L678" i="1"/>
  <c r="M678" i="1"/>
  <c r="M855" i="1"/>
  <c r="N855" i="1"/>
  <c r="Q855" i="1" s="1"/>
  <c r="M829" i="1"/>
  <c r="L829" i="1"/>
  <c r="L412" i="1"/>
  <c r="M412" i="1"/>
  <c r="N892" i="1"/>
  <c r="R892" i="1" s="1"/>
  <c r="L892" i="1"/>
  <c r="M892" i="1"/>
  <c r="L433" i="1"/>
  <c r="N433" i="1"/>
  <c r="Q433" i="1" s="1"/>
  <c r="M214" i="1"/>
  <c r="L214" i="1"/>
  <c r="AA214" i="1" s="1"/>
  <c r="L136" i="1"/>
  <c r="AA136" i="1" s="1"/>
  <c r="M136" i="1"/>
  <c r="N756" i="1"/>
  <c r="Q756" i="1" s="1"/>
  <c r="M756" i="1"/>
  <c r="N639" i="1"/>
  <c r="R639" i="1" s="1"/>
  <c r="L639" i="1"/>
  <c r="N653" i="1"/>
  <c r="R653" i="1" s="1"/>
  <c r="L571" i="1"/>
  <c r="M571" i="1"/>
  <c r="L494" i="1"/>
  <c r="N494" i="1"/>
  <c r="R494" i="1" s="1"/>
  <c r="L754" i="1"/>
  <c r="AA754" i="1" s="1"/>
  <c r="M754" i="1"/>
  <c r="N754" i="1"/>
  <c r="Q754" i="1" s="1"/>
  <c r="L896" i="1"/>
  <c r="AA896" i="1" s="1"/>
  <c r="N896" i="1"/>
  <c r="R896" i="1" s="1"/>
  <c r="L881" i="1"/>
  <c r="M881" i="1"/>
  <c r="N881" i="1"/>
  <c r="Q881" i="1" s="1"/>
  <c r="L542" i="1"/>
  <c r="AA542" i="1" s="1"/>
  <c r="M542" i="1"/>
  <c r="L383" i="1"/>
  <c r="N383" i="1"/>
  <c r="R383" i="1" s="1"/>
  <c r="L902" i="1"/>
  <c r="M902" i="1"/>
  <c r="N902" i="1"/>
  <c r="Q902" i="1" s="1"/>
  <c r="L452" i="1"/>
  <c r="M732" i="1"/>
  <c r="M516" i="1"/>
  <c r="N364" i="1"/>
  <c r="Q364" i="1" s="1"/>
  <c r="L110" i="1"/>
  <c r="M110" i="1"/>
  <c r="L591" i="1"/>
  <c r="AA591" i="1" s="1"/>
  <c r="M591" i="1"/>
  <c r="L720" i="1"/>
  <c r="M720" i="1"/>
  <c r="N720" i="1"/>
  <c r="Q720" i="1" s="1"/>
  <c r="L176" i="1"/>
  <c r="M176" i="1"/>
  <c r="N176" i="1"/>
  <c r="Q176" i="1" s="1"/>
  <c r="L242" i="1"/>
  <c r="M242" i="1"/>
  <c r="L618" i="1"/>
  <c r="AA618" i="1" s="1"/>
  <c r="M618" i="1"/>
  <c r="L713" i="1"/>
  <c r="AA713" i="1" s="1"/>
  <c r="M713" i="1"/>
  <c r="M405" i="1"/>
  <c r="L405" i="1"/>
  <c r="AA405" i="1" s="1"/>
  <c r="L660" i="1"/>
  <c r="AA660" i="1" s="1"/>
  <c r="M660" i="1"/>
  <c r="L24" i="1"/>
  <c r="N24" i="1"/>
  <c r="R24" i="1" s="1"/>
  <c r="L661" i="1"/>
  <c r="AA661" i="1" s="1"/>
  <c r="M661" i="1"/>
  <c r="M401" i="1"/>
  <c r="L401" i="1"/>
  <c r="M262" i="1"/>
  <c r="L262" i="1"/>
  <c r="L83" i="1"/>
  <c r="AA83" i="1" s="1"/>
  <c r="N83" i="1"/>
  <c r="Q83" i="1" s="1"/>
  <c r="L423" i="1"/>
  <c r="AA423" i="1" s="1"/>
  <c r="N423" i="1"/>
  <c r="R423" i="1" s="1"/>
  <c r="N97" i="1"/>
  <c r="Q97" i="1" s="1"/>
  <c r="L97" i="1"/>
  <c r="AA97" i="1" s="1"/>
  <c r="M97" i="1"/>
  <c r="L577" i="1"/>
  <c r="M577" i="1"/>
  <c r="L739" i="1"/>
  <c r="M739" i="1"/>
  <c r="M179" i="1"/>
  <c r="L179" i="1"/>
  <c r="L293" i="1"/>
  <c r="M452" i="1"/>
  <c r="N410" i="1"/>
  <c r="Q410" i="1" s="1"/>
  <c r="L732" i="1"/>
  <c r="AA732" i="1" s="1"/>
  <c r="N365" i="1"/>
  <c r="Q365" i="1" s="1"/>
  <c r="M390" i="1"/>
  <c r="N49" i="1"/>
  <c r="R49" i="1" s="1"/>
  <c r="L756" i="1"/>
  <c r="N355" i="1"/>
  <c r="R355" i="1" s="1"/>
  <c r="N440" i="1"/>
  <c r="Q440" i="1" s="1"/>
  <c r="N214" i="1"/>
  <c r="Q214" i="1" s="1"/>
  <c r="N821" i="1"/>
  <c r="R821" i="1" s="1"/>
  <c r="N205" i="1"/>
  <c r="R205" i="1" s="1"/>
  <c r="M792" i="1"/>
  <c r="N54" i="1"/>
  <c r="R54" i="1" s="1"/>
  <c r="M774" i="1"/>
  <c r="M218" i="1"/>
  <c r="L657" i="1"/>
  <c r="AA657" i="1" s="1"/>
  <c r="M12" i="1"/>
  <c r="N12" i="1"/>
  <c r="M443" i="1"/>
  <c r="N443" i="1"/>
  <c r="Q443" i="1" s="1"/>
  <c r="L634" i="1"/>
  <c r="AA634" i="1" s="1"/>
  <c r="M634" i="1"/>
  <c r="L397" i="1"/>
  <c r="N397" i="1"/>
  <c r="R397" i="1" s="1"/>
  <c r="M676" i="1"/>
  <c r="L676" i="1"/>
  <c r="M781" i="1"/>
  <c r="L781" i="1"/>
  <c r="L243" i="1"/>
  <c r="AA243" i="1" s="1"/>
  <c r="M243" i="1"/>
  <c r="L23" i="1"/>
  <c r="N23" i="1"/>
  <c r="R23" i="1" s="1"/>
  <c r="M204" i="1"/>
  <c r="N204" i="1"/>
  <c r="R204" i="1" s="1"/>
  <c r="M109" i="1"/>
  <c r="N814" i="1"/>
  <c r="Q814" i="1" s="1"/>
  <c r="M794" i="1"/>
  <c r="N91" i="1"/>
  <c r="Q91" i="1" s="1"/>
  <c r="L91" i="1"/>
  <c r="AA91" i="1" s="1"/>
  <c r="L115" i="1"/>
  <c r="AA115" i="1" s="1"/>
  <c r="M115" i="1"/>
  <c r="L436" i="1"/>
  <c r="AA436" i="1" s="1"/>
  <c r="M436" i="1"/>
  <c r="L58" i="1"/>
  <c r="AA58" i="1" s="1"/>
  <c r="M58" i="1"/>
  <c r="L564" i="1"/>
  <c r="M564" i="1"/>
  <c r="M459" i="1"/>
  <c r="L459" i="1"/>
  <c r="AA459" i="1" s="1"/>
  <c r="L465" i="1"/>
  <c r="AA465" i="1" s="1"/>
  <c r="M465" i="1"/>
  <c r="M199" i="1"/>
  <c r="L199" i="1"/>
  <c r="L300" i="1"/>
  <c r="M300" i="1"/>
  <c r="M736" i="1"/>
  <c r="N736" i="1"/>
  <c r="R736" i="1" s="1"/>
  <c r="M225" i="1"/>
  <c r="L225" i="1"/>
  <c r="AA225" i="1" s="1"/>
  <c r="M445" i="1"/>
  <c r="N445" i="1"/>
  <c r="R445" i="1" s="1"/>
  <c r="L189" i="1"/>
  <c r="AA189" i="1" s="1"/>
  <c r="M189" i="1"/>
  <c r="L33" i="1"/>
  <c r="M33" i="1"/>
  <c r="L301" i="1"/>
  <c r="M301" i="1"/>
  <c r="L295" i="1"/>
  <c r="AA295" i="1" s="1"/>
  <c r="M295" i="1"/>
  <c r="M294" i="1"/>
  <c r="M573" i="1"/>
  <c r="M544" i="1"/>
  <c r="L544" i="1"/>
  <c r="AA544" i="1" s="1"/>
  <c r="N795" i="1"/>
  <c r="Q795" i="1" s="1"/>
  <c r="N333" i="1"/>
  <c r="R333" i="1" s="1"/>
  <c r="N113" i="1"/>
  <c r="L838" i="1"/>
  <c r="M157" i="1"/>
  <c r="L815" i="1"/>
  <c r="AA815" i="1" s="1"/>
  <c r="M815" i="1"/>
  <c r="L613" i="1"/>
  <c r="AA613" i="1" s="1"/>
  <c r="N613" i="1"/>
  <c r="Q613" i="1" s="1"/>
  <c r="L704" i="1"/>
  <c r="AA704" i="1" s="1"/>
  <c r="N704" i="1"/>
  <c r="R704" i="1" s="1"/>
  <c r="M813" i="1"/>
  <c r="L474" i="1"/>
  <c r="AA474" i="1" s="1"/>
  <c r="M474" i="1"/>
  <c r="N44" i="1"/>
  <c r="R44" i="1" s="1"/>
  <c r="N765" i="1"/>
  <c r="R765" i="1" s="1"/>
  <c r="N460" i="1"/>
  <c r="Q460" i="1" s="1"/>
  <c r="L158" i="1"/>
  <c r="AA158" i="1" s="1"/>
  <c r="L697" i="1"/>
  <c r="AA697" i="1" s="1"/>
  <c r="N85" i="1"/>
  <c r="R85" i="1" s="1"/>
  <c r="N161" i="1"/>
  <c r="R161" i="1" s="1"/>
  <c r="N497" i="1"/>
  <c r="R497" i="1" s="1"/>
  <c r="L629" i="1"/>
  <c r="L545" i="1"/>
  <c r="N438" i="1"/>
  <c r="R438" i="1" s="1"/>
  <c r="N845" i="1"/>
  <c r="R845" i="1" s="1"/>
  <c r="N820" i="1"/>
  <c r="Q820" i="1" s="1"/>
  <c r="N876" i="1"/>
  <c r="Q876" i="1" s="1"/>
  <c r="N865" i="1"/>
  <c r="Q865" i="1" s="1"/>
  <c r="L365" i="1"/>
  <c r="AA365" i="1" s="1"/>
  <c r="N239" i="1"/>
  <c r="R239" i="1" s="1"/>
  <c r="N578" i="1"/>
  <c r="R578" i="1" s="1"/>
  <c r="N642" i="1"/>
  <c r="Q642" i="1" s="1"/>
  <c r="N595" i="1"/>
  <c r="R595" i="1" s="1"/>
  <c r="N629" i="1"/>
  <c r="R629" i="1" s="1"/>
  <c r="L582" i="1"/>
  <c r="AA582" i="1" s="1"/>
  <c r="L159" i="1"/>
  <c r="AA159" i="1" s="1"/>
  <c r="N862" i="1"/>
  <c r="Q862" i="1" s="1"/>
  <c r="L64" i="1"/>
  <c r="N485" i="1"/>
  <c r="R485" i="1" s="1"/>
  <c r="N159" i="1"/>
  <c r="R159" i="1" s="1"/>
  <c r="L239" i="1"/>
  <c r="L85" i="1"/>
  <c r="L145" i="1"/>
  <c r="AA145" i="1" s="1"/>
  <c r="N545" i="1"/>
  <c r="Q545" i="1" s="1"/>
  <c r="L595" i="1"/>
  <c r="AA595" i="1" s="1"/>
  <c r="L765" i="1"/>
  <c r="AA765" i="1" s="1"/>
  <c r="L438" i="1"/>
  <c r="N675" i="1"/>
  <c r="R675" i="1" s="1"/>
  <c r="L161" i="1"/>
  <c r="AA161" i="1" s="1"/>
  <c r="L845" i="1"/>
  <c r="AA845" i="1" s="1"/>
  <c r="L762" i="1"/>
  <c r="N615" i="1"/>
  <c r="R615" i="1" s="1"/>
  <c r="N698" i="1"/>
  <c r="Q698" i="1" s="1"/>
  <c r="N762" i="1"/>
  <c r="Q762" i="1" s="1"/>
  <c r="N582" i="1"/>
  <c r="R582" i="1" s="1"/>
  <c r="N420" i="1"/>
  <c r="R420" i="1" s="1"/>
  <c r="N145" i="1"/>
  <c r="R145" i="1" s="1"/>
  <c r="L715" i="1"/>
  <c r="AA715" i="1" s="1"/>
  <c r="N240" i="1"/>
  <c r="Q240" i="1" s="1"/>
  <c r="N715" i="1"/>
  <c r="R715" i="1" s="1"/>
  <c r="N5" i="1"/>
  <c r="L497" i="1"/>
  <c r="L485" i="1"/>
  <c r="AA485" i="1" s="1"/>
  <c r="L876" i="1"/>
  <c r="AA876" i="1" s="1"/>
  <c r="N620" i="1"/>
  <c r="R620" i="1" s="1"/>
  <c r="L702" i="1"/>
  <c r="L620" i="1"/>
  <c r="AA620" i="1" s="1"/>
  <c r="N158" i="1"/>
  <c r="Q158" i="1" s="1"/>
  <c r="N21" i="1"/>
  <c r="Q21" i="1" s="1"/>
  <c r="L700" i="1"/>
  <c r="AA700" i="1" s="1"/>
  <c r="L658" i="1"/>
  <c r="L21" i="1"/>
  <c r="L900" i="1"/>
  <c r="AA900" i="1" s="1"/>
  <c r="L758" i="1"/>
  <c r="AA758" i="1" s="1"/>
  <c r="L860" i="1"/>
  <c r="AA860" i="1" s="1"/>
  <c r="N19" i="1"/>
  <c r="R19" i="1" s="1"/>
  <c r="L698" i="1"/>
  <c r="AA698" i="1" s="1"/>
  <c r="L19" i="1"/>
  <c r="AA19" i="1" s="1"/>
  <c r="L498" i="1"/>
  <c r="L240" i="1"/>
  <c r="AA240" i="1" s="1"/>
  <c r="M638" i="1"/>
  <c r="N638" i="1"/>
  <c r="Q638" i="1" s="1"/>
  <c r="N658" i="1"/>
  <c r="Q658" i="1" s="1"/>
  <c r="L321" i="1"/>
  <c r="AA321" i="1" s="1"/>
  <c r="L460" i="1"/>
  <c r="N700" i="1"/>
  <c r="R700" i="1" s="1"/>
  <c r="N321" i="1"/>
  <c r="Q321" i="1" s="1"/>
  <c r="L862" i="1"/>
  <c r="L615" i="1"/>
  <c r="L865" i="1"/>
  <c r="L820" i="1"/>
  <c r="L141" i="1"/>
  <c r="AA141" i="1" s="1"/>
  <c r="N141" i="1"/>
  <c r="R141" i="1" s="1"/>
  <c r="N702" i="1"/>
  <c r="R702" i="1" s="1"/>
  <c r="L402" i="1"/>
  <c r="AA402" i="1" s="1"/>
  <c r="N498" i="1"/>
  <c r="R498" i="1" s="1"/>
  <c r="N18" i="1"/>
  <c r="R18" i="1" s="1"/>
  <c r="N697" i="1"/>
  <c r="Q697" i="1" s="1"/>
  <c r="N758" i="1"/>
  <c r="R758" i="1" s="1"/>
  <c r="N900" i="1"/>
  <c r="R900" i="1" s="1"/>
  <c r="N402" i="1"/>
  <c r="R402" i="1" s="1"/>
  <c r="L675" i="1"/>
  <c r="L18" i="1"/>
  <c r="L578" i="1"/>
  <c r="AA578" i="1" s="1"/>
  <c r="L420" i="1"/>
  <c r="L5" i="1"/>
  <c r="AA5" i="1" s="1"/>
  <c r="R7" i="1" l="1"/>
  <c r="Q13" i="1"/>
  <c r="R10" i="1"/>
  <c r="Q11" i="1"/>
  <c r="R12" i="1"/>
  <c r="R9" i="1"/>
  <c r="C9" i="5"/>
  <c r="R14" i="1"/>
  <c r="Q15" i="1"/>
  <c r="Q5" i="1"/>
  <c r="C5" i="5"/>
  <c r="A5" i="6"/>
  <c r="R6" i="1"/>
  <c r="C6" i="5"/>
  <c r="Q16" i="1"/>
  <c r="AA53" i="1"/>
  <c r="AA808" i="1"/>
  <c r="AA208" i="1"/>
  <c r="AA699" i="1"/>
  <c r="N679" i="1"/>
  <c r="Q679" i="1" s="1"/>
  <c r="M287" i="1"/>
  <c r="L719" i="1"/>
  <c r="AA719" i="1" s="1"/>
  <c r="M710" i="1"/>
  <c r="M699" i="1"/>
  <c r="L287" i="1"/>
  <c r="I18" i="2" s="1"/>
  <c r="N287" i="1"/>
  <c r="Q287" i="1" s="1"/>
  <c r="N710" i="1"/>
  <c r="Q710" i="1" s="1"/>
  <c r="M719" i="1"/>
  <c r="N719" i="1"/>
  <c r="R719" i="1" s="1"/>
  <c r="L710" i="1"/>
  <c r="I16" i="2" s="1"/>
  <c r="N699" i="1"/>
  <c r="Q699" i="1" s="1"/>
  <c r="L679" i="1"/>
  <c r="AA679" i="1" s="1"/>
  <c r="M679" i="1"/>
  <c r="L699" i="1"/>
  <c r="M20" i="1"/>
  <c r="L20" i="1"/>
  <c r="Q527" i="1"/>
  <c r="Q449" i="1"/>
  <c r="Q661" i="1"/>
  <c r="R235" i="1"/>
  <c r="Q864" i="1"/>
  <c r="Q776" i="1"/>
  <c r="Q405" i="1"/>
  <c r="Q132" i="1"/>
  <c r="R349" i="1"/>
  <c r="Q6" i="1"/>
  <c r="R428" i="1"/>
  <c r="Q67" i="1"/>
  <c r="Q462" i="1"/>
  <c r="R416" i="1"/>
  <c r="R505" i="1"/>
  <c r="R394" i="1"/>
  <c r="Q538" i="1"/>
  <c r="R787" i="1"/>
  <c r="Q817" i="1"/>
  <c r="Q138" i="1"/>
  <c r="R224" i="1"/>
  <c r="Q338" i="1"/>
  <c r="R319" i="1"/>
  <c r="Q401" i="1"/>
  <c r="R688" i="1"/>
  <c r="Q342" i="1"/>
  <c r="Q370" i="1"/>
  <c r="R739" i="1"/>
  <c r="Q413" i="1"/>
  <c r="R316" i="1"/>
  <c r="R324" i="1"/>
  <c r="Q146" i="1"/>
  <c r="Q156" i="1"/>
  <c r="R126" i="1"/>
  <c r="Q246" i="1"/>
  <c r="Q758" i="1"/>
  <c r="R86" i="1"/>
  <c r="R806" i="1"/>
  <c r="Q42" i="1"/>
  <c r="Q320" i="1"/>
  <c r="R559" i="1"/>
  <c r="Q675" i="1"/>
  <c r="Q54" i="1"/>
  <c r="Q485" i="1"/>
  <c r="Q424" i="1"/>
  <c r="R20" i="1"/>
  <c r="Q653" i="1"/>
  <c r="R248" i="1"/>
  <c r="R713" i="1"/>
  <c r="R100" i="1"/>
  <c r="Q278" i="1"/>
  <c r="Q797" i="1"/>
  <c r="Q480" i="1"/>
  <c r="R482" i="1"/>
  <c r="R509" i="1"/>
  <c r="Q345" i="1"/>
  <c r="Q709" i="1"/>
  <c r="R740" i="1"/>
  <c r="Q660" i="1"/>
  <c r="Q402" i="1"/>
  <c r="Q73" i="1"/>
  <c r="R521" i="1"/>
  <c r="R92" i="1"/>
  <c r="R623" i="1"/>
  <c r="R760" i="1"/>
  <c r="R310" i="1"/>
  <c r="R223" i="1"/>
  <c r="R587" i="1"/>
  <c r="Q380" i="1"/>
  <c r="Q62" i="1"/>
  <c r="R626" i="1"/>
  <c r="R460" i="1"/>
  <c r="Q159" i="1"/>
  <c r="R79" i="1"/>
  <c r="Q189" i="1"/>
  <c r="Q691" i="1"/>
  <c r="R680" i="1"/>
  <c r="R289" i="1"/>
  <c r="R165" i="1"/>
  <c r="R792" i="1"/>
  <c r="Q620" i="1"/>
  <c r="R369" i="1"/>
  <c r="Q721" i="1"/>
  <c r="Q500" i="1"/>
  <c r="R178" i="1"/>
  <c r="R752" i="1"/>
  <c r="R217" i="1"/>
  <c r="Q447" i="1"/>
  <c r="Q793" i="1"/>
  <c r="Q187" i="1"/>
  <c r="Q44" i="1"/>
  <c r="R631" i="1"/>
  <c r="R136" i="1"/>
  <c r="R314" i="1"/>
  <c r="R87" i="1"/>
  <c r="R830" i="1"/>
  <c r="R676" i="1"/>
  <c r="R820" i="1"/>
  <c r="R257" i="1"/>
  <c r="R491" i="1"/>
  <c r="Q333" i="1"/>
  <c r="Q627" i="1"/>
  <c r="Q399" i="1"/>
  <c r="Q19" i="1"/>
  <c r="Q708" i="1"/>
  <c r="R51" i="1"/>
  <c r="R652" i="1"/>
  <c r="R475" i="1"/>
  <c r="R215" i="1"/>
  <c r="R722" i="1"/>
  <c r="R409" i="1"/>
  <c r="Q764" i="1"/>
  <c r="Q445" i="1"/>
  <c r="R230" i="1"/>
  <c r="R323" i="1"/>
  <c r="Q904" i="1"/>
  <c r="R94" i="1"/>
  <c r="R329" i="1"/>
  <c r="R508" i="1"/>
  <c r="R481" i="1"/>
  <c r="R545" i="1"/>
  <c r="R227" i="1"/>
  <c r="R166" i="1"/>
  <c r="R655" i="1"/>
  <c r="R770" i="1"/>
  <c r="R791" i="1"/>
  <c r="Q749" i="1"/>
  <c r="Q622" i="1"/>
  <c r="Q786" i="1"/>
  <c r="R833" i="1"/>
  <c r="R393" i="1"/>
  <c r="R89" i="1"/>
  <c r="R659" i="1"/>
  <c r="R336" i="1"/>
  <c r="Q220" i="1"/>
  <c r="Q506" i="1"/>
  <c r="R274" i="1"/>
  <c r="R176" i="1"/>
  <c r="Q119" i="1"/>
  <c r="R249" i="1"/>
  <c r="R375" i="1"/>
  <c r="Q546" i="1"/>
  <c r="Q598" i="1"/>
  <c r="Q605" i="1"/>
  <c r="R566" i="1"/>
  <c r="Q70" i="1"/>
  <c r="R82" i="1"/>
  <c r="Q616" i="1"/>
  <c r="Q789" i="1"/>
  <c r="R111" i="1"/>
  <c r="R848" i="1"/>
  <c r="R471" i="1"/>
  <c r="Q668" i="1"/>
  <c r="Q308" i="1"/>
  <c r="R903" i="1"/>
  <c r="R36" i="1"/>
  <c r="R106" i="1"/>
  <c r="Q216" i="1"/>
  <c r="Q477" i="1"/>
  <c r="R439" i="1"/>
  <c r="Q611" i="1"/>
  <c r="R60" i="1"/>
  <c r="R555" i="1"/>
  <c r="R531" i="1"/>
  <c r="R859" i="1"/>
  <c r="R398" i="1"/>
  <c r="R489" i="1"/>
  <c r="R418" i="1"/>
  <c r="R696" i="1"/>
  <c r="Q869" i="1"/>
  <c r="Q840" i="1"/>
  <c r="R501" i="1"/>
  <c r="Q790" i="1"/>
  <c r="R802" i="1"/>
  <c r="R286" i="1"/>
  <c r="Q374" i="1"/>
  <c r="R596" i="1"/>
  <c r="Q199" i="1"/>
  <c r="R11" i="1"/>
  <c r="Q552" i="1"/>
  <c r="Q429" i="1"/>
  <c r="Q798" i="1"/>
  <c r="Q607" i="1"/>
  <c r="R634" i="1"/>
  <c r="R822" i="1"/>
  <c r="R357" i="1"/>
  <c r="R45" i="1"/>
  <c r="R600" i="1"/>
  <c r="R862" i="1"/>
  <c r="R154" i="1"/>
  <c r="R90" i="1"/>
  <c r="R142" i="1"/>
  <c r="Q288" i="1"/>
  <c r="Q526" i="1"/>
  <c r="Q24" i="1"/>
  <c r="Q388" i="1"/>
  <c r="Q782" i="1"/>
  <c r="Q673" i="1"/>
  <c r="Q194" i="1"/>
  <c r="R104" i="1"/>
  <c r="R294" i="1"/>
  <c r="R123" i="1"/>
  <c r="R717" i="1"/>
  <c r="Q467" i="1"/>
  <c r="Q784" i="1"/>
  <c r="Q671" i="1"/>
  <c r="Q558" i="1"/>
  <c r="Q423" i="1"/>
  <c r="Q753" i="1"/>
  <c r="Q608" i="1"/>
  <c r="R649" i="1"/>
  <c r="R888" i="1"/>
  <c r="Q815" i="1"/>
  <c r="R334" i="1"/>
  <c r="R207" i="1"/>
  <c r="Q812" i="1"/>
  <c r="Q615" i="1"/>
  <c r="Q836" i="1"/>
  <c r="Q670" i="1"/>
  <c r="R663" i="1"/>
  <c r="Q810" i="1"/>
  <c r="Q540" i="1"/>
  <c r="Q202" i="1"/>
  <c r="Q841" i="1"/>
  <c r="R685" i="1"/>
  <c r="R251" i="1"/>
  <c r="Q772" i="1"/>
  <c r="R828" i="1"/>
  <c r="R255" i="1"/>
  <c r="R240" i="1"/>
  <c r="R229" i="1"/>
  <c r="R745" i="1"/>
  <c r="Q702" i="1"/>
  <c r="Q768" i="1"/>
  <c r="Q309" i="1"/>
  <c r="Q327" i="1"/>
  <c r="R464" i="1"/>
  <c r="R524" i="1"/>
  <c r="R693" i="1"/>
  <c r="R155" i="1"/>
  <c r="R875" i="1"/>
  <c r="R512" i="1"/>
  <c r="R586" i="1"/>
  <c r="Q438" i="1"/>
  <c r="Q490" i="1"/>
  <c r="Q533" i="1"/>
  <c r="Q539" i="1"/>
  <c r="R469" i="1"/>
  <c r="R695" i="1"/>
  <c r="Q567" i="1"/>
  <c r="R135" i="1"/>
  <c r="R602" i="1"/>
  <c r="Q741" i="1"/>
  <c r="Q346" i="1"/>
  <c r="Q871" i="1"/>
  <c r="Q497" i="1"/>
  <c r="R417" i="1"/>
  <c r="R372" i="1"/>
  <c r="R870" i="1"/>
  <c r="R644" i="1"/>
  <c r="R267" i="1"/>
  <c r="R642" i="1"/>
  <c r="Q121" i="1"/>
  <c r="R837" i="1"/>
  <c r="R34" i="1"/>
  <c r="R231" i="1"/>
  <c r="R724" i="1"/>
  <c r="Q765" i="1"/>
  <c r="Q292" i="1"/>
  <c r="R282" i="1"/>
  <c r="Q27" i="1"/>
  <c r="Q32" i="1"/>
  <c r="Q7" i="1"/>
  <c r="R241" i="1"/>
  <c r="Q46" i="1"/>
  <c r="Q387" i="1"/>
  <c r="R15" i="1"/>
  <c r="Q639" i="1"/>
  <c r="Q151" i="1"/>
  <c r="R762" i="1"/>
  <c r="Q99" i="1"/>
  <c r="Q98" i="1"/>
  <c r="Q809" i="1"/>
  <c r="Q648" i="1"/>
  <c r="Q843" i="1"/>
  <c r="Q18" i="1"/>
  <c r="Q55" i="1"/>
  <c r="Q523" i="1"/>
  <c r="Q882" i="1"/>
  <c r="R382" i="1"/>
  <c r="Q102" i="1"/>
  <c r="Q337" i="1"/>
  <c r="Q297" i="1"/>
  <c r="Q601" i="1"/>
  <c r="R846" i="1"/>
  <c r="Q690" i="1"/>
  <c r="Q530" i="1"/>
  <c r="Q171" i="1"/>
  <c r="R831" i="1"/>
  <c r="Q139" i="1"/>
  <c r="Q692" i="1"/>
  <c r="R209" i="1"/>
  <c r="Q258" i="1"/>
  <c r="R883" i="1"/>
  <c r="Q291" i="1"/>
  <c r="R562" i="1"/>
  <c r="Q885" i="1"/>
  <c r="R436" i="1"/>
  <c r="R296" i="1"/>
  <c r="Q264" i="1"/>
  <c r="R435" i="1"/>
  <c r="Q712" i="1"/>
  <c r="R332" i="1"/>
  <c r="R434" i="1"/>
  <c r="Q260" i="1"/>
  <c r="R130" i="1"/>
  <c r="R513" i="1"/>
  <c r="R190" i="1"/>
  <c r="R795" i="1"/>
  <c r="R197" i="1"/>
  <c r="R234" i="1"/>
  <c r="R63" i="1"/>
  <c r="R158" i="1"/>
  <c r="R528" i="1"/>
  <c r="Q453" i="1"/>
  <c r="Q579" i="1"/>
  <c r="Q161" i="1"/>
  <c r="Q397" i="1"/>
  <c r="Q804" i="1"/>
  <c r="Q629" i="1"/>
  <c r="Q733" i="1"/>
  <c r="Q835" i="1"/>
  <c r="R22" i="1"/>
  <c r="R499" i="1"/>
  <c r="R824" i="1"/>
  <c r="R857" i="1"/>
  <c r="R360" i="1"/>
  <c r="R785" i="1"/>
  <c r="R322" i="1"/>
  <c r="R744" i="1"/>
  <c r="R78" i="1"/>
  <c r="R514" i="1"/>
  <c r="Q222" i="1"/>
  <c r="R410" i="1"/>
  <c r="R763" i="1"/>
  <c r="R858" i="1"/>
  <c r="R674" i="1"/>
  <c r="R593" i="1"/>
  <c r="R362" i="1"/>
  <c r="R365" i="1"/>
  <c r="R697" i="1"/>
  <c r="R613" i="1"/>
  <c r="R716" i="1"/>
  <c r="R503" i="1"/>
  <c r="R518" i="1"/>
  <c r="R411" i="1"/>
  <c r="R677" i="1"/>
  <c r="R113" i="1"/>
  <c r="H19" i="2"/>
  <c r="Q468" i="1"/>
  <c r="Q901" i="1"/>
  <c r="Q148" i="1"/>
  <c r="I19" i="2"/>
  <c r="Q28" i="1"/>
  <c r="Q700" i="1"/>
  <c r="R669" i="1"/>
  <c r="R854" i="1"/>
  <c r="Q191" i="1"/>
  <c r="R796" i="1"/>
  <c r="R769" i="1"/>
  <c r="R242" i="1"/>
  <c r="R31" i="1"/>
  <c r="R150" i="1"/>
  <c r="R385" i="1"/>
  <c r="R819" i="1"/>
  <c r="R569" i="1"/>
  <c r="R868" i="1"/>
  <c r="R321" i="1"/>
  <c r="R865" i="1"/>
  <c r="Q589" i="1"/>
  <c r="Q145" i="1"/>
  <c r="Q420" i="1"/>
  <c r="Q726" i="1"/>
  <c r="Q168" i="1"/>
  <c r="Q12" i="1"/>
  <c r="Q473" i="1"/>
  <c r="Q383" i="1"/>
  <c r="R856" i="1"/>
  <c r="Q640" i="1"/>
  <c r="Q618" i="1"/>
  <c r="R583" i="1"/>
  <c r="R112" i="1"/>
  <c r="R76" i="1"/>
  <c r="R48" i="1"/>
  <c r="R200" i="1"/>
  <c r="R303" i="1"/>
  <c r="R52" i="1"/>
  <c r="R867" i="1"/>
  <c r="R433" i="1"/>
  <c r="R400" i="1"/>
  <c r="Q318" i="1"/>
  <c r="Q839" i="1"/>
  <c r="Q751" i="1"/>
  <c r="Q317" i="1"/>
  <c r="R450" i="1"/>
  <c r="R672" i="1"/>
  <c r="Q140" i="1"/>
  <c r="Q455" i="1"/>
  <c r="R262" i="1"/>
  <c r="R407" i="1"/>
  <c r="R344" i="1"/>
  <c r="R766" i="1"/>
  <c r="R406" i="1"/>
  <c r="R551" i="1"/>
  <c r="R730" i="1"/>
  <c r="Q232" i="1"/>
  <c r="I15" i="2"/>
  <c r="Q350" i="1"/>
  <c r="Q794" i="1"/>
  <c r="Q647" i="1"/>
  <c r="Q377" i="1"/>
  <c r="Q141" i="1"/>
  <c r="Q486" i="1"/>
  <c r="Q315" i="1"/>
  <c r="R259" i="1"/>
  <c r="R245" i="1"/>
  <c r="R779" i="1"/>
  <c r="R279" i="1"/>
  <c r="R684" i="1"/>
  <c r="R66" i="1"/>
  <c r="R550" i="1"/>
  <c r="R504" i="1"/>
  <c r="R557" i="1"/>
  <c r="R196" i="1"/>
  <c r="R775" i="1"/>
  <c r="R347" i="1"/>
  <c r="Q269" i="1"/>
  <c r="Q307" i="1"/>
  <c r="R884" i="1"/>
  <c r="Q263" i="1"/>
  <c r="R236" i="1"/>
  <c r="Q358" i="1"/>
  <c r="R33" i="1"/>
  <c r="R603" i="1"/>
  <c r="R30" i="1"/>
  <c r="R38" i="1"/>
  <c r="R71" i="1"/>
  <c r="Q17" i="1"/>
  <c r="R522" i="1"/>
  <c r="Q65" i="1"/>
  <c r="R275" i="1"/>
  <c r="I13" i="2"/>
  <c r="R754" i="1"/>
  <c r="R825" i="1"/>
  <c r="R153" i="1"/>
  <c r="R233" i="1"/>
  <c r="R646" i="1"/>
  <c r="Q49" i="1"/>
  <c r="R590" i="1"/>
  <c r="R107" i="1"/>
  <c r="R5" i="1"/>
  <c r="Q391" i="1"/>
  <c r="Q206" i="1"/>
  <c r="Q192" i="1"/>
  <c r="Q311" i="1"/>
  <c r="Q164" i="1"/>
  <c r="Q14" i="1"/>
  <c r="Q746" i="1"/>
  <c r="Q204" i="1"/>
  <c r="R714" i="1"/>
  <c r="R890" i="1"/>
  <c r="R95" i="1"/>
  <c r="R361" i="1"/>
  <c r="R116" i="1"/>
  <c r="R756" i="1"/>
  <c r="R72" i="1"/>
  <c r="R300" i="1"/>
  <c r="R493" i="1"/>
  <c r="R738" i="1"/>
  <c r="R759" i="1"/>
  <c r="Q244" i="1"/>
  <c r="R681" i="1"/>
  <c r="R743" i="1"/>
  <c r="R771" i="1"/>
  <c r="R747" i="1"/>
  <c r="R443" i="1"/>
  <c r="R609" i="1"/>
  <c r="R367" i="1"/>
  <c r="R873" i="1"/>
  <c r="R386" i="1"/>
  <c r="R281" i="1"/>
  <c r="Q133" i="1"/>
  <c r="Q210" i="1"/>
  <c r="Q889" i="1"/>
  <c r="R876" i="1"/>
  <c r="H15" i="2"/>
  <c r="Q780" i="1"/>
  <c r="Q788" i="1"/>
  <c r="Q723" i="1"/>
  <c r="Q9" i="1"/>
  <c r="R118" i="1"/>
  <c r="R395" i="1"/>
  <c r="R131" i="1"/>
  <c r="R175" i="1"/>
  <c r="Q594" i="1"/>
  <c r="R897" i="1"/>
  <c r="R641" i="1"/>
  <c r="R115" i="1"/>
  <c r="Q778" i="1"/>
  <c r="R35" i="1"/>
  <c r="R451" i="1"/>
  <c r="R679" i="1"/>
  <c r="R331" i="1"/>
  <c r="R137" i="1"/>
  <c r="R29" i="1"/>
  <c r="R651" i="1"/>
  <c r="R855" i="1"/>
  <c r="R735" i="1"/>
  <c r="R354" i="1"/>
  <c r="R403" i="1"/>
  <c r="R564" i="1"/>
  <c r="Q662" i="1"/>
  <c r="Q180" i="1"/>
  <c r="Q298" i="1"/>
  <c r="Q85" i="1"/>
  <c r="R544" i="1"/>
  <c r="R312" i="1"/>
  <c r="Q894" i="1"/>
  <c r="R553" i="1"/>
  <c r="R340" i="1"/>
  <c r="R173" i="1"/>
  <c r="R265" i="1"/>
  <c r="R834" i="1"/>
  <c r="R381" i="1"/>
  <c r="R619" i="1"/>
  <c r="R43" i="1"/>
  <c r="R850" i="1"/>
  <c r="Q880" i="1"/>
  <c r="R478" i="1"/>
  <c r="R77" i="1"/>
  <c r="R832" i="1"/>
  <c r="R149" i="1"/>
  <c r="R707" i="1"/>
  <c r="R299" i="1"/>
  <c r="R305" i="1"/>
  <c r="Q838" i="1"/>
  <c r="Q114" i="1"/>
  <c r="Q68" i="1"/>
  <c r="R536" i="1"/>
  <c r="R729" i="1"/>
  <c r="R442" i="1"/>
  <c r="R853" i="1"/>
  <c r="R701" i="1"/>
  <c r="Q173" i="1"/>
  <c r="R276" i="1"/>
  <c r="R902" i="1"/>
  <c r="R895" i="1"/>
  <c r="R519" i="1"/>
  <c r="R502" i="1"/>
  <c r="R363" i="1"/>
  <c r="Q77" i="1"/>
  <c r="R198" i="1"/>
  <c r="R532" i="1"/>
  <c r="R573" i="1"/>
  <c r="R466" i="1"/>
  <c r="R93" i="1"/>
  <c r="R636" i="1"/>
  <c r="Q476" i="1"/>
  <c r="Q41" i="1"/>
  <c r="H13" i="2"/>
  <c r="Q101" i="1"/>
  <c r="Q597" i="1"/>
  <c r="Q574" i="1"/>
  <c r="Q341" i="1"/>
  <c r="Q863" i="1"/>
  <c r="R213" i="1"/>
  <c r="R452" i="1"/>
  <c r="Q108" i="1"/>
  <c r="R683" i="1"/>
  <c r="R284" i="1"/>
  <c r="R542" i="1"/>
  <c r="R874" i="1"/>
  <c r="R40" i="1"/>
  <c r="R774" i="1"/>
  <c r="R125" i="1"/>
  <c r="R58" i="1"/>
  <c r="R742" i="1"/>
  <c r="R510" i="1"/>
  <c r="R26" i="1"/>
  <c r="Q525" i="1"/>
  <c r="Q612" i="1"/>
  <c r="Q219" i="1"/>
  <c r="Q125" i="1"/>
  <c r="R392" i="1"/>
  <c r="R225" i="1"/>
  <c r="R472" i="1"/>
  <c r="R488" i="1"/>
  <c r="Q656" i="1"/>
  <c r="Q147" i="1"/>
  <c r="Q160" i="1"/>
  <c r="R427" i="1"/>
  <c r="R371" i="1"/>
  <c r="R440" i="1"/>
  <c r="Q295" i="1"/>
  <c r="R577" i="1"/>
  <c r="R272" i="1"/>
  <c r="R517" i="1"/>
  <c r="Q666" i="1"/>
  <c r="Q353" i="1"/>
  <c r="R254" i="1"/>
  <c r="Q431" i="1"/>
  <c r="Q715" i="1"/>
  <c r="R588" i="1"/>
  <c r="R285" i="1"/>
  <c r="R301" i="1"/>
  <c r="R172" i="1"/>
  <c r="Q290" i="1"/>
  <c r="Q205" i="1"/>
  <c r="R390" i="1"/>
  <c r="Q541" i="1"/>
  <c r="R69" i="1"/>
  <c r="R378" i="1"/>
  <c r="R103" i="1"/>
  <c r="R584" i="1"/>
  <c r="Q487" i="1"/>
  <c r="Q355" i="1"/>
  <c r="R654" i="1"/>
  <c r="Q64" i="1"/>
  <c r="Q10" i="1"/>
  <c r="Q351" i="1"/>
  <c r="R75" i="1"/>
  <c r="Q783" i="1"/>
  <c r="R465" i="1"/>
  <c r="R800" i="1"/>
  <c r="R811" i="1"/>
  <c r="Q335" i="1"/>
  <c r="Q755" i="1"/>
  <c r="Q803" i="1"/>
  <c r="R425" i="1"/>
  <c r="R356" i="1"/>
  <c r="Q226" i="1"/>
  <c r="Q624" i="1"/>
  <c r="R454" i="1"/>
  <c r="Q273" i="1"/>
  <c r="Q570" i="1"/>
  <c r="Q186" i="1"/>
  <c r="Q761" i="1"/>
  <c r="Q437" i="1"/>
  <c r="R134" i="1"/>
  <c r="Q313" i="1"/>
  <c r="R887" i="1"/>
  <c r="Q635" i="1"/>
  <c r="Q813" i="1"/>
  <c r="R537" i="1"/>
  <c r="R781" i="1"/>
  <c r="R881" i="1"/>
  <c r="Q896" i="1"/>
  <c r="R218" i="1"/>
  <c r="R732" i="1"/>
  <c r="Q479" i="1"/>
  <c r="R193" i="1"/>
  <c r="R152" i="1"/>
  <c r="R878" i="1"/>
  <c r="R144" i="1"/>
  <c r="R592" i="1"/>
  <c r="Q866" i="1"/>
  <c r="R816" i="1"/>
  <c r="R325" i="1"/>
  <c r="R705" i="1"/>
  <c r="R13" i="1"/>
  <c r="R560" i="1"/>
  <c r="R422" i="1"/>
  <c r="Q886" i="1"/>
  <c r="Q396" i="1"/>
  <c r="W771" i="1"/>
  <c r="Y771" i="1"/>
  <c r="W813" i="1"/>
  <c r="Y813" i="1"/>
  <c r="W427" i="1"/>
  <c r="Y427" i="1"/>
  <c r="W337" i="1"/>
  <c r="Y337" i="1"/>
  <c r="W532" i="1"/>
  <c r="Y532" i="1"/>
  <c r="W34" i="1"/>
  <c r="Y34" i="1"/>
  <c r="W667" i="1"/>
  <c r="Y667" i="1"/>
  <c r="W783" i="1"/>
  <c r="Y783" i="1"/>
  <c r="W24" i="1"/>
  <c r="Y24" i="1"/>
  <c r="W87" i="1"/>
  <c r="Y87" i="1"/>
  <c r="W75" i="1"/>
  <c r="Y75" i="1"/>
  <c r="W810" i="1"/>
  <c r="Y810" i="1"/>
  <c r="W213" i="1"/>
  <c r="Y213" i="1"/>
  <c r="W20" i="1"/>
  <c r="Y20" i="1"/>
  <c r="W93" i="1"/>
  <c r="Y93" i="1"/>
  <c r="W390" i="1"/>
  <c r="Y390" i="1"/>
  <c r="W345" i="1"/>
  <c r="Y345" i="1"/>
  <c r="W216" i="1"/>
  <c r="Y216" i="1"/>
  <c r="W843" i="1"/>
  <c r="Y843" i="1"/>
  <c r="W162" i="1"/>
  <c r="Y162" i="1"/>
  <c r="W870" i="1"/>
  <c r="Y870" i="1"/>
  <c r="W592" i="1"/>
  <c r="Y592" i="1"/>
  <c r="W293" i="1"/>
  <c r="Y293" i="1"/>
  <c r="W530" i="1"/>
  <c r="Y530" i="1"/>
  <c r="W529" i="1"/>
  <c r="Y529" i="1"/>
  <c r="W702" i="1"/>
  <c r="Y702" i="1"/>
  <c r="W672" i="1"/>
  <c r="Y672" i="1"/>
  <c r="W352" i="1"/>
  <c r="Y352" i="1"/>
  <c r="W91" i="1"/>
  <c r="Y91" i="1"/>
  <c r="W286" i="1"/>
  <c r="Y286" i="1"/>
  <c r="W804" i="1"/>
  <c r="Y804" i="1"/>
  <c r="W157" i="1"/>
  <c r="Y157" i="1"/>
  <c r="W207" i="1"/>
  <c r="Y207" i="1"/>
  <c r="W829" i="1"/>
  <c r="Y829" i="1"/>
  <c r="W447" i="1"/>
  <c r="Y447" i="1"/>
  <c r="W172" i="1"/>
  <c r="Y172" i="1"/>
  <c r="W578" i="1"/>
  <c r="Y578" i="1"/>
  <c r="W357" i="1"/>
  <c r="Y357" i="1"/>
  <c r="W460" i="1"/>
  <c r="Y460" i="1"/>
  <c r="W811" i="1"/>
  <c r="Y811" i="1"/>
  <c r="W782" i="1"/>
  <c r="Y782" i="1"/>
  <c r="W60" i="1"/>
  <c r="Y60" i="1"/>
  <c r="W503" i="1"/>
  <c r="Y503" i="1"/>
  <c r="W96" i="1"/>
  <c r="Y96" i="1"/>
  <c r="W758" i="1"/>
  <c r="Y758" i="1"/>
  <c r="W83" i="1"/>
  <c r="Y83" i="1"/>
  <c r="W451" i="1"/>
  <c r="Y451" i="1"/>
  <c r="W288" i="1"/>
  <c r="Y288" i="1"/>
  <c r="W231" i="1"/>
  <c r="Y231" i="1"/>
  <c r="W515" i="1"/>
  <c r="Y515" i="1"/>
  <c r="W847" i="1"/>
  <c r="Y847" i="1"/>
  <c r="W282" i="1"/>
  <c r="Y282" i="1"/>
  <c r="W863" i="1"/>
  <c r="Y863" i="1"/>
  <c r="W107" i="1"/>
  <c r="Y107" i="1"/>
  <c r="W509" i="1"/>
  <c r="Y509" i="1"/>
  <c r="W374" i="1"/>
  <c r="Y374" i="1"/>
  <c r="W103" i="1"/>
  <c r="Y103" i="1"/>
  <c r="W890" i="1"/>
  <c r="Y890" i="1"/>
  <c r="W185" i="1"/>
  <c r="Y185" i="1"/>
  <c r="W177" i="1"/>
  <c r="Y177" i="1"/>
  <c r="W678" i="1"/>
  <c r="Y678" i="1"/>
  <c r="W99" i="1"/>
  <c r="Y99" i="1"/>
  <c r="W70" i="1"/>
  <c r="Y70" i="1"/>
  <c r="W393" i="1"/>
  <c r="Y393" i="1"/>
  <c r="W245" i="1"/>
  <c r="Y245" i="1"/>
  <c r="W823" i="1"/>
  <c r="Y823" i="1"/>
  <c r="W621" i="1"/>
  <c r="Y621" i="1"/>
  <c r="W554" i="1"/>
  <c r="Y554" i="1"/>
  <c r="W256" i="1"/>
  <c r="Y256" i="1"/>
  <c r="W825" i="1"/>
  <c r="Y825" i="1"/>
  <c r="W467" i="1"/>
  <c r="Y467" i="1"/>
  <c r="W65" i="1"/>
  <c r="Y65" i="1"/>
  <c r="W21" i="1"/>
  <c r="Y21" i="1"/>
  <c r="W583" i="1"/>
  <c r="Y583" i="1"/>
  <c r="W272" i="1"/>
  <c r="Y272" i="1"/>
  <c r="W90" i="1"/>
  <c r="Y90" i="1"/>
  <c r="W15" i="1"/>
  <c r="Y15" i="1"/>
  <c r="W264" i="1"/>
  <c r="Y264" i="1"/>
  <c r="W618" i="1"/>
  <c r="Y618" i="1"/>
  <c r="W606" i="1"/>
  <c r="Y606" i="1"/>
  <c r="W525" i="1"/>
  <c r="Y525" i="1"/>
  <c r="W707" i="1"/>
  <c r="Y707" i="1"/>
  <c r="W793" i="1"/>
  <c r="Y793" i="1"/>
  <c r="W176" i="1"/>
  <c r="Y176" i="1"/>
  <c r="W350" i="1"/>
  <c r="Y350" i="1"/>
  <c r="W137" i="1"/>
  <c r="Y137" i="1"/>
  <c r="W470" i="1"/>
  <c r="Y470" i="1"/>
  <c r="W549" i="1"/>
  <c r="Y549" i="1"/>
  <c r="W698" i="1"/>
  <c r="Y698" i="1"/>
  <c r="W901" i="1"/>
  <c r="Y901" i="1"/>
  <c r="W62" i="1"/>
  <c r="Y62" i="1"/>
  <c r="W833" i="1"/>
  <c r="Y833" i="1"/>
  <c r="W663" i="1"/>
  <c r="Y663" i="1"/>
  <c r="W644" i="1"/>
  <c r="Y644" i="1"/>
  <c r="W248" i="1"/>
  <c r="Y248" i="1"/>
  <c r="W315" i="1"/>
  <c r="Y315" i="1"/>
  <c r="W750" i="1"/>
  <c r="Y750" i="1"/>
  <c r="W497" i="1"/>
  <c r="Y497" i="1"/>
  <c r="W713" i="1"/>
  <c r="Y713" i="1"/>
  <c r="W346" i="1"/>
  <c r="Y346" i="1"/>
  <c r="W787" i="1"/>
  <c r="Y787" i="1"/>
  <c r="W31" i="1"/>
  <c r="Y31" i="1"/>
  <c r="W660" i="1"/>
  <c r="Y660" i="1"/>
  <c r="W697" i="1"/>
  <c r="Y697" i="1"/>
  <c r="W109" i="1"/>
  <c r="Y109" i="1"/>
  <c r="W246" i="1"/>
  <c r="Y246" i="1"/>
  <c r="W610" i="1"/>
  <c r="Y610" i="1"/>
  <c r="W314" i="1"/>
  <c r="Y314" i="1"/>
  <c r="W339" i="1"/>
  <c r="Y339" i="1"/>
  <c r="W181" i="1"/>
  <c r="Y181" i="1"/>
  <c r="W735" i="1"/>
  <c r="Y735" i="1"/>
  <c r="W442" i="1"/>
  <c r="Y442" i="1"/>
  <c r="W788" i="1"/>
  <c r="Y788" i="1"/>
  <c r="W269" i="1"/>
  <c r="Y269" i="1"/>
  <c r="W721" i="1"/>
  <c r="Y721" i="1"/>
  <c r="W400" i="1"/>
  <c r="Y400" i="1"/>
  <c r="W517" i="1"/>
  <c r="Y517" i="1"/>
  <c r="W546" i="1"/>
  <c r="Y546" i="1"/>
  <c r="W263" i="1"/>
  <c r="Y263" i="1"/>
  <c r="W81" i="1"/>
  <c r="Y81" i="1"/>
  <c r="W104" i="1"/>
  <c r="Y104" i="1"/>
  <c r="W628" i="1"/>
  <c r="Y628" i="1"/>
  <c r="W26" i="1"/>
  <c r="Y26" i="1"/>
  <c r="W220" i="1"/>
  <c r="Y220" i="1"/>
  <c r="W738" i="1"/>
  <c r="Y738" i="1"/>
  <c r="W363" i="1"/>
  <c r="Y363" i="1"/>
  <c r="W375" i="1"/>
  <c r="Y375" i="1"/>
  <c r="W465" i="1"/>
  <c r="Y465" i="1"/>
  <c r="W878" i="1"/>
  <c r="Y878" i="1"/>
  <c r="W170" i="1"/>
  <c r="Y170" i="1"/>
  <c r="W541" i="1"/>
  <c r="Y541" i="1"/>
  <c r="W192" i="1"/>
  <c r="Y192" i="1"/>
  <c r="W550" i="1"/>
  <c r="Y550" i="1"/>
  <c r="W820" i="1"/>
  <c r="Y820" i="1"/>
  <c r="W164" i="1"/>
  <c r="Y164" i="1"/>
  <c r="W709" i="1"/>
  <c r="Y709" i="1"/>
  <c r="W275" i="1"/>
  <c r="Y275" i="1"/>
  <c r="W295" i="1"/>
  <c r="Y295" i="1"/>
  <c r="W377" i="1"/>
  <c r="Y377" i="1"/>
  <c r="W879" i="1"/>
  <c r="Y879" i="1"/>
  <c r="W830" i="1"/>
  <c r="Y830" i="1"/>
  <c r="W579" i="1"/>
  <c r="Y579" i="1"/>
  <c r="W168" i="1"/>
  <c r="Y168" i="1"/>
  <c r="W57" i="1"/>
  <c r="Y57" i="1"/>
  <c r="W135" i="1"/>
  <c r="Y135" i="1"/>
  <c r="W433" i="1"/>
  <c r="Y433" i="1"/>
  <c r="W45" i="1"/>
  <c r="Y45" i="1"/>
  <c r="W687" i="1"/>
  <c r="Y687" i="1"/>
  <c r="W780" i="1"/>
  <c r="Y780" i="1"/>
  <c r="W668" i="1"/>
  <c r="Y668" i="1"/>
  <c r="W391" i="1"/>
  <c r="Y391" i="1"/>
  <c r="W44" i="1"/>
  <c r="Y44" i="1"/>
  <c r="W401" i="1"/>
  <c r="Y401" i="1"/>
  <c r="W768" i="1"/>
  <c r="Y768" i="1"/>
  <c r="R185" i="1"/>
  <c r="W727" i="1"/>
  <c r="Y727" i="1"/>
  <c r="W828" i="1"/>
  <c r="Y828" i="1"/>
  <c r="R25" i="1"/>
  <c r="W808" i="1"/>
  <c r="Y808" i="1"/>
  <c r="W842" i="1"/>
  <c r="Y842" i="1"/>
  <c r="W635" i="1"/>
  <c r="Y635" i="1"/>
  <c r="W448" i="1"/>
  <c r="Y448" i="1"/>
  <c r="W133" i="1"/>
  <c r="Y133" i="1"/>
  <c r="W347" i="1"/>
  <c r="Y347" i="1"/>
  <c r="W156" i="1"/>
  <c r="Y156" i="1"/>
  <c r="W153" i="1"/>
  <c r="Y153" i="1"/>
  <c r="W865" i="1"/>
  <c r="Y865" i="1"/>
  <c r="W473" i="1"/>
  <c r="Y473" i="1"/>
  <c r="W324" i="1"/>
  <c r="Y324" i="1"/>
  <c r="W188" i="1"/>
  <c r="Y188" i="1"/>
  <c r="W322" i="1"/>
  <c r="Y322" i="1"/>
  <c r="W584" i="1"/>
  <c r="Y584" i="1"/>
  <c r="W817" i="1"/>
  <c r="Y817" i="1"/>
  <c r="W897" i="1"/>
  <c r="Y897" i="1"/>
  <c r="W46" i="1"/>
  <c r="Y46" i="1"/>
  <c r="W127" i="1"/>
  <c r="Y127" i="1"/>
  <c r="W151" i="1"/>
  <c r="Y151" i="1"/>
  <c r="W158" i="1"/>
  <c r="Y158" i="1"/>
  <c r="W524" i="1"/>
  <c r="Y524" i="1"/>
  <c r="W354" i="1"/>
  <c r="Y354" i="1"/>
  <c r="W748" i="1"/>
  <c r="Y748" i="1"/>
  <c r="W193" i="1"/>
  <c r="Y193" i="1"/>
  <c r="W533" i="1"/>
  <c r="Y533" i="1"/>
  <c r="W475" i="1"/>
  <c r="Y475" i="1"/>
  <c r="W718" i="1"/>
  <c r="Y718" i="1"/>
  <c r="W61" i="1"/>
  <c r="Y61" i="1"/>
  <c r="W581" i="1"/>
  <c r="Y581" i="1"/>
  <c r="W82" i="1"/>
  <c r="Y82" i="1"/>
  <c r="W344" i="1"/>
  <c r="Y344" i="1"/>
  <c r="W11" i="1"/>
  <c r="Y11" i="1"/>
  <c r="W789" i="1"/>
  <c r="Y789" i="1"/>
  <c r="W422" i="1"/>
  <c r="Y422" i="1"/>
  <c r="W310" i="1"/>
  <c r="Y310" i="1"/>
  <c r="W299" i="1"/>
  <c r="Y299" i="1"/>
  <c r="W209" i="1"/>
  <c r="Y209" i="1"/>
  <c r="W145" i="1"/>
  <c r="Y145" i="1"/>
  <c r="W233" i="1"/>
  <c r="Y233" i="1"/>
  <c r="W305" i="1"/>
  <c r="Y305" i="1"/>
  <c r="W419" i="1"/>
  <c r="Y419" i="1"/>
  <c r="W279" i="1"/>
  <c r="Y279" i="1"/>
  <c r="W415" i="1"/>
  <c r="Y415" i="1"/>
  <c r="W502" i="1"/>
  <c r="Y502" i="1"/>
  <c r="W616" i="1"/>
  <c r="Y616" i="1"/>
  <c r="W862" i="1"/>
  <c r="Y862" i="1"/>
  <c r="W548" i="1"/>
  <c r="Y548" i="1"/>
  <c r="W388" i="1"/>
  <c r="Y388" i="1"/>
  <c r="W379" i="1"/>
  <c r="Y379" i="1"/>
  <c r="W12" i="1"/>
  <c r="Y12" i="1"/>
  <c r="W382" i="1"/>
  <c r="Y382" i="1"/>
  <c r="W408" i="1"/>
  <c r="Y408" i="1"/>
  <c r="W557" i="1"/>
  <c r="Y557" i="1"/>
  <c r="W25" i="1"/>
  <c r="Y25" i="1"/>
  <c r="W759" i="1"/>
  <c r="Y759" i="1"/>
  <c r="W22" i="1"/>
  <c r="Y22" i="1"/>
  <c r="W159" i="1"/>
  <c r="Y159" i="1"/>
  <c r="W609" i="1"/>
  <c r="Y609" i="1"/>
  <c r="W163" i="1"/>
  <c r="Y163" i="1"/>
  <c r="W649" i="1"/>
  <c r="Y649" i="1"/>
  <c r="W571" i="1"/>
  <c r="Y571" i="1"/>
  <c r="W469" i="1"/>
  <c r="Y469" i="1"/>
  <c r="W251" i="1"/>
  <c r="Y251" i="1"/>
  <c r="W348" i="1"/>
  <c r="Y348" i="1"/>
  <c r="W629" i="1"/>
  <c r="Y629" i="1"/>
  <c r="W531" i="1"/>
  <c r="Y531" i="1"/>
  <c r="W101" i="1"/>
  <c r="Y101" i="1"/>
  <c r="W505" i="1"/>
  <c r="Y505" i="1"/>
  <c r="W128" i="1"/>
  <c r="Y128" i="1"/>
  <c r="W167" i="1"/>
  <c r="Y167" i="1"/>
  <c r="W753" i="1"/>
  <c r="Y753" i="1"/>
  <c r="W368" i="1"/>
  <c r="Y368" i="1"/>
  <c r="W656" i="1"/>
  <c r="Y656" i="1"/>
  <c r="W8" i="1"/>
  <c r="Y8" i="1"/>
  <c r="W882" i="1"/>
  <c r="Y882" i="1"/>
  <c r="W487" i="1"/>
  <c r="Y487" i="1"/>
  <c r="W425" i="1"/>
  <c r="Y425" i="1"/>
  <c r="W855" i="1"/>
  <c r="Y855" i="1"/>
  <c r="W74" i="1"/>
  <c r="Y74" i="1"/>
  <c r="W874" i="1"/>
  <c r="Y874" i="1"/>
  <c r="W714" i="1"/>
  <c r="Y714" i="1"/>
  <c r="W149" i="1"/>
  <c r="Y149" i="1"/>
  <c r="W338" i="1"/>
  <c r="Y338" i="1"/>
  <c r="W298" i="1"/>
  <c r="Y298" i="1"/>
  <c r="R268" i="1"/>
  <c r="W474" i="1"/>
  <c r="Y474" i="1"/>
  <c r="W483" i="1"/>
  <c r="Y483" i="1"/>
  <c r="W7" i="1"/>
  <c r="Y7" i="1"/>
  <c r="W409" i="1"/>
  <c r="Y409" i="1"/>
  <c r="W767" i="1"/>
  <c r="Y767" i="1"/>
  <c r="W19" i="1"/>
  <c r="Y19" i="1"/>
  <c r="W658" i="1"/>
  <c r="Y658" i="1"/>
  <c r="W410" i="1"/>
  <c r="Y410" i="1"/>
  <c r="W254" i="1"/>
  <c r="Y254" i="1"/>
  <c r="W323" i="1"/>
  <c r="Y323" i="1"/>
  <c r="W688" i="1"/>
  <c r="Y688" i="1"/>
  <c r="W894" i="1"/>
  <c r="Y894" i="1"/>
  <c r="W92" i="1"/>
  <c r="Y92" i="1"/>
  <c r="W58" i="1"/>
  <c r="Y58" i="1"/>
  <c r="W722" i="1"/>
  <c r="Y722" i="1"/>
  <c r="W59" i="1"/>
  <c r="Y59" i="1"/>
  <c r="W227" i="1"/>
  <c r="Y227" i="1"/>
  <c r="W703" i="1"/>
  <c r="Y703" i="1"/>
  <c r="W182" i="1"/>
  <c r="Y182" i="1"/>
  <c r="W506" i="1"/>
  <c r="Y506" i="1"/>
  <c r="W179" i="1"/>
  <c r="Y179" i="1"/>
  <c r="W139" i="1"/>
  <c r="Y139" i="1"/>
  <c r="W426" i="1"/>
  <c r="Y426" i="1"/>
  <c r="W559" i="1"/>
  <c r="Y559" i="1"/>
  <c r="W607" i="1"/>
  <c r="Y607" i="1"/>
  <c r="W822" i="1"/>
  <c r="Y822" i="1"/>
  <c r="W781" i="1"/>
  <c r="Y781" i="1"/>
  <c r="W63" i="1"/>
  <c r="Y63" i="1"/>
  <c r="Q657" i="1"/>
  <c r="W443" i="1"/>
  <c r="Y443" i="1"/>
  <c r="W507" i="1"/>
  <c r="Y507" i="1"/>
  <c r="W143" i="1"/>
  <c r="Y143" i="1"/>
  <c r="W886" i="1"/>
  <c r="Y886" i="1"/>
  <c r="W292" i="1"/>
  <c r="Y292" i="1"/>
  <c r="W369" i="1"/>
  <c r="Y369" i="1"/>
  <c r="W202" i="1"/>
  <c r="Y202" i="1"/>
  <c r="W802" i="1"/>
  <c r="Y802" i="1"/>
  <c r="W452" i="1"/>
  <c r="Y452" i="1"/>
  <c r="W508" i="1"/>
  <c r="Y508" i="1"/>
  <c r="W6" i="1"/>
  <c r="Y6" i="1"/>
  <c r="W77" i="1"/>
  <c r="Y77" i="1"/>
  <c r="W544" i="1"/>
  <c r="Y544" i="1"/>
  <c r="W728" i="1"/>
  <c r="Y728" i="1"/>
  <c r="W130" i="1"/>
  <c r="Y130" i="1"/>
  <c r="W122" i="1"/>
  <c r="Y122" i="1"/>
  <c r="W42" i="1"/>
  <c r="Y42" i="1"/>
  <c r="W613" i="1"/>
  <c r="Y613" i="1"/>
  <c r="W627" i="1"/>
  <c r="Y627" i="1"/>
  <c r="W301" i="1"/>
  <c r="Y301" i="1"/>
  <c r="W779" i="1"/>
  <c r="Y779" i="1"/>
  <c r="W744" i="1"/>
  <c r="Y744" i="1"/>
  <c r="W316" i="1"/>
  <c r="Y316" i="1"/>
  <c r="W799" i="1"/>
  <c r="Y799" i="1"/>
  <c r="W860" i="1"/>
  <c r="Y860" i="1"/>
  <c r="W841" i="1"/>
  <c r="Y841" i="1"/>
  <c r="W175" i="1"/>
  <c r="Y175" i="1"/>
  <c r="W527" i="1"/>
  <c r="Y527" i="1"/>
  <c r="W757" i="1"/>
  <c r="Y757" i="1"/>
  <c r="W255" i="1"/>
  <c r="Y255" i="1"/>
  <c r="W461" i="1"/>
  <c r="Y461" i="1"/>
  <c r="W114" i="1"/>
  <c r="Y114" i="1"/>
  <c r="W765" i="1"/>
  <c r="Y765" i="1"/>
  <c r="W741" i="1"/>
  <c r="Y741" i="1"/>
  <c r="W333" i="1"/>
  <c r="Y333" i="1"/>
  <c r="W353" i="1"/>
  <c r="Y353" i="1"/>
  <c r="W814" i="1"/>
  <c r="Y814" i="1"/>
  <c r="W113" i="1"/>
  <c r="Y113" i="1"/>
  <c r="W331" i="1"/>
  <c r="Y331" i="1"/>
  <c r="W398" i="1"/>
  <c r="Y398" i="1"/>
  <c r="W494" i="1"/>
  <c r="Y494" i="1"/>
  <c r="W359" i="1"/>
  <c r="Y359" i="1"/>
  <c r="W639" i="1"/>
  <c r="Y639" i="1"/>
  <c r="W650" i="1"/>
  <c r="Y650" i="1"/>
  <c r="W387" i="1"/>
  <c r="Y387" i="1"/>
  <c r="W620" i="1"/>
  <c r="Y620" i="1"/>
  <c r="W222" i="1"/>
  <c r="Y222" i="1"/>
  <c r="W361" i="1"/>
  <c r="Y361" i="1"/>
  <c r="W38" i="1"/>
  <c r="Y38" i="1"/>
  <c r="W522" i="1"/>
  <c r="Y522" i="1"/>
  <c r="W601" i="1"/>
  <c r="Y601" i="1"/>
  <c r="W593" i="1"/>
  <c r="Y593" i="1"/>
  <c r="W392" i="1"/>
  <c r="Y392" i="1"/>
  <c r="W371" i="1"/>
  <c r="Y371" i="1"/>
  <c r="W655" i="1"/>
  <c r="Y655" i="1"/>
  <c r="W552" i="1"/>
  <c r="Y552" i="1"/>
  <c r="W518" i="1"/>
  <c r="Y518" i="1"/>
  <c r="W260" i="1"/>
  <c r="Y260" i="1"/>
  <c r="W434" i="1"/>
  <c r="Y434" i="1"/>
  <c r="W510" i="1"/>
  <c r="Y510" i="1"/>
  <c r="W625" i="1"/>
  <c r="Y625" i="1"/>
  <c r="W636" i="1"/>
  <c r="Y636" i="1"/>
  <c r="W577" i="1"/>
  <c r="Y577" i="1"/>
  <c r="W234" i="1"/>
  <c r="Y234" i="1"/>
  <c r="W821" i="1"/>
  <c r="Y821" i="1"/>
  <c r="W818" i="1"/>
  <c r="Y818" i="1"/>
  <c r="W812" i="1"/>
  <c r="Y812" i="1"/>
  <c r="W582" i="1"/>
  <c r="Y582" i="1"/>
  <c r="W866" i="1"/>
  <c r="Y866" i="1"/>
  <c r="W373" i="1"/>
  <c r="Y373" i="1"/>
  <c r="W191" i="1"/>
  <c r="Y191" i="1"/>
  <c r="W796" i="1"/>
  <c r="Y796" i="1"/>
  <c r="W189" i="1"/>
  <c r="Y189" i="1"/>
  <c r="W124" i="1"/>
  <c r="Y124" i="1"/>
  <c r="Q818" i="1"/>
  <c r="W78" i="1"/>
  <c r="Y78" i="1"/>
  <c r="W739" i="1"/>
  <c r="Y739" i="1"/>
  <c r="W520" i="1"/>
  <c r="Y520" i="1"/>
  <c r="W47" i="1"/>
  <c r="Y47" i="1"/>
  <c r="W900" i="1"/>
  <c r="Y900" i="1"/>
  <c r="W710" i="1"/>
  <c r="Y710" i="1"/>
  <c r="W406" i="1"/>
  <c r="Y406" i="1"/>
  <c r="W468" i="1"/>
  <c r="Y468" i="1"/>
  <c r="W381" i="1"/>
  <c r="Y381" i="1"/>
  <c r="W496" i="1"/>
  <c r="Y496" i="1"/>
  <c r="W116" i="1"/>
  <c r="Y116" i="1"/>
  <c r="W241" i="1"/>
  <c r="Y241" i="1"/>
  <c r="W121" i="1"/>
  <c r="Y121" i="1"/>
  <c r="W553" i="1"/>
  <c r="Y553" i="1"/>
  <c r="W386" i="1"/>
  <c r="Y386" i="1"/>
  <c r="W902" i="1"/>
  <c r="Y902" i="1"/>
  <c r="W173" i="1"/>
  <c r="Y173" i="1"/>
  <c r="W196" i="1"/>
  <c r="Y196" i="1"/>
  <c r="W53" i="1"/>
  <c r="Y53" i="1"/>
  <c r="W594" i="1"/>
  <c r="Y594" i="1"/>
  <c r="W786" i="1"/>
  <c r="Y786" i="1"/>
  <c r="W797" i="1"/>
  <c r="Y797" i="1"/>
  <c r="W895" i="1"/>
  <c r="Y895" i="1"/>
  <c r="W726" i="1"/>
  <c r="Y726" i="1"/>
  <c r="W205" i="1"/>
  <c r="Y205" i="1"/>
  <c r="W294" i="1"/>
  <c r="Y294" i="1"/>
  <c r="W794" i="1"/>
  <c r="Y794" i="1"/>
  <c r="W110" i="1"/>
  <c r="Y110" i="1"/>
  <c r="W711" i="1"/>
  <c r="Y711" i="1"/>
  <c r="W715" i="1"/>
  <c r="Y715" i="1"/>
  <c r="W790" i="1"/>
  <c r="Y790" i="1"/>
  <c r="W29" i="1"/>
  <c r="Y29" i="1"/>
  <c r="W10" i="1"/>
  <c r="Y10" i="1"/>
  <c r="W795" i="1"/>
  <c r="Y795" i="1"/>
  <c r="W734" i="1"/>
  <c r="Y734" i="1"/>
  <c r="W271" i="1"/>
  <c r="Y271" i="1"/>
  <c r="W463" i="1"/>
  <c r="Y463" i="1"/>
  <c r="W417" i="1"/>
  <c r="Y417" i="1"/>
  <c r="W155" i="1"/>
  <c r="Y155" i="1"/>
  <c r="W772" i="1"/>
  <c r="Y772" i="1"/>
  <c r="W364" i="1"/>
  <c r="Y364" i="1"/>
  <c r="W665" i="1"/>
  <c r="Y665" i="1"/>
  <c r="W493" i="1"/>
  <c r="Y493" i="1"/>
  <c r="W402" i="1"/>
  <c r="Y402" i="1"/>
  <c r="W445" i="1"/>
  <c r="Y445" i="1"/>
  <c r="W743" i="1"/>
  <c r="Y743" i="1"/>
  <c r="W312" i="1"/>
  <c r="Y312" i="1"/>
  <c r="W749" i="1"/>
  <c r="Y749" i="1"/>
  <c r="W869" i="1"/>
  <c r="Y869" i="1"/>
  <c r="W770" i="1"/>
  <c r="Y770" i="1"/>
  <c r="W204" i="1"/>
  <c r="Y204" i="1"/>
  <c r="W30" i="1"/>
  <c r="Y30" i="1"/>
  <c r="W212" i="1"/>
  <c r="Y212" i="1"/>
  <c r="W631" i="1"/>
  <c r="Y631" i="1"/>
  <c r="W140" i="1"/>
  <c r="Y140" i="1"/>
  <c r="W424" i="1"/>
  <c r="Y424" i="1"/>
  <c r="W642" i="1"/>
  <c r="Y642" i="1"/>
  <c r="W86" i="1"/>
  <c r="Y86" i="1"/>
  <c r="W203" i="1"/>
  <c r="Y203" i="1"/>
  <c r="W413" i="1"/>
  <c r="Y413" i="1"/>
  <c r="W178" i="1"/>
  <c r="Y178" i="1"/>
  <c r="W596" i="1"/>
  <c r="Y596" i="1"/>
  <c r="W73" i="1"/>
  <c r="Y73" i="1"/>
  <c r="W389" i="1"/>
  <c r="Y389" i="1"/>
  <c r="W574" i="1"/>
  <c r="Y574" i="1"/>
  <c r="W888" i="1"/>
  <c r="Y888" i="1"/>
  <c r="W569" i="1"/>
  <c r="Y569" i="1"/>
  <c r="W845" i="1"/>
  <c r="Y845" i="1"/>
  <c r="W432" i="1"/>
  <c r="Y432" i="1"/>
  <c r="W102" i="1"/>
  <c r="Y102" i="1"/>
  <c r="W302" i="1"/>
  <c r="Y302" i="1"/>
  <c r="W742" i="1"/>
  <c r="Y742" i="1"/>
  <c r="W404" i="1"/>
  <c r="Y404" i="1"/>
  <c r="W341" i="1"/>
  <c r="Y341" i="1"/>
  <c r="W653" i="1"/>
  <c r="Y653" i="1"/>
  <c r="W752" i="1"/>
  <c r="Y752" i="1"/>
  <c r="W674" i="1"/>
  <c r="Y674" i="1"/>
  <c r="W244" i="1"/>
  <c r="Y244" i="1"/>
  <c r="W105" i="1"/>
  <c r="Y105" i="1"/>
  <c r="W480" i="1"/>
  <c r="Y480" i="1"/>
  <c r="W846" i="1"/>
  <c r="Y846" i="1"/>
  <c r="W16" i="1"/>
  <c r="Y16" i="1"/>
  <c r="W700" i="1"/>
  <c r="Y700" i="1"/>
  <c r="W131" i="1"/>
  <c r="Y131" i="1"/>
  <c r="W277" i="1"/>
  <c r="Y277" i="1"/>
  <c r="W543" i="1"/>
  <c r="Y543" i="1"/>
  <c r="W856" i="1"/>
  <c r="Y856" i="1"/>
  <c r="W152" i="1"/>
  <c r="Y152" i="1"/>
  <c r="W52" i="1"/>
  <c r="Y52" i="1"/>
  <c r="W84" i="1"/>
  <c r="Y84" i="1"/>
  <c r="W142" i="1"/>
  <c r="Y142" i="1"/>
  <c r="W150" i="1"/>
  <c r="Y150" i="1"/>
  <c r="W640" i="1"/>
  <c r="Y640" i="1"/>
  <c r="W598" i="1"/>
  <c r="Y598" i="1"/>
  <c r="W27" i="1"/>
  <c r="Y27" i="1"/>
  <c r="W871" i="1"/>
  <c r="Y871" i="1"/>
  <c r="W586" i="1"/>
  <c r="Y586" i="1"/>
  <c r="W603" i="1"/>
  <c r="Y603" i="1"/>
  <c r="W41" i="1"/>
  <c r="Y41" i="1"/>
  <c r="W864" i="1"/>
  <c r="Y864" i="1"/>
  <c r="W276" i="1"/>
  <c r="Y276" i="1"/>
  <c r="W48" i="1"/>
  <c r="Y48" i="1"/>
  <c r="W39" i="1"/>
  <c r="Y39" i="1"/>
  <c r="W777" i="1"/>
  <c r="Y777" i="1"/>
  <c r="W851" i="1"/>
  <c r="Y851" i="1"/>
  <c r="W243" i="1"/>
  <c r="Y243" i="1"/>
  <c r="W775" i="1"/>
  <c r="Y775" i="1"/>
  <c r="W720" i="1"/>
  <c r="Y720" i="1"/>
  <c r="W619" i="1"/>
  <c r="Y619" i="1"/>
  <c r="W420" i="1"/>
  <c r="Y420" i="1"/>
  <c r="W859" i="1"/>
  <c r="Y859" i="1"/>
  <c r="W478" i="1"/>
  <c r="Y478" i="1"/>
  <c r="W466" i="1"/>
  <c r="Y466" i="1"/>
  <c r="W646" i="1"/>
  <c r="Y646" i="1"/>
  <c r="W290" i="1"/>
  <c r="Y290" i="1"/>
  <c r="W146" i="1"/>
  <c r="Y146" i="1"/>
  <c r="W504" i="1"/>
  <c r="Y504" i="1"/>
  <c r="W54" i="1"/>
  <c r="Y54" i="1"/>
  <c r="W334" i="1"/>
  <c r="Y334" i="1"/>
  <c r="W887" i="1"/>
  <c r="Y887" i="1"/>
  <c r="W169" i="1"/>
  <c r="Y169" i="1"/>
  <c r="W873" i="1"/>
  <c r="Y873" i="1"/>
  <c r="W612" i="1"/>
  <c r="Y612" i="1"/>
  <c r="W332" i="1"/>
  <c r="Y332" i="1"/>
  <c r="W807" i="1"/>
  <c r="Y807" i="1"/>
  <c r="W840" i="1"/>
  <c r="Y840" i="1"/>
  <c r="W428" i="1"/>
  <c r="Y428" i="1"/>
  <c r="W439" i="1"/>
  <c r="Y439" i="1"/>
  <c r="W884" i="1"/>
  <c r="Y884" i="1"/>
  <c r="W848" i="1"/>
  <c r="Y848" i="1"/>
  <c r="W626" i="1"/>
  <c r="Y626" i="1"/>
  <c r="W637" i="1"/>
  <c r="Y637" i="1"/>
  <c r="W262" i="1"/>
  <c r="Y262" i="1"/>
  <c r="W329" i="1"/>
  <c r="Y329" i="1"/>
  <c r="W115" i="1"/>
  <c r="Y115" i="1"/>
  <c r="W489" i="1"/>
  <c r="Y489" i="1"/>
  <c r="W853" i="1"/>
  <c r="Y853" i="1"/>
  <c r="W125" i="1"/>
  <c r="Y125" i="1"/>
  <c r="W826" i="1"/>
  <c r="Y826" i="1"/>
  <c r="W367" i="1"/>
  <c r="Y367" i="1"/>
  <c r="W732" i="1"/>
  <c r="Y732" i="1"/>
  <c r="W261" i="1"/>
  <c r="Y261" i="1"/>
  <c r="W136" i="1"/>
  <c r="Y136" i="1"/>
  <c r="W587" i="1"/>
  <c r="Y587" i="1"/>
  <c r="W33" i="1"/>
  <c r="Y33" i="1"/>
  <c r="W71" i="1"/>
  <c r="Y71" i="1"/>
  <c r="W284" i="1"/>
  <c r="Y284" i="1"/>
  <c r="W838" i="1"/>
  <c r="Y838" i="1"/>
  <c r="W252" i="1"/>
  <c r="Y252" i="1"/>
  <c r="W883" i="1"/>
  <c r="Y883" i="1"/>
  <c r="W459" i="1"/>
  <c r="Y459" i="1"/>
  <c r="W570" i="1"/>
  <c r="Y570" i="1"/>
  <c r="W440" i="1"/>
  <c r="Y440" i="1"/>
  <c r="W806" i="1"/>
  <c r="Y806" i="1"/>
  <c r="W704" i="1"/>
  <c r="Y704" i="1"/>
  <c r="W287" i="1"/>
  <c r="Y287" i="1"/>
  <c r="W141" i="1"/>
  <c r="Y141" i="1"/>
  <c r="W836" i="1"/>
  <c r="Y836" i="1"/>
  <c r="W224" i="1"/>
  <c r="Y224" i="1"/>
  <c r="W867" i="1"/>
  <c r="Y867" i="1"/>
  <c r="W673" i="1"/>
  <c r="Y673" i="1"/>
  <c r="W819" i="1"/>
  <c r="Y819" i="1"/>
  <c r="W746" i="1"/>
  <c r="Y746" i="1"/>
  <c r="W358" i="1"/>
  <c r="Y358" i="1"/>
  <c r="W453" i="1"/>
  <c r="Y453" i="1"/>
  <c r="W270" i="1"/>
  <c r="Y270" i="1"/>
  <c r="W763" i="1"/>
  <c r="Y763" i="1"/>
  <c r="W575" i="1"/>
  <c r="Y575" i="1"/>
  <c r="W731" i="1"/>
  <c r="Y731" i="1"/>
  <c r="W455" i="1"/>
  <c r="Y455" i="1"/>
  <c r="W562" i="1"/>
  <c r="Y562" i="1"/>
  <c r="W617" i="1"/>
  <c r="Y617" i="1"/>
  <c r="W485" i="1"/>
  <c r="Y485" i="1"/>
  <c r="W526" i="1"/>
  <c r="Y526" i="1"/>
  <c r="W89" i="1"/>
  <c r="Y89" i="1"/>
  <c r="W666" i="1"/>
  <c r="Y666" i="1"/>
  <c r="W850" i="1"/>
  <c r="Y850" i="1"/>
  <c r="W134" i="1"/>
  <c r="Y134" i="1"/>
  <c r="W801" i="1"/>
  <c r="Y801" i="1"/>
  <c r="W511" i="1"/>
  <c r="Y511" i="1"/>
  <c r="W242" i="1"/>
  <c r="Y242" i="1"/>
  <c r="W498" i="1"/>
  <c r="Y498" i="1"/>
  <c r="W590" i="1"/>
  <c r="Y590" i="1"/>
  <c r="W283" i="1"/>
  <c r="Y283" i="1"/>
  <c r="W690" i="1"/>
  <c r="Y690" i="1"/>
  <c r="W880" i="1"/>
  <c r="Y880" i="1"/>
  <c r="W250" i="1"/>
  <c r="Y250" i="1"/>
  <c r="W645" i="1"/>
  <c r="Y645" i="1"/>
  <c r="W831" i="1"/>
  <c r="Y831" i="1"/>
  <c r="W694" i="1"/>
  <c r="Y694" i="1"/>
  <c r="W325" i="1"/>
  <c r="Y325" i="1"/>
  <c r="W421" i="1"/>
  <c r="Y421" i="1"/>
  <c r="W630" i="1"/>
  <c r="Y630" i="1"/>
  <c r="W304" i="1"/>
  <c r="Y304" i="1"/>
  <c r="W186" i="1"/>
  <c r="Y186" i="1"/>
  <c r="W199" i="1"/>
  <c r="Y199" i="1"/>
  <c r="W680" i="1"/>
  <c r="Y680" i="1"/>
  <c r="W565" i="1"/>
  <c r="Y565" i="1"/>
  <c r="W197" i="1"/>
  <c r="Y197" i="1"/>
  <c r="W300" i="1"/>
  <c r="Y300" i="1"/>
  <c r="W477" i="1"/>
  <c r="Y477" i="1"/>
  <c r="W36" i="1"/>
  <c r="Y36" i="1"/>
  <c r="W542" i="1"/>
  <c r="Y542" i="1"/>
  <c r="W784" i="1"/>
  <c r="Y784" i="1"/>
  <c r="W384" i="1"/>
  <c r="Y384" i="1"/>
  <c r="W64" i="1"/>
  <c r="Y64" i="1"/>
  <c r="W412" i="1"/>
  <c r="Y412" i="1"/>
  <c r="W737" i="1"/>
  <c r="Y737" i="1"/>
  <c r="W872" i="1"/>
  <c r="Y872" i="1"/>
  <c r="W296" i="1"/>
  <c r="Y296" i="1"/>
  <c r="W719" i="1"/>
  <c r="Y719" i="1"/>
  <c r="W747" i="1"/>
  <c r="Y747" i="1"/>
  <c r="W689" i="1"/>
  <c r="Y689" i="1"/>
  <c r="W849" i="1"/>
  <c r="Y849" i="1"/>
  <c r="W904" i="1"/>
  <c r="Y904" i="1"/>
  <c r="W328" i="1"/>
  <c r="Y328" i="1"/>
  <c r="W366" i="1"/>
  <c r="Y366" i="1"/>
  <c r="W558" i="1"/>
  <c r="Y558" i="1"/>
  <c r="W446" i="1"/>
  <c r="Y446" i="1"/>
  <c r="W608" i="1"/>
  <c r="Y608" i="1"/>
  <c r="W837" i="1"/>
  <c r="Y837" i="1"/>
  <c r="W342" i="1"/>
  <c r="Y342" i="1"/>
  <c r="R330" i="1"/>
  <c r="W706" i="1"/>
  <c r="Y706" i="1"/>
  <c r="W171" i="1"/>
  <c r="Y171" i="1"/>
  <c r="W274" i="1"/>
  <c r="Y274" i="1"/>
  <c r="W317" i="1"/>
  <c r="Y317" i="1"/>
  <c r="W80" i="1"/>
  <c r="Y80" i="1"/>
  <c r="W773" i="1"/>
  <c r="Y773" i="1"/>
  <c r="W585" i="1"/>
  <c r="Y585" i="1"/>
  <c r="W521" i="1"/>
  <c r="Y521" i="1"/>
  <c r="W600" i="1"/>
  <c r="Y600" i="1"/>
  <c r="W682" i="1"/>
  <c r="Y682" i="1"/>
  <c r="W56" i="1"/>
  <c r="Y56" i="1"/>
  <c r="W657" i="1"/>
  <c r="Y657" i="1"/>
  <c r="W184" i="1"/>
  <c r="Y184" i="1"/>
  <c r="W573" i="1"/>
  <c r="Y573" i="1"/>
  <c r="W861" i="1"/>
  <c r="Y861" i="1"/>
  <c r="W190" i="1"/>
  <c r="Y190" i="1"/>
  <c r="W111" i="1"/>
  <c r="Y111" i="1"/>
  <c r="W816" i="1"/>
  <c r="Y816" i="1"/>
  <c r="W18" i="1"/>
  <c r="Y18" i="1"/>
  <c r="W429" i="1"/>
  <c r="Y429" i="1"/>
  <c r="W454" i="1"/>
  <c r="Y454" i="1"/>
  <c r="W695" i="1"/>
  <c r="Y695" i="1"/>
  <c r="W730" i="1"/>
  <c r="Y730" i="1"/>
  <c r="W160" i="1"/>
  <c r="Y160" i="1"/>
  <c r="W309" i="1"/>
  <c r="Y309" i="1"/>
  <c r="W430" i="1"/>
  <c r="Y430" i="1"/>
  <c r="W633" i="1"/>
  <c r="Y633" i="1"/>
  <c r="W355" i="1"/>
  <c r="Y355" i="1"/>
  <c r="W120" i="1"/>
  <c r="Y120" i="1"/>
  <c r="W717" i="1"/>
  <c r="Y717" i="1"/>
  <c r="W898" i="1"/>
  <c r="Y898" i="1"/>
  <c r="W881" i="1"/>
  <c r="Y881" i="1"/>
  <c r="W195" i="1"/>
  <c r="Y195" i="1"/>
  <c r="W676" i="1"/>
  <c r="Y676" i="1"/>
  <c r="W760" i="1"/>
  <c r="Y760" i="1"/>
  <c r="W100" i="1"/>
  <c r="Y100" i="1"/>
  <c r="W223" i="1"/>
  <c r="Y223" i="1"/>
  <c r="W112" i="1"/>
  <c r="Y112" i="1"/>
  <c r="W736" i="1"/>
  <c r="Y736" i="1"/>
  <c r="W257" i="1"/>
  <c r="Y257" i="1"/>
  <c r="W435" i="1"/>
  <c r="Y435" i="1"/>
  <c r="W623" i="1"/>
  <c r="Y623" i="1"/>
  <c r="W712" i="1"/>
  <c r="Y712" i="1"/>
  <c r="W681" i="1"/>
  <c r="Y681" i="1"/>
  <c r="W677" i="1"/>
  <c r="Y677" i="1"/>
  <c r="W899" i="1"/>
  <c r="Y899" i="1"/>
  <c r="W267" i="1"/>
  <c r="Y267" i="1"/>
  <c r="W561" i="1"/>
  <c r="Y561" i="1"/>
  <c r="W624" i="1"/>
  <c r="Y624" i="1"/>
  <c r="W88" i="1"/>
  <c r="Y88" i="1"/>
  <c r="W340" i="1"/>
  <c r="Y340" i="1"/>
  <c r="W875" i="1"/>
  <c r="Y875" i="1"/>
  <c r="W201" i="1"/>
  <c r="Y201" i="1"/>
  <c r="W486" i="1"/>
  <c r="Y486" i="1"/>
  <c r="W450" i="1"/>
  <c r="Y450" i="1"/>
  <c r="W431" i="1"/>
  <c r="Y431" i="1"/>
  <c r="W230" i="1"/>
  <c r="Y230" i="1"/>
  <c r="W106" i="1"/>
  <c r="Y106" i="1"/>
  <c r="W632" i="1"/>
  <c r="Y632" i="1"/>
  <c r="W407" i="1"/>
  <c r="Y407" i="1"/>
  <c r="W28" i="1"/>
  <c r="Y28" i="1"/>
  <c r="W32" i="1"/>
  <c r="Y32" i="1"/>
  <c r="W49" i="1"/>
  <c r="Y49" i="1"/>
  <c r="W50" i="1"/>
  <c r="Y50" i="1"/>
  <c r="W500" i="1"/>
  <c r="Y500" i="1"/>
  <c r="W108" i="1"/>
  <c r="Y108" i="1"/>
  <c r="W605" i="1"/>
  <c r="Y605" i="1"/>
  <c r="W206" i="1"/>
  <c r="Y206" i="1"/>
  <c r="W411" i="1"/>
  <c r="Y411" i="1"/>
  <c r="W805" i="1"/>
  <c r="Y805" i="1"/>
  <c r="W372" i="1"/>
  <c r="Y372" i="1"/>
  <c r="W659" i="1"/>
  <c r="Y659" i="1"/>
  <c r="W356" i="1"/>
  <c r="Y356" i="1"/>
  <c r="W563" i="1"/>
  <c r="Y563" i="1"/>
  <c r="W589" i="1"/>
  <c r="Y589" i="1"/>
  <c r="W129" i="1"/>
  <c r="Y129" i="1"/>
  <c r="W858" i="1"/>
  <c r="Y858" i="1"/>
  <c r="W126" i="1"/>
  <c r="Y126" i="1"/>
  <c r="W418" i="1"/>
  <c r="Y418" i="1"/>
  <c r="W827" i="1"/>
  <c r="Y827" i="1"/>
  <c r="W803" i="1"/>
  <c r="Y803" i="1"/>
  <c r="W891" i="1"/>
  <c r="Y891" i="1"/>
  <c r="W147" i="1"/>
  <c r="Y147" i="1"/>
  <c r="W791" i="1"/>
  <c r="Y791" i="1"/>
  <c r="W436" i="1"/>
  <c r="Y436" i="1"/>
  <c r="W528" i="1"/>
  <c r="Y528" i="1"/>
  <c r="W360" i="1"/>
  <c r="Y360" i="1"/>
  <c r="W214" i="1"/>
  <c r="Y214" i="1"/>
  <c r="W187" i="1"/>
  <c r="Y187" i="1"/>
  <c r="W43" i="1"/>
  <c r="Y43" i="1"/>
  <c r="W40" i="1"/>
  <c r="Y40" i="1"/>
  <c r="W55" i="1"/>
  <c r="Y55" i="1"/>
  <c r="W484" i="1"/>
  <c r="Y484" i="1"/>
  <c r="W161" i="1"/>
  <c r="Y161" i="1"/>
  <c r="W198" i="1"/>
  <c r="Y198" i="1"/>
  <c r="W51" i="1"/>
  <c r="Y51" i="1"/>
  <c r="W219" i="1"/>
  <c r="Y219" i="1"/>
  <c r="W755" i="1"/>
  <c r="Y755" i="1"/>
  <c r="W762" i="1"/>
  <c r="Y762" i="1"/>
  <c r="W394" i="1"/>
  <c r="Y394" i="1"/>
  <c r="W336" i="1"/>
  <c r="Y336" i="1"/>
  <c r="W740" i="1"/>
  <c r="Y740" i="1"/>
  <c r="W798" i="1"/>
  <c r="Y798" i="1"/>
  <c r="W764" i="1"/>
  <c r="Y764" i="1"/>
  <c r="W249" i="1"/>
  <c r="Y249" i="1"/>
  <c r="W119" i="1"/>
  <c r="Y119" i="1"/>
  <c r="W423" i="1"/>
  <c r="Y423" i="1"/>
  <c r="W576" i="1"/>
  <c r="Y576" i="1"/>
  <c r="W622" i="1"/>
  <c r="Y622" i="1"/>
  <c r="W648" i="1"/>
  <c r="Y648" i="1"/>
  <c r="W647" i="1"/>
  <c r="Y647" i="1"/>
  <c r="W148" i="1"/>
  <c r="Y148" i="1"/>
  <c r="W535" i="1"/>
  <c r="Y535" i="1"/>
  <c r="W482" i="1"/>
  <c r="Y482" i="1"/>
  <c r="W723" i="1"/>
  <c r="Y723" i="1"/>
  <c r="W13" i="1"/>
  <c r="Y13" i="1"/>
  <c r="W98" i="1"/>
  <c r="Y98" i="1"/>
  <c r="W868" i="1"/>
  <c r="Y868" i="1"/>
  <c r="W76" i="1"/>
  <c r="Y76" i="1"/>
  <c r="W72" i="1"/>
  <c r="Y72" i="1"/>
  <c r="W208" i="1"/>
  <c r="Y208" i="1"/>
  <c r="W539" i="1"/>
  <c r="Y539" i="1"/>
  <c r="W671" i="1"/>
  <c r="Y671" i="1"/>
  <c r="W595" i="1"/>
  <c r="Y595" i="1"/>
  <c r="W877" i="1"/>
  <c r="Y877" i="1"/>
  <c r="W313" i="1"/>
  <c r="Y313" i="1"/>
  <c r="W226" i="1"/>
  <c r="Y226" i="1"/>
  <c r="W514" i="1"/>
  <c r="Y514" i="1"/>
  <c r="W311" i="1"/>
  <c r="Y311" i="1"/>
  <c r="W132" i="1"/>
  <c r="Y132" i="1"/>
  <c r="W471" i="1"/>
  <c r="Y471" i="1"/>
  <c r="W66" i="1"/>
  <c r="Y66" i="1"/>
  <c r="W210" i="1"/>
  <c r="Y210" i="1"/>
  <c r="W492" i="1"/>
  <c r="Y492" i="1"/>
  <c r="W885" i="1"/>
  <c r="Y885" i="1"/>
  <c r="W444" i="1"/>
  <c r="Y444" i="1"/>
  <c r="W297" i="1"/>
  <c r="Y297" i="1"/>
  <c r="W792" i="1"/>
  <c r="Y792" i="1"/>
  <c r="W232" i="1"/>
  <c r="Y232" i="1"/>
  <c r="R157" i="1"/>
  <c r="W479" i="1"/>
  <c r="Y479" i="1"/>
  <c r="W476" i="1"/>
  <c r="Y476" i="1"/>
  <c r="W23" i="1"/>
  <c r="Y23" i="1"/>
  <c r="W516" i="1"/>
  <c r="Y516" i="1"/>
  <c r="W343" i="1"/>
  <c r="Y343" i="1"/>
  <c r="W240" i="1"/>
  <c r="Y240" i="1"/>
  <c r="W174" i="1"/>
  <c r="Y174" i="1"/>
  <c r="W320" i="1"/>
  <c r="Y320" i="1"/>
  <c r="W756" i="1"/>
  <c r="Y756" i="1"/>
  <c r="W335" i="1"/>
  <c r="Y335" i="1"/>
  <c r="W395" i="1"/>
  <c r="Y395" i="1"/>
  <c r="W766" i="1"/>
  <c r="Y766" i="1"/>
  <c r="W691" i="1"/>
  <c r="Y691" i="1"/>
  <c r="W611" i="1"/>
  <c r="Y611" i="1"/>
  <c r="W547" i="1"/>
  <c r="Y547" i="1"/>
  <c r="W568" i="1"/>
  <c r="Y568" i="1"/>
  <c r="W835" i="1"/>
  <c r="Y835" i="1"/>
  <c r="W318" i="1"/>
  <c r="Y318" i="1"/>
  <c r="W708" i="1"/>
  <c r="Y708" i="1"/>
  <c r="W462" i="1"/>
  <c r="Y462" i="1"/>
  <c r="W491" i="1"/>
  <c r="Y491" i="1"/>
  <c r="W280" i="1"/>
  <c r="Y280" i="1"/>
  <c r="W281" i="1"/>
  <c r="Y281" i="1"/>
  <c r="W303" i="1"/>
  <c r="Y303" i="1"/>
  <c r="W634" i="1"/>
  <c r="Y634" i="1"/>
  <c r="W464" i="1"/>
  <c r="Y464" i="1"/>
  <c r="W839" i="1"/>
  <c r="Y839" i="1"/>
  <c r="W538" i="1"/>
  <c r="Y538" i="1"/>
  <c r="W654" i="1"/>
  <c r="Y654" i="1"/>
  <c r="W67" i="1"/>
  <c r="Y67" i="1"/>
  <c r="W97" i="1"/>
  <c r="Y97" i="1"/>
  <c r="W14" i="1"/>
  <c r="Y14" i="1"/>
  <c r="W138" i="1"/>
  <c r="Y138" i="1"/>
  <c r="W68" i="1"/>
  <c r="Y68" i="1"/>
  <c r="W365" i="1"/>
  <c r="Y365" i="1"/>
  <c r="W396" i="1"/>
  <c r="Y396" i="1"/>
  <c r="W326" i="1"/>
  <c r="Y326" i="1"/>
  <c r="W383" i="1"/>
  <c r="Y383" i="1"/>
  <c r="W669" i="1"/>
  <c r="Y669" i="1"/>
  <c r="W414" i="1"/>
  <c r="Y414" i="1"/>
  <c r="W94" i="1"/>
  <c r="Y94" i="1"/>
  <c r="W536" i="1"/>
  <c r="Y536" i="1"/>
  <c r="W183" i="1"/>
  <c r="Y183" i="1"/>
  <c r="W229" i="1"/>
  <c r="Y229" i="1"/>
  <c r="W215" i="1"/>
  <c r="Y215" i="1"/>
  <c r="W670" i="1"/>
  <c r="Y670" i="1"/>
  <c r="W285" i="1"/>
  <c r="Y285" i="1"/>
  <c r="W560" i="1"/>
  <c r="Y560" i="1"/>
  <c r="W638" i="1"/>
  <c r="Y638" i="1"/>
  <c r="W685" i="1"/>
  <c r="Y685" i="1"/>
  <c r="W519" i="1"/>
  <c r="Y519" i="1"/>
  <c r="W679" i="1"/>
  <c r="Y679" i="1"/>
  <c r="W776" i="1"/>
  <c r="Y776" i="1"/>
  <c r="W308" i="1"/>
  <c r="Y308" i="1"/>
  <c r="W378" i="1"/>
  <c r="Y378" i="1"/>
  <c r="W123" i="1"/>
  <c r="Y123" i="1"/>
  <c r="W403" i="1"/>
  <c r="Y403" i="1"/>
  <c r="W273" i="1"/>
  <c r="Y273" i="1"/>
  <c r="W778" i="1"/>
  <c r="Y778" i="1"/>
  <c r="W441" i="1"/>
  <c r="Y441" i="1"/>
  <c r="W221" i="1"/>
  <c r="Y221" i="1"/>
  <c r="W225" i="1"/>
  <c r="Y225" i="1"/>
  <c r="W664" i="1"/>
  <c r="Y664" i="1"/>
  <c r="W824" i="1"/>
  <c r="Y824" i="1"/>
  <c r="W278" i="1"/>
  <c r="Y278" i="1"/>
  <c r="W903" i="1"/>
  <c r="Y903" i="1"/>
  <c r="W268" i="1"/>
  <c r="Y268" i="1"/>
  <c r="W239" i="1"/>
  <c r="Y239" i="1"/>
  <c r="W117" i="1"/>
  <c r="Y117" i="1"/>
  <c r="W643" i="1"/>
  <c r="Y643" i="1"/>
  <c r="W545" i="1"/>
  <c r="Y545" i="1"/>
  <c r="W534" i="1"/>
  <c r="Y534" i="1"/>
  <c r="W238" i="1"/>
  <c r="Y238" i="1"/>
  <c r="W165" i="1"/>
  <c r="Y165" i="1"/>
  <c r="W591" i="1"/>
  <c r="Y591" i="1"/>
  <c r="W217" i="1"/>
  <c r="Y217" i="1"/>
  <c r="W809" i="1"/>
  <c r="Y809" i="1"/>
  <c r="W472" i="1"/>
  <c r="Y472" i="1"/>
  <c r="W844" i="1"/>
  <c r="Y844" i="1"/>
  <c r="W95" i="1"/>
  <c r="Y95" i="1"/>
  <c r="W705" i="1"/>
  <c r="Y705" i="1"/>
  <c r="W540" i="1"/>
  <c r="Y540" i="1"/>
  <c r="W490" i="1"/>
  <c r="Y490" i="1"/>
  <c r="W588" i="1"/>
  <c r="Y588" i="1"/>
  <c r="W9" i="1"/>
  <c r="Y9" i="1"/>
  <c r="W564" i="1"/>
  <c r="Y564" i="1"/>
  <c r="W733" i="1"/>
  <c r="Y733" i="1"/>
  <c r="W555" i="1"/>
  <c r="Y555" i="1"/>
  <c r="W253" i="1"/>
  <c r="Y253" i="1"/>
  <c r="W857" i="1"/>
  <c r="Y857" i="1"/>
  <c r="W572" i="1"/>
  <c r="Y572" i="1"/>
  <c r="W699" i="1"/>
  <c r="Y699" i="1"/>
  <c r="W774" i="1"/>
  <c r="Y774" i="1"/>
  <c r="W769" i="1"/>
  <c r="Y769" i="1"/>
  <c r="W236" i="1"/>
  <c r="Y236" i="1"/>
  <c r="W35" i="1"/>
  <c r="Y35" i="1"/>
  <c r="W488" i="1"/>
  <c r="Y488" i="1"/>
  <c r="W692" i="1"/>
  <c r="Y692" i="1"/>
  <c r="W696" i="1"/>
  <c r="Y696" i="1"/>
  <c r="W567" i="1"/>
  <c r="Y567" i="1"/>
  <c r="W211" i="1"/>
  <c r="Y211" i="1"/>
  <c r="W438" i="1"/>
  <c r="Y438" i="1"/>
  <c r="W456" i="1"/>
  <c r="Y456" i="1"/>
  <c r="W321" i="1"/>
  <c r="Y321" i="1"/>
  <c r="W729" i="1"/>
  <c r="Y729" i="1"/>
  <c r="W745" i="1"/>
  <c r="Y745" i="1"/>
  <c r="W854" i="1"/>
  <c r="Y854" i="1"/>
  <c r="W785" i="1"/>
  <c r="Y785" i="1"/>
  <c r="W289" i="1"/>
  <c r="Y289" i="1"/>
  <c r="W495" i="1"/>
  <c r="Y495" i="1"/>
  <c r="W641" i="1"/>
  <c r="Y641" i="1"/>
  <c r="W194" i="1"/>
  <c r="Y194" i="1"/>
  <c r="W889" i="1"/>
  <c r="Y889" i="1"/>
  <c r="W85" i="1"/>
  <c r="Y85" i="1"/>
  <c r="W307" i="1"/>
  <c r="Y307" i="1"/>
  <c r="W604" i="1"/>
  <c r="Y604" i="1"/>
  <c r="W259" i="1"/>
  <c r="Y259" i="1"/>
  <c r="W258" i="1"/>
  <c r="Y258" i="1"/>
  <c r="W754" i="1"/>
  <c r="Y754" i="1"/>
  <c r="W566" i="1"/>
  <c r="Y566" i="1"/>
  <c r="W319" i="1"/>
  <c r="Y319" i="1"/>
  <c r="W79" i="1"/>
  <c r="Y79" i="1"/>
  <c r="W615" i="1"/>
  <c r="Y615" i="1"/>
  <c r="R280" i="1"/>
  <c r="W397" i="1"/>
  <c r="Y397" i="1"/>
  <c r="W724" i="1"/>
  <c r="Y724" i="1"/>
  <c r="W725" i="1"/>
  <c r="Y725" i="1"/>
  <c r="W265" i="1"/>
  <c r="Y265" i="1"/>
  <c r="W652" i="1"/>
  <c r="Y652" i="1"/>
  <c r="W523" i="1"/>
  <c r="Y523" i="1"/>
  <c r="W675" i="1"/>
  <c r="Y675" i="1"/>
  <c r="W180" i="1"/>
  <c r="Y180" i="1"/>
  <c r="W457" i="1"/>
  <c r="Y457" i="1"/>
  <c r="W512" i="1"/>
  <c r="Y512" i="1"/>
  <c r="W537" i="1"/>
  <c r="Y537" i="1"/>
  <c r="W449" i="1"/>
  <c r="Y449" i="1"/>
  <c r="W399" i="1"/>
  <c r="Y399" i="1"/>
  <c r="W662" i="1"/>
  <c r="Y662" i="1"/>
  <c r="W651" i="1"/>
  <c r="Y651" i="1"/>
  <c r="W37" i="1"/>
  <c r="Y37" i="1"/>
  <c r="W800" i="1"/>
  <c r="Y800" i="1"/>
  <c r="W306" i="1"/>
  <c r="Y306" i="1"/>
  <c r="W362" i="1"/>
  <c r="Y362" i="1"/>
  <c r="W876" i="1"/>
  <c r="Y876" i="1"/>
  <c r="W686" i="1"/>
  <c r="Y686" i="1"/>
  <c r="W602" i="1"/>
  <c r="Y602" i="1"/>
  <c r="W218" i="1"/>
  <c r="Y218" i="1"/>
  <c r="W266" i="1"/>
  <c r="Y266" i="1"/>
  <c r="W380" i="1"/>
  <c r="Y380" i="1"/>
  <c r="W716" i="1"/>
  <c r="Y716" i="1"/>
  <c r="W599" i="1"/>
  <c r="Y599" i="1"/>
  <c r="W893" i="1"/>
  <c r="Y893" i="1"/>
  <c r="W701" i="1"/>
  <c r="Y701" i="1"/>
  <c r="W330" i="1"/>
  <c r="Y330" i="1"/>
  <c r="W458" i="1"/>
  <c r="Y458" i="1"/>
  <c r="W513" i="1"/>
  <c r="Y513" i="1"/>
  <c r="W597" i="1"/>
  <c r="Y597" i="1"/>
  <c r="W200" i="1"/>
  <c r="Y200" i="1"/>
  <c r="W684" i="1"/>
  <c r="Y684" i="1"/>
  <c r="W896" i="1"/>
  <c r="Y896" i="1"/>
  <c r="W327" i="1"/>
  <c r="Y327" i="1"/>
  <c r="W499" i="1"/>
  <c r="Y499" i="1"/>
  <c r="W551" i="1"/>
  <c r="Y551" i="1"/>
  <c r="W661" i="1"/>
  <c r="Y661" i="1"/>
  <c r="W815" i="1"/>
  <c r="Y815" i="1"/>
  <c r="W370" i="1"/>
  <c r="Y370" i="1"/>
  <c r="W556" i="1"/>
  <c r="Y556" i="1"/>
  <c r="W437" i="1"/>
  <c r="Y437" i="1"/>
  <c r="W247" i="1"/>
  <c r="Y247" i="1"/>
  <c r="W683" i="1"/>
  <c r="Y683" i="1"/>
  <c r="W17" i="1"/>
  <c r="Y17" i="1"/>
  <c r="W405" i="1"/>
  <c r="Y405" i="1"/>
  <c r="W416" i="1"/>
  <c r="Y416" i="1"/>
  <c r="W349" i="1"/>
  <c r="Y349" i="1"/>
  <c r="W614" i="1"/>
  <c r="Y614" i="1"/>
  <c r="W144" i="1"/>
  <c r="Y144" i="1"/>
  <c r="W385" i="1"/>
  <c r="Y385" i="1"/>
  <c r="W761" i="1"/>
  <c r="Y761" i="1"/>
  <c r="W291" i="1"/>
  <c r="Y291" i="1"/>
  <c r="W693" i="1"/>
  <c r="Y693" i="1"/>
  <c r="W892" i="1"/>
  <c r="Y892" i="1"/>
  <c r="W834" i="1"/>
  <c r="Y834" i="1"/>
  <c r="W228" i="1"/>
  <c r="Y228" i="1"/>
  <c r="W351" i="1"/>
  <c r="Y351" i="1"/>
  <c r="W832" i="1"/>
  <c r="Y832" i="1"/>
  <c r="W852" i="1"/>
  <c r="Y852" i="1"/>
  <c r="W154" i="1"/>
  <c r="Y154" i="1"/>
  <c r="W376" i="1"/>
  <c r="Y376" i="1"/>
  <c r="W501" i="1"/>
  <c r="Y501" i="1"/>
  <c r="W237" i="1"/>
  <c r="Y237" i="1"/>
  <c r="W481" i="1"/>
  <c r="Y481" i="1"/>
  <c r="W235" i="1"/>
  <c r="Y235" i="1"/>
  <c r="W166" i="1"/>
  <c r="Y166" i="1"/>
  <c r="W751" i="1"/>
  <c r="Y751" i="1"/>
  <c r="W580" i="1"/>
  <c r="Y580" i="1"/>
  <c r="W69" i="1"/>
  <c r="Y69" i="1"/>
  <c r="W118" i="1"/>
  <c r="Y118" i="1"/>
  <c r="R174" i="1"/>
  <c r="Q326" i="1"/>
  <c r="R515" i="1"/>
  <c r="Q773" i="1"/>
  <c r="Q892" i="1"/>
  <c r="Q899" i="1"/>
  <c r="Q379" i="1"/>
  <c r="R632" i="1"/>
  <c r="R844" i="1"/>
  <c r="R17" i="1"/>
  <c r="Q682" i="1"/>
  <c r="R184" i="1"/>
  <c r="R446" i="1"/>
  <c r="W5" i="1"/>
  <c r="Y5" i="1"/>
  <c r="Q228" i="1"/>
  <c r="Q109" i="1"/>
  <c r="Q110" i="1"/>
  <c r="R74" i="1"/>
  <c r="R664" i="1"/>
  <c r="R167" i="1"/>
  <c r="R823" i="1"/>
  <c r="R711" i="1"/>
  <c r="R698" i="1"/>
  <c r="Q718" i="1"/>
  <c r="R122" i="1"/>
  <c r="Q163" i="1"/>
  <c r="R625" i="1"/>
  <c r="R529" i="1"/>
  <c r="Q57" i="1"/>
  <c r="Q617" i="1"/>
  <c r="Q757" i="1"/>
  <c r="Q129" i="1"/>
  <c r="Q595" i="1"/>
  <c r="R389" i="1"/>
  <c r="R549" i="1"/>
  <c r="R877" i="1"/>
  <c r="R124" i="1"/>
  <c r="R261" i="1"/>
  <c r="R621" i="1"/>
  <c r="R561" i="1"/>
  <c r="R84" i="1"/>
  <c r="R266" i="1"/>
  <c r="Q496" i="1"/>
  <c r="Q188" i="1"/>
  <c r="R293" i="1"/>
  <c r="R572" i="1"/>
  <c r="Q610" i="1"/>
  <c r="Q578" i="1"/>
  <c r="R414" i="1"/>
  <c r="R720" i="1"/>
  <c r="R21" i="1"/>
  <c r="R725" i="1"/>
  <c r="R419" i="1"/>
  <c r="R456" i="1"/>
  <c r="Q177" i="1"/>
  <c r="Q23" i="1"/>
  <c r="Q113" i="1"/>
  <c r="Q484" i="1"/>
  <c r="R348" i="1"/>
  <c r="Q120" i="1"/>
  <c r="R461" i="1"/>
  <c r="R706" i="1"/>
  <c r="Q359" i="1"/>
  <c r="Q900" i="1"/>
  <c r="R606" i="1"/>
  <c r="R432" i="1"/>
  <c r="R814" i="1"/>
  <c r="R56" i="1"/>
  <c r="Q879" i="1"/>
  <c r="R694" i="1"/>
  <c r="Q801" i="1"/>
  <c r="Q826" i="1"/>
  <c r="Q195" i="1"/>
  <c r="R575" i="1"/>
  <c r="Q861" i="1"/>
  <c r="R534" i="1"/>
  <c r="R65" i="1"/>
  <c r="Q412" i="1"/>
  <c r="R543" i="1"/>
  <c r="Q47" i="1"/>
  <c r="R97" i="1"/>
  <c r="R306" i="1"/>
  <c r="R328" i="1"/>
  <c r="Q507" i="1"/>
  <c r="R203" i="1"/>
  <c r="R667" i="1"/>
  <c r="Q304" i="1"/>
  <c r="Q872" i="1"/>
  <c r="R459" i="1"/>
  <c r="R571" i="1"/>
  <c r="R37" i="1"/>
  <c r="Q105" i="1"/>
  <c r="Q520" i="1"/>
  <c r="R851" i="1"/>
  <c r="R645" i="1"/>
  <c r="Q463" i="1"/>
  <c r="R511" i="1"/>
  <c r="Q343" i="1"/>
  <c r="R426" i="1"/>
  <c r="R270" i="1"/>
  <c r="R565" i="1"/>
  <c r="R143" i="1"/>
  <c r="R238" i="1"/>
  <c r="Q498" i="1"/>
  <c r="Q604" i="1"/>
  <c r="R61" i="1"/>
  <c r="R750" i="1"/>
  <c r="R777" i="1"/>
  <c r="R457" i="1"/>
  <c r="R408" i="1"/>
  <c r="R829" i="1"/>
  <c r="Q821" i="1"/>
  <c r="Q704" i="1"/>
  <c r="Q212" i="1"/>
  <c r="R181" i="1"/>
  <c r="Q734" i="1"/>
  <c r="R678" i="1"/>
  <c r="Q271" i="1"/>
  <c r="R117" i="1"/>
  <c r="R767" i="1"/>
  <c r="R81" i="1"/>
  <c r="R41" i="1"/>
  <c r="R658" i="1"/>
  <c r="Q247" i="1"/>
  <c r="R474" i="1"/>
  <c r="R516" i="1"/>
  <c r="R665" i="1"/>
  <c r="R827" i="1"/>
  <c r="R368" i="1"/>
  <c r="R591" i="1"/>
  <c r="Q643" i="1"/>
  <c r="Q799" i="1"/>
  <c r="R302" i="1"/>
  <c r="R585" i="1"/>
  <c r="R39" i="1"/>
  <c r="R638" i="1"/>
  <c r="Q169" i="1"/>
  <c r="Q448" i="1"/>
  <c r="Q80" i="1"/>
  <c r="Q415" i="1"/>
  <c r="R444" i="1"/>
  <c r="Q845" i="1"/>
  <c r="Q495" i="1"/>
  <c r="R637" i="1"/>
  <c r="R127" i="1"/>
  <c r="R842" i="1"/>
  <c r="R183" i="1"/>
  <c r="Q366" i="1"/>
  <c r="R384" i="1"/>
  <c r="Q283" i="1"/>
  <c r="R633" i="1"/>
  <c r="R88" i="1"/>
  <c r="R201" i="1"/>
  <c r="R852" i="1"/>
  <c r="R364" i="1"/>
  <c r="Q582" i="1"/>
  <c r="R650" i="1"/>
  <c r="Q614" i="1"/>
  <c r="R849" i="1"/>
  <c r="R580" i="1"/>
  <c r="R182" i="1"/>
  <c r="R731" i="1"/>
  <c r="R339" i="1"/>
  <c r="R96" i="1"/>
  <c r="Q170" i="1"/>
  <c r="R860" i="1"/>
  <c r="R179" i="1"/>
  <c r="R59" i="1"/>
  <c r="Q687" i="1"/>
  <c r="R256" i="1"/>
  <c r="R599" i="1"/>
  <c r="R214" i="1"/>
  <c r="Q736" i="1"/>
  <c r="Q237" i="1"/>
  <c r="R492" i="1"/>
  <c r="Q576" i="1"/>
  <c r="Q373" i="1"/>
  <c r="Q737" i="1"/>
  <c r="Q893" i="1"/>
  <c r="Q211" i="1"/>
  <c r="R91" i="1"/>
  <c r="R50" i="1"/>
  <c r="Q128" i="1"/>
  <c r="R535" i="1"/>
  <c r="R891" i="1"/>
  <c r="R483" i="1"/>
  <c r="R470" i="1"/>
  <c r="Q162" i="1"/>
  <c r="R221" i="1"/>
  <c r="R441" i="1"/>
  <c r="Q494" i="1"/>
  <c r="R630" i="1"/>
  <c r="R568" i="1"/>
  <c r="R83" i="1"/>
  <c r="R243" i="1"/>
  <c r="R728" i="1"/>
  <c r="R16" i="1"/>
  <c r="R554" i="1"/>
  <c r="R748" i="1"/>
  <c r="Q376" i="1"/>
  <c r="Q250" i="1"/>
  <c r="R805" i="1"/>
  <c r="Q404" i="1"/>
  <c r="R581" i="1"/>
  <c r="Q239" i="1"/>
  <c r="R421" i="1"/>
  <c r="R628" i="1"/>
  <c r="R703" i="1"/>
  <c r="R563" i="1"/>
  <c r="R352" i="1"/>
  <c r="R277" i="1"/>
  <c r="R556" i="1"/>
  <c r="L807" i="1"/>
  <c r="L208" i="1"/>
  <c r="L430" i="1"/>
  <c r="AA430" i="1" s="1"/>
  <c r="L689" i="1"/>
  <c r="L252" i="1"/>
  <c r="AA252" i="1" s="1"/>
  <c r="L548" i="1"/>
  <c r="AA548" i="1" s="1"/>
  <c r="L847" i="1"/>
  <c r="I11" i="2" s="1"/>
  <c r="N458" i="1"/>
  <c r="R458" i="1" s="1"/>
  <c r="L898" i="1"/>
  <c r="I17" i="2" s="1"/>
  <c r="L53" i="1"/>
  <c r="I14" i="2" s="1"/>
  <c r="L547" i="1"/>
  <c r="AA547" i="1" s="1"/>
  <c r="L727" i="1"/>
  <c r="L686" i="1"/>
  <c r="AA686" i="1" s="1"/>
  <c r="L8" i="1"/>
  <c r="AA8" i="1" s="1"/>
  <c r="M808" i="1"/>
  <c r="N808" i="1"/>
  <c r="R808" i="1" s="1"/>
  <c r="L808" i="1"/>
  <c r="K905" i="1"/>
  <c r="K906" i="1"/>
  <c r="M898" i="1"/>
  <c r="N898" i="1"/>
  <c r="Q898" i="1" s="1"/>
  <c r="M547" i="1"/>
  <c r="N547" i="1"/>
  <c r="R547" i="1" s="1"/>
  <c r="M208" i="1"/>
  <c r="N208" i="1"/>
  <c r="Q208" i="1" s="1"/>
  <c r="M807" i="1"/>
  <c r="N807" i="1"/>
  <c r="R807" i="1" s="1"/>
  <c r="M689" i="1"/>
  <c r="N689" i="1"/>
  <c r="R689" i="1" s="1"/>
  <c r="M53" i="1"/>
  <c r="N53" i="1"/>
  <c r="H14" i="2" s="1"/>
  <c r="M458" i="1"/>
  <c r="N686" i="1"/>
  <c r="R686" i="1" s="1"/>
  <c r="M686" i="1"/>
  <c r="N252" i="1"/>
  <c r="Q252" i="1" s="1"/>
  <c r="M252" i="1"/>
  <c r="N548" i="1"/>
  <c r="R548" i="1" s="1"/>
  <c r="M548" i="1"/>
  <c r="M8" i="1"/>
  <c r="N8" i="1"/>
  <c r="M727" i="1"/>
  <c r="N727" i="1"/>
  <c r="Q727" i="1" s="1"/>
  <c r="M847" i="1"/>
  <c r="N847" i="1"/>
  <c r="R847" i="1" s="1"/>
  <c r="N253" i="1"/>
  <c r="Q253" i="1" s="1"/>
  <c r="M253" i="1"/>
  <c r="L458" i="1"/>
  <c r="I5" i="2" s="1"/>
  <c r="L253" i="1"/>
  <c r="AA253" i="1" s="1"/>
  <c r="M430" i="1"/>
  <c r="N430" i="1"/>
  <c r="R430" i="1" s="1"/>
  <c r="D5" i="6" l="1"/>
  <c r="R8" i="1"/>
  <c r="C8" i="5"/>
  <c r="C12" i="5"/>
  <c r="C15" i="5"/>
  <c r="C11" i="5"/>
  <c r="C10" i="5"/>
  <c r="D12" i="5" s="1"/>
  <c r="E12" i="5" s="1"/>
  <c r="C14" i="5"/>
  <c r="C16" i="5"/>
  <c r="C13" i="5"/>
  <c r="C7" i="5"/>
  <c r="D10" i="5" s="1"/>
  <c r="E10" i="5" s="1"/>
  <c r="AA710" i="1"/>
  <c r="AA287" i="1"/>
  <c r="AA458" i="1"/>
  <c r="H18" i="2"/>
  <c r="R287" i="1"/>
  <c r="I12" i="2"/>
  <c r="R699" i="1"/>
  <c r="Q719" i="1"/>
  <c r="R710" i="1"/>
  <c r="H16" i="2"/>
  <c r="I9" i="2"/>
  <c r="I7" i="2"/>
  <c r="M908" i="1"/>
  <c r="M906" i="1"/>
  <c r="M907" i="1"/>
  <c r="Q458" i="1"/>
  <c r="H5" i="2"/>
  <c r="H17" i="2"/>
  <c r="R252" i="1"/>
  <c r="R727" i="1"/>
  <c r="I10" i="2"/>
  <c r="H9" i="2"/>
  <c r="I8" i="2"/>
  <c r="Q686" i="1"/>
  <c r="Q547" i="1"/>
  <c r="H11" i="2"/>
  <c r="I6" i="2"/>
  <c r="Q53" i="1"/>
  <c r="R53" i="1"/>
  <c r="R208" i="1"/>
  <c r="R898" i="1"/>
  <c r="H10" i="2"/>
  <c r="Q847" i="1"/>
  <c r="H8" i="2"/>
  <c r="H7" i="2"/>
  <c r="Q689" i="1"/>
  <c r="Q8" i="1"/>
  <c r="H12" i="2"/>
  <c r="H6" i="2"/>
  <c r="Q807" i="1"/>
  <c r="R253" i="1"/>
  <c r="Q430" i="1"/>
  <c r="Q808" i="1"/>
  <c r="Q548" i="1"/>
  <c r="D16" i="5" l="1"/>
  <c r="E16" i="5" s="1"/>
  <c r="F16" i="5"/>
  <c r="G16" i="5" s="1"/>
  <c r="D14" i="5"/>
  <c r="E14" i="5" s="1"/>
  <c r="F12" i="5"/>
  <c r="G12" i="5" s="1"/>
  <c r="D15" i="5"/>
  <c r="E15" i="5" s="1"/>
  <c r="D9" i="5"/>
  <c r="F14" i="5"/>
  <c r="G14" i="5" s="1"/>
  <c r="F15" i="5"/>
  <c r="G15" i="5" s="1"/>
  <c r="D8" i="5"/>
  <c r="E8" i="5" s="1"/>
  <c r="D11" i="5"/>
  <c r="E11" i="5" s="1"/>
  <c r="F8" i="5"/>
  <c r="G8" i="5"/>
  <c r="G10" i="5"/>
  <c r="F10" i="5"/>
  <c r="D13" i="5"/>
  <c r="E13" i="5" s="1"/>
  <c r="H20" i="2"/>
  <c r="J8" i="2" s="1"/>
  <c r="B18" i="5" l="1"/>
  <c r="E9" i="5"/>
  <c r="F9" i="5"/>
  <c r="G9" i="5" s="1"/>
  <c r="F11" i="5"/>
  <c r="G11" i="5" s="1"/>
  <c r="F13" i="5"/>
  <c r="G13" i="5" s="1"/>
  <c r="J10" i="2"/>
  <c r="J7" i="2"/>
  <c r="J6" i="2"/>
  <c r="J20" i="2"/>
  <c r="J5" i="2"/>
  <c r="K5" i="2" s="1"/>
  <c r="J13" i="2"/>
  <c r="J19" i="2"/>
  <c r="J18" i="2"/>
  <c r="J11" i="2"/>
  <c r="J14" i="2"/>
  <c r="J16" i="2"/>
  <c r="J15" i="2"/>
  <c r="J17" i="2"/>
  <c r="J9" i="2"/>
  <c r="J12" i="2"/>
  <c r="K6" i="2" l="1"/>
  <c r="L6" i="2" s="1"/>
  <c r="K7" i="2" l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M6" i="2"/>
  <c r="L5" i="2" l="1"/>
  <c r="M5" i="2" s="1"/>
  <c r="L8" i="2" l="1"/>
  <c r="M8" i="2" s="1"/>
  <c r="L7" i="2"/>
  <c r="L9" i="2" l="1"/>
  <c r="M9" i="2" s="1"/>
  <c r="M7" i="2"/>
  <c r="L10" i="2" l="1"/>
  <c r="L12" i="2" l="1"/>
  <c r="M10" i="2"/>
  <c r="M12" i="2" l="1"/>
  <c r="L14" i="2" l="1"/>
  <c r="M14" i="2" s="1"/>
  <c r="L15" i="2"/>
  <c r="M15" i="2" s="1"/>
  <c r="L11" i="2"/>
  <c r="M11" i="2" l="1"/>
  <c r="L13" i="2"/>
  <c r="M13" i="2" s="1"/>
  <c r="L16" i="2" l="1"/>
  <c r="M16" i="2" s="1"/>
  <c r="L17" i="2" l="1"/>
  <c r="M17" i="2" s="1"/>
  <c r="L18" i="2" l="1"/>
  <c r="M18" i="2" s="1"/>
  <c r="L19" i="2"/>
  <c r="M19" i="2" l="1"/>
  <c r="B24" i="2"/>
  <c r="C24" i="2" s="1"/>
  <c r="D25" i="2"/>
  <c r="B26" i="2"/>
  <c r="C26" i="2" s="1"/>
  <c r="B25" i="2"/>
  <c r="C25" i="2" s="1"/>
  <c r="D24" i="2"/>
  <c r="D2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<sst xmlns="http://schemas.openxmlformats.org/spreadsheetml/2006/main" count="2256" uniqueCount="314">
  <si>
    <t>Inventuroptimierung - Rohdaten</t>
  </si>
  <si>
    <t>Filiale_ID</t>
  </si>
  <si>
    <t>Filiale_Name</t>
  </si>
  <si>
    <t>Artikel_ID</t>
  </si>
  <si>
    <t>Artikel_Name</t>
  </si>
  <si>
    <t>Kategorie</t>
  </si>
  <si>
    <t>VK_Preis_EUR</t>
  </si>
  <si>
    <t>Monat_Nr</t>
  </si>
  <si>
    <t>Monat_Name</t>
  </si>
  <si>
    <t>Soll_Bestand</t>
  </si>
  <si>
    <t>Ist_Bestand</t>
  </si>
  <si>
    <t>Differenz</t>
  </si>
  <si>
    <t>MHD_Tage</t>
  </si>
  <si>
    <t>Tage_seit_Lieferung</t>
  </si>
  <si>
    <t>F001</t>
  </si>
  <si>
    <t>F002</t>
  </si>
  <si>
    <t>F003</t>
  </si>
  <si>
    <t>F004</t>
  </si>
  <si>
    <t>F005</t>
  </si>
  <si>
    <t>Filiale Nord</t>
  </si>
  <si>
    <t>Filiale Süd</t>
  </si>
  <si>
    <t>Filiale Ost</t>
  </si>
  <si>
    <t>Filiale Zentrum</t>
  </si>
  <si>
    <t>VK_Preis</t>
  </si>
  <si>
    <t>Min_Schwund%</t>
  </si>
  <si>
    <t>Max_Schwund%</t>
  </si>
  <si>
    <t>Typ_MHD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</si>
  <si>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</si>
  <si>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</si>
  <si>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</si>
  <si>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</si>
  <si>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</si>
  <si>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</si>
  <si>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</si>
  <si>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</si>
  <si>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</si>
  <si>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</si>
  <si>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</si>
  <si>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</si>
  <si>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</si>
  <si>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</si>
  <si>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</si>
  <si>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Vollmilch 1L</t>
  </si>
  <si>
    <t>Fettarme Milch 1L</t>
  </si>
  <si>
    <t>Bio-Milch 1L</t>
  </si>
  <si>
    <t>Butter 250g</t>
  </si>
  <si>
    <t>Gouda 200g</t>
  </si>
  <si>
    <t>Emmentaler 200g</t>
  </si>
  <si>
    <t>Naturjoghurt 500g</t>
  </si>
  <si>
    <t>Fruchtjoghurt 4er</t>
  </si>
  <si>
    <t>Sahne 200ml</t>
  </si>
  <si>
    <t>Schmand 200g</t>
  </si>
  <si>
    <t>Mozzarella 125g</t>
  </si>
  <si>
    <t>Quark 500g</t>
  </si>
  <si>
    <t>Skyr 450g</t>
  </si>
  <si>
    <t>Kefir 500ml</t>
  </si>
  <si>
    <t>Frischkäse 200g</t>
  </si>
  <si>
    <t>Freitag_Schwund_EUR</t>
  </si>
  <si>
    <t>Samstag_Schwund_EUR</t>
  </si>
  <si>
    <t>Ereignis</t>
  </si>
  <si>
    <t>Milch</t>
  </si>
  <si>
    <t>Butter</t>
  </si>
  <si>
    <t>Sahne</t>
  </si>
  <si>
    <t>Quark</t>
  </si>
  <si>
    <t>Käse</t>
  </si>
  <si>
    <t>Joghurt</t>
  </si>
  <si>
    <t>Artikel</t>
  </si>
  <si>
    <t>Saison_Faktor</t>
  </si>
  <si>
    <t>Oster_Effekt</t>
  </si>
  <si>
    <t>Weihnachts_effect</t>
  </si>
  <si>
    <t>Feiertag_info</t>
  </si>
  <si>
    <t>Schwund % Range = Basic Spoilage Risk + Theft Risk + Handling Risk</t>
  </si>
  <si>
    <t>Reason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</si>
  <si>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</si>
  <si>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</si>
  <si>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</si>
  <si>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</si>
  <si>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</si>
  <si>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</si>
  <si>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</si>
  <si>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</si>
  <si>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</si>
  <si>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</si>
  <si>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</si>
  <si>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</si>
  <si>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Post-holiday quiet period</t>
  </si>
  <si>
    <t>Lowest month + some Karneval</t>
  </si>
  <si>
    <t>Often includes Easter prep</t>
  </si>
  <si>
    <t>Easter month (most years) — Aktionen, Peaks</t>
  </si>
  <si>
    <t>Normal + Feiertage (Himmelfahrt, Pfingsten)</t>
  </si>
  <si>
    <t>Summer starting, Grillsaison</t>
  </si>
  <si>
    <t>Summer heat, spoilage increases</t>
  </si>
  <si>
    <t>Summer continues, Ferienzeit</t>
  </si>
  <si>
    <t>Back to normal</t>
  </si>
  <si>
    <t>Normal</t>
  </si>
  <si>
    <t>Pre-Christmas buildup, Black Friday</t>
  </si>
  <si>
    <t>Highest — Weihnachten + Silvester</t>
  </si>
  <si>
    <t>Nein</t>
  </si>
  <si>
    <t>Teilweise</t>
  </si>
  <si>
    <t>Ja</t>
  </si>
  <si>
    <t>Neujahr</t>
  </si>
  <si>
    <t>Karneval</t>
  </si>
  <si>
    <t>Oster - Vorbereitung</t>
  </si>
  <si>
    <t>Ostern - Peak</t>
  </si>
  <si>
    <t>Himmelfarht, Pfingsten</t>
  </si>
  <si>
    <t>Grillsaison Start</t>
  </si>
  <si>
    <t>Sommerferein, Hitze</t>
  </si>
  <si>
    <t>Sommerferein</t>
  </si>
  <si>
    <t>Back to School</t>
  </si>
  <si>
    <t>Tag der Einheit</t>
  </si>
  <si>
    <t>Black Friday</t>
  </si>
  <si>
    <t>Weihnachten + Silvester - Höchster Peak</t>
  </si>
  <si>
    <t>Kassenfehler_Einfluss</t>
  </si>
  <si>
    <t xml:space="preserve">Saisonal Faktor </t>
  </si>
  <si>
    <t>Base Stock Table</t>
  </si>
  <si>
    <t>Basis_Soll</t>
  </si>
  <si>
    <t>Größen_Faktor</t>
  </si>
  <si>
    <t>Formula for Soll_Bestand:</t>
  </si>
  <si>
    <t>Formula for Kassenfehler_einfluss:</t>
  </si>
  <si>
    <t>Formula for Ist_Bestand:</t>
  </si>
  <si>
    <t>Min</t>
  </si>
  <si>
    <t>Max</t>
  </si>
  <si>
    <t>Avg</t>
  </si>
  <si>
    <t>Formula for MHD_Tage:</t>
  </si>
  <si>
    <t>Reduziert_Ja_Nein</t>
  </si>
  <si>
    <t>Rabatt_%</t>
  </si>
  <si>
    <t>Reduzierter_Preis_EUR</t>
  </si>
  <si>
    <t>Reduzierte_Menge</t>
  </si>
  <si>
    <t>Umsatzverlust_EUR</t>
  </si>
  <si>
    <t>MHD_Prozess_Fehler</t>
  </si>
  <si>
    <t>Bestandsabweichung_%</t>
  </si>
  <si>
    <t>Abweichung_Typ</t>
  </si>
  <si>
    <t>Abweichung_Wert_EUR</t>
  </si>
  <si>
    <t>Filialdaten</t>
  </si>
  <si>
    <t>Max_Liefertage</t>
  </si>
  <si>
    <t>Wochentag - Schwundverteilung</t>
  </si>
  <si>
    <t>Wochentag</t>
  </si>
  <si>
    <t>Schwund_Anteil_%</t>
  </si>
  <si>
    <t>Erklärung</t>
  </si>
  <si>
    <t>Montag</t>
  </si>
  <si>
    <t>Dienstag</t>
  </si>
  <si>
    <t>Mittwoch</t>
  </si>
  <si>
    <t>Donnerstag</t>
  </si>
  <si>
    <t>Freitag</t>
  </si>
  <si>
    <t>Samstag</t>
  </si>
  <si>
    <t>Ruhiger Start</t>
  </si>
  <si>
    <t>Mitte der Woche</t>
  </si>
  <si>
    <t>Wochenend - Einkauf Beginnt</t>
  </si>
  <si>
    <t>Wochenend - Rush</t>
  </si>
  <si>
    <t>Stärkster Tag</t>
  </si>
  <si>
    <t>Parameter</t>
  </si>
  <si>
    <t>Wert</t>
  </si>
  <si>
    <t>Wahrscheinlichkeit</t>
  </si>
  <si>
    <t>Min - Effekt (Einheiten)</t>
  </si>
  <si>
    <t>Max Effekt (Einheiten)</t>
  </si>
  <si>
    <t>Kassenfehler-PARAMETER</t>
  </si>
  <si>
    <t>MHD - Reduzierung - Parameter</t>
  </si>
  <si>
    <t>Rabatt - Satz</t>
  </si>
  <si>
    <t>Reduzierung ab MHD - Tage</t>
  </si>
  <si>
    <t>Fehlerquote MHD - Prozess</t>
  </si>
  <si>
    <t>Fehlertyp 1</t>
  </si>
  <si>
    <t>Fehlertyp 2</t>
  </si>
  <si>
    <t>Fehlertyp 3</t>
  </si>
  <si>
    <t>Fehlertyp 4</t>
  </si>
  <si>
    <t>Zählfehler</t>
  </si>
  <si>
    <t>Produkt übersehen</t>
  </si>
  <si>
    <t>Eingagfehler</t>
  </si>
  <si>
    <t>FIFO - Fehler</t>
  </si>
  <si>
    <t>Formula for Tage_Seit_lieferung:</t>
  </si>
  <si>
    <t>VLOOKUP(C904;Stammdaten!$A$11:$G$25;7;FALSE)-P904+RANDBETWEEN(-1;1)</t>
  </si>
  <si>
    <t>Formula for Reduzeirte Menge:</t>
  </si>
  <si>
    <t>Formula for MHD Prozess Failure:</t>
  </si>
  <si>
    <t>Kein MHD - Prozess</t>
  </si>
  <si>
    <t>Korrekt</t>
  </si>
  <si>
    <t>Simulierte Inventurdaten: 5 Filialen · 15 Artikel · 12 Monate · 900 Datensätze</t>
  </si>
  <si>
    <t>Quelle: Basierend auf Praxiserfahrung im filialbasierten Einzelhandel (Lidl, TEDi)</t>
  </si>
  <si>
    <t>ABC - Analyse - Inventuroptimierung</t>
  </si>
  <si>
    <t>Gesamt_Soll</t>
  </si>
  <si>
    <t>Gesamt_Ist</t>
  </si>
  <si>
    <t>Gesamt_Differenz</t>
  </si>
  <si>
    <t>Gesamt_Schwund_Wert_EUR</t>
  </si>
  <si>
    <t xml:space="preserve">	Ø_Schwundquote_%</t>
  </si>
  <si>
    <t>Anteil_am_Gesamtschwund_%</t>
  </si>
  <si>
    <t>Kumuliert_%</t>
  </si>
  <si>
    <t>ABC_Klasse</t>
  </si>
  <si>
    <t>Zähl_Frequenz</t>
  </si>
  <si>
    <t>GESAMT</t>
  </si>
  <si>
    <t>ABC-ZUSAMMENFASSUNG</t>
  </si>
  <si>
    <t>Anzahl_Artikel</t>
  </si>
  <si>
    <t>Anteil_Artikel_%</t>
  </si>
  <si>
    <t>Anteil_Schwund_%</t>
  </si>
  <si>
    <t>A</t>
  </si>
  <si>
    <t>B</t>
  </si>
  <si>
    <t>C</t>
  </si>
  <si>
    <t>Wöchentlich</t>
  </si>
  <si>
    <t>Monatlich</t>
  </si>
  <si>
    <t>Quartalweise</t>
  </si>
  <si>
    <t>HANDLUNGSEMPFEHLUNGEN</t>
  </si>
  <si>
    <t>Empfehlung</t>
  </si>
  <si>
    <t>Erwarteter Nutzen</t>
  </si>
  <si>
    <t>A-Artikel wöchentlich per Cycle Count zählen</t>
  </si>
  <si>
    <t>Frühzeitige Erkennung von Schwund bei den verlustreichsten Produkten</t>
  </si>
  <si>
    <t>B-Artikel monatlich kontrollieren</t>
  </si>
  <si>
    <t>Regelmäßige Kontrolle ohne übermäßigen Aufwand</t>
  </si>
  <si>
    <t>C-Artikel quartalsweise prüfen</t>
  </si>
  <si>
    <t>Ressourcen-Einsparung bei geringem Risiko</t>
  </si>
  <si>
    <t>Forecast-Genauigkeit für A-Artikel priorisieren</t>
  </si>
  <si>
    <t>Bessere Prognose → weniger Überbestand → weniger Verderb</t>
  </si>
  <si>
    <t>MHD-Monitoring besonders für A-Artikel automatisieren</t>
  </si>
  <si>
    <t xml:space="preserve">	Schnellere Reaktion bei ablaufenden Frischeprodukten</t>
  </si>
  <si>
    <t>Diebstahlprävention auf A-Artikel fokussieren</t>
  </si>
  <si>
    <t>Größter finanzieller Hebel</t>
  </si>
  <si>
    <t>SCHWUNDANALYSE — INVENTUROPTIMIERUNG</t>
  </si>
  <si>
    <t>Analyse der Inventurdifferenzen nach Filiale, Monat, Kategorie und Ursache</t>
  </si>
  <si>
    <t>Grand Total</t>
  </si>
  <si>
    <t>Sum of Abweichung_Wert_EUR</t>
  </si>
  <si>
    <t>Average of Bestandsabweichung_%</t>
  </si>
  <si>
    <t>Perfekt</t>
  </si>
  <si>
    <t>Schwund</t>
  </si>
  <si>
    <t>Überbestand</t>
  </si>
  <si>
    <t>Count of Abweichung_Typ</t>
  </si>
  <si>
    <t>Abweichung_typ</t>
  </si>
  <si>
    <t>Ostern</t>
  </si>
  <si>
    <t>Weihnachten/Silvester</t>
  </si>
  <si>
    <t>Count of MHD_Prozess_Fehler</t>
  </si>
  <si>
    <t>Filiale West</t>
  </si>
  <si>
    <t>Produkt Übersehen</t>
  </si>
  <si>
    <t>Eingabefehler</t>
  </si>
  <si>
    <t>IF(RANDBETWEEN(1;100)&lt;=15;RANDBETWEEN(1;8);0)</t>
  </si>
  <si>
    <t>RANDBETWEEN(0;VLOOKUP(C904;Stammdaten!$A$11:$H$25;8;FALSE))</t>
  </si>
  <si>
    <t>ROUND(VLOOKUP(C904;Stammdaten!$A$45:$B$59;2;FALSE)*VLOOKUP(A904;Stammdaten!$A$3:$C$7;3;FALSE)*VLOOKUP(G904;Stammdaten!$A$30:$C$41;3;FALSE)*(1+(RANDBETWEEN(-5;5)/100));0)</t>
  </si>
  <si>
    <t>IF(T904&gt;0;I904+T904;IF(RANDBETWEEN(1;100)&lt;=12;I904;I904-ROUND(I904*(RANDBETWEEN(VLOOKUP(C904;Stammdaten!$A$11:$F$25;5;FALSE)*100;VLOOKUP(C904;Stammdaten!$A$11:$F$25;6;FALSE)*100)/10000)*VLOOKUP(G904;Stammdaten!$A$30:$C$41;3;FALSE);0)))</t>
  </si>
  <si>
    <t>IF(V904=0;0;IF(V904=100;ROUND(I904*RANDBETWEEN(1;3)/100;0);ROUND(I904*RANDBETWEEN(5;15)/100;0)))</t>
  </si>
  <si>
    <t>IF(O904&gt;3;"Kein MHD - Prozess";IF(RANDBETWEEN(1;100)&lt;=12;IF(RANDBETWEEN(1;4)=1;"Zählfehler";IF(RANDBETWEEN(1;4)=2;"Produkt Übersehen";IF(RANDBETWEEN(1;4)=3;"Eingabefehler";"FIFO - Fehler")));"Korrekt"))</t>
  </si>
  <si>
    <t>ERGEBNISSE &amp; EMPFEHLUNGEN</t>
  </si>
  <si>
    <t>Zusammenfassung der Inventuroptimierung-Analyse</t>
  </si>
  <si>
    <t>PROJEKTZUSAMMENFASSUNG</t>
  </si>
  <si>
    <t>Zielsetzung</t>
  </si>
  <si>
    <t>Entwicklung eines datenbasierten Konzepts zur Verbesserung der Bestandsgenauigkeit im Einzelhandel</t>
  </si>
  <si>
    <t>Datengrundlage</t>
  </si>
  <si>
    <t>Simulierte Inventurdaten: 5 Filialen, 15 Artikel, 12 Monate (900 Datensätze)</t>
  </si>
  <si>
    <t>Methoden</t>
  </si>
  <si>
    <t>ABC-Analyse, Schwundanalyse (Pivot), Ursachenklassifikation, Prognose, KPI-Dashboard</t>
  </si>
  <si>
    <t>Tools</t>
  </si>
  <si>
    <t>Microsoft Excel (Pivot Tables, VLOOKUP, Formeln, Diagramme), Power BI</t>
  </si>
  <si>
    <t>Datenquelle</t>
  </si>
  <si>
    <t>Basierend auf Praxiserfahrung im filialbasierten Einzelhandel (Lidl, TEDi)</t>
  </si>
  <si>
    <t>KERNERGEBNISSE</t>
  </si>
  <si>
    <t>1. Filiale Zentrum verursacht den höchsten Schwund-Wert (3.152,72€) — höchstes Diebstahlrisiko im Stadtgebiet</t>
  </si>
  <si>
    <t>2. Dezember, April und Juli zeigen die höchsten saisonalen Schwund-Peaks (Weihnachten, Ostern, Sommerhitze)</t>
  </si>
  <si>
    <t>3. Milch und Joghurt verursachen den größten Schwund durch kurze MHD (7-14 Tage)</t>
  </si>
  <si>
    <t>4. 74% aller Datensätze zeigen Schwund, 17% Überbestand (Kassenfehler), 9% sind perfekt</t>
  </si>
  <si>
    <t>5. 15% der MHD-Reduzierungsprozesse weisen Fehler auf (Zählfehler, FIFO-Fehler, Produkt übersehen)</t>
  </si>
  <si>
    <t>6. ABC-Analyse: ~20% der Artikel verursachen ~80% des finanziellen Schwund-Verlustes</t>
  </si>
  <si>
    <t>7. Freitag und Samstag verursachen zusammen ~55% des wöchentlichen Schwunds</t>
  </si>
  <si>
    <t>#</t>
  </si>
  <si>
    <t>Maßnahme</t>
  </si>
  <si>
    <t>MHD-Monitoring automatisieren (Scanner statt manuell)</t>
  </si>
  <si>
    <t>Diebstahlprävention in Filiale Zentrum verstärken</t>
  </si>
  <si>
    <t>Kassenschulungen für Mitarbeiter durchführen</t>
  </si>
  <si>
    <t>MHD-Checks morgens vor Kundenansturm durchführen</t>
  </si>
  <si>
    <t>FIFO-Prinzip konsequent umsetzen</t>
  </si>
  <si>
    <t>Bestellmengen bei hoher Reduzierungsquote anpassen</t>
  </si>
  <si>
    <t>Frühzeitige Schwund-Erkennung bei verlustreichsten Produkten</t>
  </si>
  <si>
    <t>Reduzierung der Verderb-Rate und MHD-Prozessfehler</t>
  </si>
  <si>
    <t>Reduzierung des höchsten Schwund-Standorts</t>
  </si>
  <si>
    <t>Reduzierung Kassenfehler-bedingter Überbestände</t>
  </si>
  <si>
    <t xml:space="preserve">	Weniger Prozessfehler an Freitag/Samstag</t>
  </si>
  <si>
    <t>Weniger versteckte abgelaufene Ware</t>
  </si>
  <si>
    <t>Weniger Überbestand und Verderb</t>
  </si>
  <si>
    <t>Bessere Prognose → optimierte Bestellmengen</t>
  </si>
  <si>
    <t xml:space="preserve">	Reduzierung der Schwundquote von ~2% auf &lt;1.5%</t>
  </si>
  <si>
    <t>Geschätzte Einsparung: ca. €4.000–6.000 pro Filiale pro Jahr</t>
  </si>
  <si>
    <t>Verbesserung der Bestandsgenauigkeit auf &gt;97%</t>
  </si>
  <si>
    <t>Reduzierung der MHD-Prozessfehler von 15% auf &lt;5%</t>
  </si>
  <si>
    <t>URSACHENANALYSE — INVENTURDIFFERENZEN</t>
  </si>
  <si>
    <t>Klassifikation der Bestandsabweichungen nach Ursache</t>
  </si>
  <si>
    <t>Ursachen</t>
  </si>
  <si>
    <t>Buchungsfehler Wareneingang</t>
  </si>
  <si>
    <t>Diebstahlrisiko</t>
  </si>
  <si>
    <t>Kassenfehler (Überbestand)</t>
  </si>
  <si>
    <t>MHD - Prozessfehler</t>
  </si>
  <si>
    <t>Normal/Gering</t>
  </si>
  <si>
    <t>Prozessfehler</t>
  </si>
  <si>
    <t>Verderb - Abgelaufen</t>
  </si>
  <si>
    <t>Count of Ursachen</t>
  </si>
  <si>
    <t>PROGNOSE — SCHWUND-VORHERSAGE</t>
  </si>
  <si>
    <t>Vorhersage des monatlichen Schwund-Wertes mittels Moving Average</t>
  </si>
  <si>
    <t>Actual_Schwund_EUR</t>
  </si>
  <si>
    <t>3-Monats-Durchschnitt</t>
  </si>
  <si>
    <t>Prognose</t>
  </si>
  <si>
    <t>Absoluter_Fehler</t>
  </si>
  <si>
    <t>Prozentualer_Fehler_%</t>
  </si>
  <si>
    <t>MAPE (Forecast - Genauigkeit)</t>
  </si>
  <si>
    <t>%</t>
  </si>
  <si>
    <t>ERGEBNIS</t>
  </si>
  <si>
    <t>Der 3-Monats-Moving-Average erreicht einen MAPE von 19%</t>
  </si>
  <si>
    <t>Die Prognose zeigt die saisonalen Peaks korrekt, reagiert aber verzögert auf plötzliche Veränderungen.</t>
  </si>
  <si>
    <t>Empfehlung: Saisonale Anpassung (Saison-Index) würde die Prognosegenauigkeit verbessern.</t>
  </si>
  <si>
    <t>INVENTUROPTIMIERUNG — DASHBOARD</t>
  </si>
  <si>
    <t>Datenbasierte Analyse zur Verbesserung der Bestandsgenauigkeit</t>
  </si>
  <si>
    <t>GESAMTSCHWUND</t>
  </si>
  <si>
    <t>BESTANDSGENAUIGKEIT</t>
  </si>
  <si>
    <t>Ziel: &gt; 97%</t>
  </si>
  <si>
    <t>Ø SCHWUNDQUOTE</t>
  </si>
  <si>
    <t>Ziel: &lt; 1.5%</t>
  </si>
  <si>
    <t>ÜBERBESTAND (KASSENFEHLER)</t>
  </si>
  <si>
    <t xml:space="preserve">	TOP 3 HANDLUNGSEMPFEHLUNGEN</t>
  </si>
  <si>
    <t>1.</t>
  </si>
  <si>
    <t>A-Artikel wöchentlich zählen → 80% des Schwund-Werts kontrolliert</t>
  </si>
  <si>
    <t>2.</t>
  </si>
  <si>
    <t>MHD-Prozess automatisieren → 15% Fehlerrate eliminieren</t>
  </si>
  <si>
    <t>3.</t>
  </si>
  <si>
    <t>Filiale Zentrum: Diebstahlprävention → Höchster Schwund reduziert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</si>
</sst>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[$-407]mmmmm;@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0"/>
      <color theme="0" tint="-0.499984740745262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0"/>
      <color theme="2" tint="-0.74999237037263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i/>
      <sz val="10"/>
      <color theme="0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b/>
      <sz val="20"/>
      <color theme="5" tint="-0.249977111117893"/>
      <name val="Aptos Narrow"/>
      <family val="2"/>
      <scheme val="minor"/>
    </font>
    <font>
      <b/>
      <sz val="20"/>
      <color rgb="FFFFFF0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0" fillId="0" borderId="0" xfId="0" applyNumberForma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 applyAlignment="1">
      <alignment horizontal="left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9" fontId="0" fillId="0" borderId="1" xfId="1" applyFont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6" xfId="0" applyBorder="1"/>
    <xf numFmtId="0" fontId="0" fillId="0" borderId="10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2" xfId="0" applyNumberFormat="1" applyBorder="1"/>
    <xf numFmtId="2" fontId="0" fillId="0" borderId="2" xfId="1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11" fillId="5" borderId="8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2" fontId="11" fillId="5" borderId="9" xfId="0" applyNumberFormat="1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wrapText="1"/>
    </xf>
    <xf numFmtId="0" fontId="11" fillId="5" borderId="7" xfId="0" applyFont="1" applyFill="1" applyBorder="1" applyAlignment="1">
      <alignment horizontal="center" vertical="center" wrapText="1"/>
    </xf>
    <xf numFmtId="164" fontId="11" fillId="5" borderId="9" xfId="0" applyNumberFormat="1" applyFont="1" applyFill="1" applyBorder="1" applyAlignment="1">
      <alignment horizontal="center" vertical="center" wrapText="1"/>
    </xf>
    <xf numFmtId="164" fontId="11" fillId="5" borderId="9" xfId="0" applyNumberFormat="1" applyFont="1" applyFill="1" applyBorder="1" applyAlignment="1">
      <alignment horizontal="center" wrapText="1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49" fontId="0" fillId="0" borderId="2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6" borderId="0" xfId="0" applyFill="1"/>
    <xf numFmtId="0" fontId="11" fillId="6" borderId="0" xfId="0" applyFont="1" applyFill="1" applyAlignment="1">
      <alignment horizontal="center" wrapText="1"/>
    </xf>
    <xf numFmtId="10" fontId="0" fillId="0" borderId="1" xfId="1" applyNumberFormat="1" applyFont="1" applyBorder="1" applyAlignment="1">
      <alignment horizontal="left" vertical="center"/>
    </xf>
    <xf numFmtId="2" fontId="0" fillId="0" borderId="1" xfId="1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2" fillId="5" borderId="8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164" fontId="12" fillId="5" borderId="9" xfId="0" applyNumberFormat="1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/>
    </xf>
    <xf numFmtId="2" fontId="0" fillId="0" borderId="2" xfId="1" applyNumberFormat="1" applyFont="1" applyBorder="1" applyAlignment="1">
      <alignment horizontal="left" vertical="center"/>
    </xf>
    <xf numFmtId="2" fontId="0" fillId="0" borderId="2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164" fontId="0" fillId="0" borderId="1" xfId="0" applyNumberFormat="1" applyBorder="1"/>
    <xf numFmtId="0" fontId="2" fillId="0" borderId="1" xfId="0" applyFont="1" applyBorder="1"/>
    <xf numFmtId="0" fontId="0" fillId="0" borderId="6" xfId="0" applyBorder="1" applyAlignment="1">
      <alignment horizontal="left" vertical="center"/>
    </xf>
    <xf numFmtId="0" fontId="0" fillId="0" borderId="9" xfId="0" applyBorder="1"/>
    <xf numFmtId="164" fontId="0" fillId="0" borderId="9" xfId="0" applyNumberFormat="1" applyBorder="1"/>
    <xf numFmtId="0" fontId="0" fillId="0" borderId="10" xfId="0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/>
    </xf>
    <xf numFmtId="0" fontId="13" fillId="0" borderId="6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3" fillId="0" borderId="4" xfId="0" applyFont="1" applyBorder="1" applyAlignment="1">
      <alignment horizontal="right"/>
    </xf>
    <xf numFmtId="0" fontId="13" fillId="0" borderId="3" xfId="0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 applyAlignment="1">
      <alignment vertical="center"/>
    </xf>
    <xf numFmtId="2" fontId="7" fillId="0" borderId="1" xfId="1" applyNumberFormat="1" applyFont="1" applyBorder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4" fillId="0" borderId="0" xfId="0" applyFont="1"/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21" fillId="9" borderId="12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1" fillId="9" borderId="17" xfId="0" applyFont="1" applyFill="1" applyBorder="1" applyAlignment="1">
      <alignment horizontal="center" vertical="center"/>
    </xf>
    <xf numFmtId="0" fontId="21" fillId="9" borderId="25" xfId="0" applyFont="1" applyFill="1" applyBorder="1" applyAlignment="1">
      <alignment horizontal="center" vertical="center"/>
    </xf>
    <xf numFmtId="0" fontId="21" fillId="9" borderId="19" xfId="0" applyFont="1" applyFill="1" applyBorder="1" applyAlignment="1">
      <alignment horizontal="center" vertical="center"/>
    </xf>
    <xf numFmtId="0" fontId="21" fillId="9" borderId="20" xfId="0" applyFont="1" applyFill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21" fillId="7" borderId="16" xfId="0" applyFont="1" applyFill="1" applyBorder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1" fillId="7" borderId="21" xfId="0" applyFont="1" applyFill="1" applyBorder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21" fillId="7" borderId="19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/>
    </xf>
    <xf numFmtId="0" fontId="18" fillId="9" borderId="14" xfId="0" applyFont="1" applyFill="1" applyBorder="1" applyAlignment="1">
      <alignment horizontal="center" vertical="center"/>
    </xf>
    <xf numFmtId="0" fontId="18" fillId="9" borderId="22" xfId="0" applyFont="1" applyFill="1" applyBorder="1" applyAlignment="1">
      <alignment horizontal="center" vertical="center"/>
    </xf>
    <xf numFmtId="0" fontId="23" fillId="9" borderId="12" xfId="0" applyFont="1" applyFill="1" applyBorder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23" fillId="9" borderId="21" xfId="0" applyFont="1" applyFill="1" applyBorder="1" applyAlignment="1">
      <alignment horizontal="center" vertical="center"/>
    </xf>
    <xf numFmtId="0" fontId="21" fillId="9" borderId="21" xfId="0" applyFont="1" applyFill="1" applyBorder="1" applyAlignment="1">
      <alignment horizontal="center" vertical="center"/>
    </xf>
    <xf numFmtId="0" fontId="21" fillId="9" borderId="23" xfId="0" applyFont="1" applyFill="1" applyBorder="1" applyAlignment="1">
      <alignment horizontal="center" vertical="center"/>
    </xf>
    <xf numFmtId="0" fontId="22" fillId="9" borderId="12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2" fillId="9" borderId="21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18" fillId="7" borderId="13" xfId="0" applyFont="1" applyFill="1" applyBorder="1" applyAlignment="1">
      <alignment horizontal="center" vertical="center"/>
    </xf>
    <xf numFmtId="0" fontId="18" fillId="7" borderId="14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164" fontId="17" fillId="7" borderId="16" xfId="0" applyNumberFormat="1" applyFont="1" applyFill="1" applyBorder="1" applyAlignment="1">
      <alignment horizontal="center" vertical="center"/>
    </xf>
    <xf numFmtId="164" fontId="17" fillId="7" borderId="0" xfId="0" applyNumberFormat="1" applyFont="1" applyFill="1" applyAlignment="1">
      <alignment horizontal="center" vertical="center"/>
    </xf>
    <xf numFmtId="164" fontId="17" fillId="7" borderId="21" xfId="0" applyNumberFormat="1" applyFont="1" applyFill="1" applyBorder="1" applyAlignment="1">
      <alignment horizontal="center" vertical="center"/>
    </xf>
    <xf numFmtId="0" fontId="18" fillId="9" borderId="15" xfId="0" applyFont="1" applyFill="1" applyBorder="1" applyAlignment="1">
      <alignment horizontal="center" vertical="center"/>
    </xf>
    <xf numFmtId="0" fontId="22" fillId="9" borderId="1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9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/>
        </patternFill>
      </fill>
    </dxf>
    <dxf>
      <fill>
        <patternFill>
          <bgColor rgb="FFFF898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#,##0.00\ &quot;€&quot;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-407]mmmmm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8989"/>
      <color rgb="FFF3C9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/>
              <a:t>ABC - Analyse: Pareto - Diagram - Schwund Wert nach Artkel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Schwund_Wert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ABC_Analyse!$B$5:$B$19</c:f>
              <c:strCache>
                <c:ptCount val="15"/>
                <c:pt idx="0">
                  <c:v>Fruchtjoghurt 4er</c:v>
                </c:pt>
                <c:pt idx="1">
                  <c:v>Vollmilch 1L</c:v>
                </c:pt>
                <c:pt idx="2">
                  <c:v>Fettarme Milch 1L</c:v>
                </c:pt>
                <c:pt idx="3">
                  <c:v>Naturjoghurt 500g</c:v>
                </c:pt>
                <c:pt idx="4">
                  <c:v>Quark 500g</c:v>
                </c:pt>
                <c:pt idx="5">
                  <c:v>Emmentaler 200g</c:v>
                </c:pt>
                <c:pt idx="6">
                  <c:v>Mozzarella 125g</c:v>
                </c:pt>
                <c:pt idx="7">
                  <c:v>Skyr 450g</c:v>
                </c:pt>
                <c:pt idx="8">
                  <c:v>Butter 250g</c:v>
                </c:pt>
                <c:pt idx="9">
                  <c:v>Gouda 200g</c:v>
                </c:pt>
                <c:pt idx="10">
                  <c:v>Bio-Milch 1L</c:v>
                </c:pt>
                <c:pt idx="11">
                  <c:v>Kefir 500ml</c:v>
                </c:pt>
                <c:pt idx="12">
                  <c:v>Frischkäse 200g</c:v>
                </c:pt>
                <c:pt idx="13">
                  <c:v>Sahne 200ml</c:v>
                </c:pt>
                <c:pt idx="14">
                  <c:v>Schmand 200g</c:v>
                </c:pt>
              </c:strCache>
            </c:strRef>
          </c:cat>
          <c:val>
            <c:numRef>
              <c:f>ABC_Analyse!$H$5:$H$19</c:f>
              <c:numCache>
                <c:formatCode>#,##0.00\ "€"</c:formatCode>
                <c:ptCount val="15"/>
                <c:pt idx="0">
                  <c:v>1442.0699999999995</c:v>
                </c:pt>
                <c:pt idx="1">
                  <c:v>1422.0500000000002</c:v>
                </c:pt>
                <c:pt idx="2">
                  <c:v>1240.4199999999998</c:v>
                </c:pt>
                <c:pt idx="3">
                  <c:v>983.44999999999982</c:v>
                </c:pt>
                <c:pt idx="4">
                  <c:v>911.84</c:v>
                </c:pt>
                <c:pt idx="5">
                  <c:v>841.61999999999989</c:v>
                </c:pt>
                <c:pt idx="6">
                  <c:v>743.74999999999977</c:v>
                </c:pt>
                <c:pt idx="7">
                  <c:v>722.36999999999989</c:v>
                </c:pt>
                <c:pt idx="8">
                  <c:v>703.03000000000031</c:v>
                </c:pt>
                <c:pt idx="9">
                  <c:v>682.56999999999982</c:v>
                </c:pt>
                <c:pt idx="10">
                  <c:v>682.11000000000013</c:v>
                </c:pt>
                <c:pt idx="11">
                  <c:v>398.92999999999995</c:v>
                </c:pt>
                <c:pt idx="12">
                  <c:v>366.54</c:v>
                </c:pt>
                <c:pt idx="13">
                  <c:v>233.84</c:v>
                </c:pt>
                <c:pt idx="14">
                  <c:v>177.11000000000004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3-4759-BD04-4A849B75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403834352"/>
        <c:axId val="403836272"/>
      </c:barChart>
      <c:lineChart>
        <c:grouping val="standard"/>
        <c:varyColors val="0"/>
        <c:ser>
          <c:idx val="1"/>
          <c:order val="1"/>
          <c:tx>
            <c:v>Kumuliert_%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ABC_Analyse!$B$5:$B$19</c:f>
              <c:strCache>
                <c:ptCount val="15"/>
                <c:pt idx="0">
                  <c:v>Fruchtjoghurt 4er</c:v>
                </c:pt>
                <c:pt idx="1">
                  <c:v>Vollmilch 1L</c:v>
                </c:pt>
                <c:pt idx="2">
                  <c:v>Fettarme Milch 1L</c:v>
                </c:pt>
                <c:pt idx="3">
                  <c:v>Naturjoghurt 500g</c:v>
                </c:pt>
                <c:pt idx="4">
                  <c:v>Quark 500g</c:v>
                </c:pt>
                <c:pt idx="5">
                  <c:v>Emmentaler 200g</c:v>
                </c:pt>
                <c:pt idx="6">
                  <c:v>Mozzarella 125g</c:v>
                </c:pt>
                <c:pt idx="7">
                  <c:v>Skyr 450g</c:v>
                </c:pt>
                <c:pt idx="8">
                  <c:v>Butter 250g</c:v>
                </c:pt>
                <c:pt idx="9">
                  <c:v>Gouda 200g</c:v>
                </c:pt>
                <c:pt idx="10">
                  <c:v>Bio-Milch 1L</c:v>
                </c:pt>
                <c:pt idx="11">
                  <c:v>Kefir 500ml</c:v>
                </c:pt>
                <c:pt idx="12">
                  <c:v>Frischkäse 200g</c:v>
                </c:pt>
                <c:pt idx="13">
                  <c:v>Sahne 200ml</c:v>
                </c:pt>
                <c:pt idx="14">
                  <c:v>Schmand 200g</c:v>
                </c:pt>
              </c:strCache>
            </c:strRef>
          </c:cat>
          <c:val>
            <c:numRef>
              <c:f>ABC_Analyse!$K$5:$K$19</c:f>
              <c:numCache>
                <c:formatCode>0.00</c:formatCode>
                <c:ptCount val="15"/>
                <c:pt idx="0">
                  <c:v>12.483617129946234</c:v>
                </c:pt>
                <c:pt idx="1">
                  <c:v>24.793926435070155</c:v>
                </c:pt>
                <c:pt idx="2">
                  <c:v>35.531913051758607</c:v>
                </c:pt>
                <c:pt idx="3">
                  <c:v>44.045378602283634</c:v>
                </c:pt>
                <c:pt idx="4">
                  <c:v>51.938935394790363</c:v>
                </c:pt>
                <c:pt idx="5">
                  <c:v>59.224616290242977</c:v>
                </c:pt>
                <c:pt idx="6">
                  <c:v>65.663062579533729</c:v>
                </c:pt>
                <c:pt idx="7">
                  <c:v>71.916427885073176</c:v>
                </c:pt>
                <c:pt idx="8">
                  <c:v>78.002371945254794</c:v>
                </c:pt>
                <c:pt idx="9">
                  <c:v>83.911199217431175</c:v>
                </c:pt>
                <c:pt idx="10">
                  <c:v>89.816044391734522</c:v>
                </c:pt>
                <c:pt idx="11">
                  <c:v>93.269475488456209</c:v>
                </c:pt>
                <c:pt idx="12">
                  <c:v>96.442514954508823</c:v>
                </c:pt>
                <c:pt idx="13">
                  <c:v>98.466805751534366</c:v>
                </c:pt>
                <c:pt idx="14">
                  <c:v>99.999999999999957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03-4759-BD04-4A849B75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399968"/>
        <c:axId val="356397568"/>
      </c:lineChart>
      <c:catAx>
        <c:axId val="40383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03836272"/>
        <c:crosses val="autoZero"/>
        <c:auto val="1"/>
        <c:lblAlgn val="ctr"/>
        <c:lblOffset val="100"/>
        <c:noMultiLvlLbl val="0"/>
      </c:catAx>
      <c:valAx>
        <c:axId val="40383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03834352"/>
        <c:crosses val="autoZero"/>
        <c:crossBetween val="between"/>
      </c:valAx>
      <c:valAx>
        <c:axId val="356397568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356399968"/>
        <c:crosses val="max"/>
        <c:crossBetween val="between"/>
      </c:valAx>
      <c:catAx>
        <c:axId val="356399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56397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718018061105145"/>
          <c:y val="0.92280971363373854"/>
          <c:w val="0.29104005704422226"/>
          <c:h val="7.66131963033156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Schwund Verteilung nach ABC Klasse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ABC_Analyse!$D$23</c:f>
              <c:strCache>
                <c:ptCount val="1"/>
                <c:pt idx="0">
                  <c:v>Anteil_Schwund_%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C97-496C-B6F6-877285A81935}"/>
              </c:ext>
            </c:extLst>
          </c:dPt>
          <c:dPt>
            <c:idx val="1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BC97-496C-B6F6-877285A81935}"/>
              </c:ext>
            </c:extLst>
          </c:dPt>
          <c:dPt>
            <c:idx val="2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C97-496C-B6F6-877285A81935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C97-496C-B6F6-877285A81935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BC97-496C-B6F6-877285A81935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C97-496C-B6F6-877285A81935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ABC_Analyse!$A$24:$A$26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ABC_Analyse!$D$24:$D$26</c:f>
              <c:numCache>
                <c:formatCode>0.00</c:formatCode>
                <c:ptCount val="3"/>
                <c:pt idx="0">
                  <c:v>78.002371945254794</c:v>
                </c:pt>
                <c:pt idx="1">
                  <c:v>15.267103543201427</c:v>
                </c:pt>
                <c:pt idx="2">
                  <c:v>6.7305245115437531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7-496C-B6F6-877285A819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[Inventur Optimization.xlsx]Schwundanalyse!Schwund_By_Filiale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Schwundanalyse!$B$4</c:f>
              <c:strCache>
                <c:ptCount val="1"/>
                <c:pt idx="0">
                  <c:v>Sum of Abweichung_Wert_EUR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Schwundanalyse!$A$5:$A$10</c:f>
              <c:strCache>
                <c:ptCount val="5"/>
                <c:pt idx="0">
                  <c:v>Filiale Nord</c:v>
                </c:pt>
                <c:pt idx="1">
                  <c:v>Filiale Ost</c:v>
                </c:pt>
                <c:pt idx="2">
                  <c:v>Filiale Süd</c:v>
                </c:pt>
                <c:pt idx="3">
                  <c:v>Filiale Zentrum</c:v>
                </c:pt>
                <c:pt idx="4">
                  <c:v>Filiale West</c:v>
                </c:pt>
              </c:strCache>
            </c:strRef>
          </c:cat>
          <c:val>
            <c:numRef>
              <c:f>Schwundanalyse!$B$5:$B$10</c:f>
              <c:numCache>
                <c:formatCode>#,##0.00\ "€"</c:formatCode>
                <c:ptCount val="5"/>
                <c:pt idx="0">
                  <c:v>2232.1400000000012</c:v>
                </c:pt>
                <c:pt idx="1">
                  <c:v>2155.6799999999994</c:v>
                </c:pt>
                <c:pt idx="2">
                  <c:v>1814.6100000000017</c:v>
                </c:pt>
                <c:pt idx="3">
                  <c:v>3152.7200000000003</c:v>
                </c:pt>
                <c:pt idx="4">
                  <c:v>2196.5500000000002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7-4561-9449-0F28EC9B512A}"/>
            </c:ext>
          </c:extLst>
        </c:ser>
        <c:ser>
          <c:idx val="1"/>
          <c:order val="1"/>
          <c:tx>
            <c:strRef>
              <c:f>Schwundanalyse!$C$4</c:f>
              <c:strCache>
                <c:ptCount val="1"/>
                <c:pt idx="0">
                  <c:v>Average of Bestandsabweichung_%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Schwundanalyse!$A$5:$A$10</c:f>
              <c:strCache>
                <c:ptCount val="5"/>
                <c:pt idx="0">
                  <c:v>Filiale Nord</c:v>
                </c:pt>
                <c:pt idx="1">
                  <c:v>Filiale Ost</c:v>
                </c:pt>
                <c:pt idx="2">
                  <c:v>Filiale Süd</c:v>
                </c:pt>
                <c:pt idx="3">
                  <c:v>Filiale Zentrum</c:v>
                </c:pt>
                <c:pt idx="4">
                  <c:v>Filiale West</c:v>
                </c:pt>
              </c:strCache>
            </c:strRef>
          </c:cat>
          <c:val>
            <c:numRef>
              <c:f>Schwundanalyse!$C$5:$C$10</c:f>
              <c:numCache>
                <c:formatCode>0.00</c:formatCode>
                <c:ptCount val="5"/>
                <c:pt idx="0">
                  <c:v>-1.9633946912138784</c:v>
                </c:pt>
                <c:pt idx="1">
                  <c:v>-2.0551909411770217</c:v>
                </c:pt>
                <c:pt idx="2">
                  <c:v>-1.8499624587630943</c:v>
                </c:pt>
                <c:pt idx="3">
                  <c:v>-2.3804558186317588</c:v>
                </c:pt>
                <c:pt idx="4">
                  <c:v>-1.8729888551649376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C7-4561-9449-0F28EC9B5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8841648"/>
        <c:axId val="1228843568"/>
      </c:barChart>
      <c:catAx>
        <c:axId val="122884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28843568"/>
        <c:crosses val="autoZero"/>
        <c:auto val="1"/>
        <c:lblAlgn val="ctr"/>
        <c:lblOffset val="100"/>
        <c:noMultiLvlLbl val="0"/>
      </c:catAx>
      <c:valAx>
        <c:axId val="122884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2884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[Inventur Optimization.xlsx]Schwundanalyse!PivotTable2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Schwundanalyse!$B$18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Schwundanalyse!$A$19:$A$31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Schwundanalyse!$B$19:$B$31</c:f>
              <c:numCache>
                <c:formatCode>#,##0.00\ "€"</c:formatCode>
                <c:ptCount val="12"/>
                <c:pt idx="0">
                  <c:v>670.98</c:v>
                </c:pt>
                <c:pt idx="1">
                  <c:v>625.21</c:v>
                </c:pt>
                <c:pt idx="2">
                  <c:v>842.81</c:v>
                </c:pt>
                <c:pt idx="3">
                  <c:v>1266.4699999999998</c:v>
                </c:pt>
                <c:pt idx="4">
                  <c:v>821.6999999999997</c:v>
                </c:pt>
                <c:pt idx="5">
                  <c:v>959.61</c:v>
                </c:pt>
                <c:pt idx="6">
                  <c:v>1226.1800000000003</c:v>
                </c:pt>
                <c:pt idx="7">
                  <c:v>952.48</c:v>
                </c:pt>
                <c:pt idx="8">
                  <c:v>819.7700000000001</c:v>
                </c:pt>
                <c:pt idx="9">
                  <c:v>876.7</c:v>
                </c:pt>
                <c:pt idx="10">
                  <c:v>972.12000000000012</c:v>
                </c:pt>
                <c:pt idx="11">
                  <c:v>1517.67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0-4BE4-A3E1-6A51FE1B9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80192"/>
        <c:axId val="1580480672"/>
      </c:barChart>
      <c:catAx>
        <c:axId val="158048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80480672"/>
        <c:crosses val="autoZero"/>
        <c:auto val="1"/>
        <c:lblAlgn val="ctr"/>
        <c:lblOffset val="100"/>
        <c:noMultiLvlLbl val="0"/>
      </c:catAx>
      <c:valAx>
        <c:axId val="158048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8048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[Inventur Optimization.xlsx]Schwundanalyse!PivotTable3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Schwundanalyse!$B$39</c:f>
              <c:strCache>
                <c:ptCount val="1"/>
                <c:pt idx="0">
                  <c:v>Sum of Abweichung_Wert_EUR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Schwundanalyse!$A$40:$A$46</c:f>
              <c:strCache>
                <c:ptCount val="6"/>
                <c:pt idx="0">
                  <c:v>Butter</c:v>
                </c:pt>
                <c:pt idx="1">
                  <c:v>Joghurt</c:v>
                </c:pt>
                <c:pt idx="2">
                  <c:v>Käse</c:v>
                </c:pt>
                <c:pt idx="3">
                  <c:v>Milch</c:v>
                </c:pt>
                <c:pt idx="4">
                  <c:v>Quark</c:v>
                </c:pt>
                <c:pt idx="5">
                  <c:v>Sahne</c:v>
                </c:pt>
              </c:strCache>
            </c:strRef>
          </c:cat>
          <c:val>
            <c:numRef>
              <c:f>Schwundanalyse!$B$40:$B$46</c:f>
              <c:numCache>
                <c:formatCode>#,##0.00\ "€"</c:formatCode>
                <c:ptCount val="6"/>
                <c:pt idx="0">
                  <c:v>703.03000000000031</c:v>
                </c:pt>
                <c:pt idx="1">
                  <c:v>3147.89</c:v>
                </c:pt>
                <c:pt idx="2">
                  <c:v>2634.4800000000032</c:v>
                </c:pt>
                <c:pt idx="3">
                  <c:v>3743.5099999999979</c:v>
                </c:pt>
                <c:pt idx="4">
                  <c:v>911.84</c:v>
                </c:pt>
                <c:pt idx="5">
                  <c:v>410.94999999999993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7-4F8D-920E-7C52BE03D80C}"/>
            </c:ext>
          </c:extLst>
        </c:ser>
        <c:ser>
          <c:idx val="1"/>
          <c:order val="1"/>
          <c:tx>
            <c:strRef>
              <c:f>Schwundanalyse!$C$39</c:f>
              <c:strCache>
                <c:ptCount val="1"/>
                <c:pt idx="0">
                  <c:v>Average of Bestandsabweichung_%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Schwundanalyse!$A$40:$A$46</c:f>
              <c:strCache>
                <c:ptCount val="6"/>
                <c:pt idx="0">
                  <c:v>Butter</c:v>
                </c:pt>
                <c:pt idx="1">
                  <c:v>Joghurt</c:v>
                </c:pt>
                <c:pt idx="2">
                  <c:v>Käse</c:v>
                </c:pt>
                <c:pt idx="3">
                  <c:v>Milch</c:v>
                </c:pt>
                <c:pt idx="4">
                  <c:v>Quark</c:v>
                </c:pt>
                <c:pt idx="5">
                  <c:v>Sahne</c:v>
                </c:pt>
              </c:strCache>
            </c:strRef>
          </c:cat>
          <c:val>
            <c:numRef>
              <c:f>Schwundanalyse!$C$40:$C$46</c:f>
              <c:numCache>
                <c:formatCode>0.00</c:formatCode>
                <c:ptCount val="6"/>
                <c:pt idx="0">
                  <c:v>-0.90832327404089552</c:v>
                </c:pt>
                <c:pt idx="1">
                  <c:v>-2.4220950090619935</c:v>
                </c:pt>
                <c:pt idx="2">
                  <c:v>-1.6958078409829025</c:v>
                </c:pt>
                <c:pt idx="3">
                  <c:v>-2.5930118499110524</c:v>
                </c:pt>
                <c:pt idx="4">
                  <c:v>-2.1644225397160901</c:v>
                </c:pt>
                <c:pt idx="5">
                  <c:v>-1.4358343451666431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F7-4F8D-920E-7C52BE03D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0487872"/>
        <c:axId val="1580471552"/>
        <c:axId val="0"/>
      </c:bar3DChart>
      <c:catAx>
        <c:axId val="158048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80471552"/>
        <c:crosses val="autoZero"/>
        <c:auto val="1"/>
        <c:lblAlgn val="ctr"/>
        <c:lblOffset val="100"/>
        <c:noMultiLvlLbl val="0"/>
      </c:catAx>
      <c:valAx>
        <c:axId val="158047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8048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[Inventur Optimization.xlsx]Schwundanalyse!PivotTable4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Schwundanalyse!$B$57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33-4113-9FD3-B9F124EB7A1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33-4113-9FD3-B9F124EB7A1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33-4113-9FD3-B9F124EB7A19}"/>
              </c:ext>
            </c:extLst>
          </c:dPt>
          <c:cat>
            <c:strRef>
              <c:f>Schwundanalyse!$A$58:$A$61</c:f>
              <c:strCache>
                <c:ptCount val="3"/>
                <c:pt idx="0">
                  <c:v>Perfekt</c:v>
                </c:pt>
                <c:pt idx="1">
                  <c:v>Schwund</c:v>
                </c:pt>
                <c:pt idx="2">
                  <c:v>Überbestand</c:v>
                </c:pt>
              </c:strCache>
            </c:strRef>
          </c:cat>
          <c:val>
            <c:numRef>
              <c:f>Schwundanalyse!$B$58:$B$61</c:f>
              <c:numCache>
                <c:formatCode>General</c:formatCode>
                <c:ptCount val="3"/>
                <c:pt idx="0">
                  <c:v>81</c:v>
                </c:pt>
                <c:pt idx="1">
                  <c:v>669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4E-471F-A43C-8C90B1C35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[Inventur Optimization.xlsx]Schwundanalyse!PivotTable5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Schwundanalyse!$B$75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Schwundanalyse!$A$76:$A$81</c:f>
              <c:strCache>
                <c:ptCount val="5"/>
                <c:pt idx="0">
                  <c:v>Black Friday</c:v>
                </c:pt>
                <c:pt idx="1">
                  <c:v>Karneval</c:v>
                </c:pt>
                <c:pt idx="2">
                  <c:v>Normal</c:v>
                </c:pt>
                <c:pt idx="3">
                  <c:v>Ostern</c:v>
                </c:pt>
                <c:pt idx="4">
                  <c:v>Weihnachten/Silvester</c:v>
                </c:pt>
              </c:strCache>
            </c:strRef>
          </c:cat>
          <c:val>
            <c:numRef>
              <c:f>Schwundanalyse!$B$76:$B$81</c:f>
              <c:numCache>
                <c:formatCode>#,##0.00\ "€"</c:formatCode>
                <c:ptCount val="5"/>
                <c:pt idx="0">
                  <c:v>972.12000000000012</c:v>
                </c:pt>
                <c:pt idx="1">
                  <c:v>625.21</c:v>
                </c:pt>
                <c:pt idx="2">
                  <c:v>7170.2299999999923</c:v>
                </c:pt>
                <c:pt idx="3">
                  <c:v>1266.4699999999998</c:v>
                </c:pt>
                <c:pt idx="4">
                  <c:v>1517.67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F-4496-BB23-8452A25AA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0514752"/>
        <c:axId val="1580515712"/>
        <c:axId val="0"/>
      </c:bar3DChart>
      <c:catAx>
        <c:axId val="158051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80515712"/>
        <c:crosses val="autoZero"/>
        <c:auto val="1"/>
        <c:lblAlgn val="ctr"/>
        <c:lblOffset val="100"/>
        <c:noMultiLvlLbl val="0"/>
      </c:catAx>
      <c:valAx>
        <c:axId val="158051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8051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[Inventur Optimization.xlsx]Schwundanalyse!PivotTable6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Schwundanalyse!$B$93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33-42D2-A25B-5B8515683E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33-42D2-A25B-5B8515683E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33-42D2-A25B-5B8515683E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33-42D2-A25B-5B8515683E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33-42D2-A25B-5B8515683EE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33-42D2-A25B-5B8515683EE6}"/>
              </c:ext>
            </c:extLst>
          </c:dPt>
          <c:cat>
            <c:strRef>
              <c:f>Schwundanalyse!$A$94:$A$100</c:f>
              <c:strCache>
                <c:ptCount val="6"/>
                <c:pt idx="0">
                  <c:v>FIFO - Fehler</c:v>
                </c:pt>
                <c:pt idx="1">
                  <c:v>Kein MHD - Prozess</c:v>
                </c:pt>
                <c:pt idx="2">
                  <c:v>Korrekt</c:v>
                </c:pt>
                <c:pt idx="3">
                  <c:v>Produkt Übersehen</c:v>
                </c:pt>
                <c:pt idx="4">
                  <c:v>Zählfehler</c:v>
                </c:pt>
                <c:pt idx="5">
                  <c:v>Eingabefehler</c:v>
                </c:pt>
              </c:strCache>
            </c:strRef>
          </c:cat>
          <c:val>
            <c:numRef>
              <c:f>Schwundanalyse!$B$94:$B$100</c:f>
              <c:numCache>
                <c:formatCode>General</c:formatCode>
                <c:ptCount val="6"/>
                <c:pt idx="0">
                  <c:v>16</c:v>
                </c:pt>
                <c:pt idx="1">
                  <c:v>627</c:v>
                </c:pt>
                <c:pt idx="2">
                  <c:v>233</c:v>
                </c:pt>
                <c:pt idx="3">
                  <c:v>4</c:v>
                </c:pt>
                <c:pt idx="4">
                  <c:v>16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B-4DFA-B4D4-8E40A486B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[Inventur Optimization.xlsx]Ursachenanalyse!PivotTable3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Ursachenanalyse!$B$4</c:f>
              <c:strCache>
                <c:ptCount val="1"/>
                <c:pt idx="0">
                  <c:v>Count of Ursachen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A7-4B42-832D-F3C32B4EB6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A7-4B42-832D-F3C32B4EB6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EA7-4B42-832D-F3C32B4EB6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EA7-4B42-832D-F3C32B4EB6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EA7-4B42-832D-F3C32B4EB6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EA7-4B42-832D-F3C32B4EB68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EA7-4B42-832D-F3C32B4EB68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Ursachenanalyse!$A$5:$A$12</c:f>
              <c:strCache>
                <c:ptCount val="7"/>
                <c:pt idx="0">
                  <c:v>Buchungsfehler Wareneingang</c:v>
                </c:pt>
                <c:pt idx="1">
                  <c:v>Diebstahlrisiko</c:v>
                </c:pt>
                <c:pt idx="2">
                  <c:v>Kassenfehler (Überbestand)</c:v>
                </c:pt>
                <c:pt idx="3">
                  <c:v>MHD - Prozessfehler</c:v>
                </c:pt>
                <c:pt idx="4">
                  <c:v>Normal/Gering</c:v>
                </c:pt>
                <c:pt idx="5">
                  <c:v>Prozessfehler</c:v>
                </c:pt>
                <c:pt idx="6">
                  <c:v>Verderb - Abgelaufen</c:v>
                </c:pt>
              </c:strCache>
            </c:strRef>
          </c:cat>
          <c:val>
            <c:numRef>
              <c:f>Ursachenanalyse!$B$5:$B$12</c:f>
              <c:numCache>
                <c:formatCode>General</c:formatCode>
                <c:ptCount val="7"/>
                <c:pt idx="0">
                  <c:v>131</c:v>
                </c:pt>
                <c:pt idx="1">
                  <c:v>63</c:v>
                </c:pt>
                <c:pt idx="2">
                  <c:v>136</c:v>
                </c:pt>
                <c:pt idx="3">
                  <c:v>30</c:v>
                </c:pt>
                <c:pt idx="4">
                  <c:v>231</c:v>
                </c:pt>
                <c:pt idx="5">
                  <c:v>245</c:v>
                </c:pt>
                <c:pt idx="6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3-4E87-BBF8-587BF4B33C9A}"/>
            </c:ext>
          </c:extLst>
        </c:ser>
        <c:ser>
          <c:idx val="1"/>
          <c:order val="1"/>
          <c:tx>
            <c:strRef>
              <c:f>Ursachenanalyse!$C$4</c:f>
              <c:strCache>
                <c:ptCount val="1"/>
                <c:pt idx="0">
                  <c:v>Sum of Abweichung_Wert_EUR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EA7-4B42-832D-F3C32B4EB6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EA7-4B42-832D-F3C32B4EB6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EA7-4B42-832D-F3C32B4EB6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EA7-4B42-832D-F3C32B4EB6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EA7-4B42-832D-F3C32B4EB6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EA7-4B42-832D-F3C32B4EB68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EA7-4B42-832D-F3C32B4EB68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Ursachenanalyse!$A$5:$A$12</c:f>
              <c:strCache>
                <c:ptCount val="7"/>
                <c:pt idx="0">
                  <c:v>Buchungsfehler Wareneingang</c:v>
                </c:pt>
                <c:pt idx="1">
                  <c:v>Diebstahlrisiko</c:v>
                </c:pt>
                <c:pt idx="2">
                  <c:v>Kassenfehler (Überbestand)</c:v>
                </c:pt>
                <c:pt idx="3">
                  <c:v>MHD - Prozessfehler</c:v>
                </c:pt>
                <c:pt idx="4">
                  <c:v>Normal/Gering</c:v>
                </c:pt>
                <c:pt idx="5">
                  <c:v>Prozessfehler</c:v>
                </c:pt>
                <c:pt idx="6">
                  <c:v>Verderb - Abgelaufen</c:v>
                </c:pt>
              </c:strCache>
            </c:strRef>
          </c:cat>
          <c:val>
            <c:numRef>
              <c:f>Ursachenanalyse!$C$5:$C$12</c:f>
              <c:numCache>
                <c:formatCode>#,##0.00\ "€"</c:formatCode>
                <c:ptCount val="7"/>
                <c:pt idx="0">
                  <c:v>2270.4099999999994</c:v>
                </c:pt>
                <c:pt idx="1">
                  <c:v>1805.4099999999996</c:v>
                </c:pt>
                <c:pt idx="2">
                  <c:v>883.55000000000052</c:v>
                </c:pt>
                <c:pt idx="3">
                  <c:v>497.73</c:v>
                </c:pt>
                <c:pt idx="4">
                  <c:v>1236.9500000000012</c:v>
                </c:pt>
                <c:pt idx="5">
                  <c:v>4129.7699999999986</c:v>
                </c:pt>
                <c:pt idx="6">
                  <c:v>727.88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13-4E87-BBF8-587BF4B33C9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[Inventur Optimization.xlsx]Ursachenanalyse!PivotTable3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Ursachenanalyse!$B$4</c:f>
              <c:strCache>
                <c:ptCount val="1"/>
                <c:pt idx="0">
                  <c:v>Count of Ursachen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Ursachenanalyse!$A$5:$A$12</c:f>
              <c:strCache>
                <c:ptCount val="7"/>
                <c:pt idx="0">
                  <c:v>Buchungsfehler Wareneingang</c:v>
                </c:pt>
                <c:pt idx="1">
                  <c:v>Diebstahlrisiko</c:v>
                </c:pt>
                <c:pt idx="2">
                  <c:v>Kassenfehler (Überbestand)</c:v>
                </c:pt>
                <c:pt idx="3">
                  <c:v>MHD - Prozessfehler</c:v>
                </c:pt>
                <c:pt idx="4">
                  <c:v>Normal/Gering</c:v>
                </c:pt>
                <c:pt idx="5">
                  <c:v>Prozessfehler</c:v>
                </c:pt>
                <c:pt idx="6">
                  <c:v>Verderb - Abgelaufen</c:v>
                </c:pt>
              </c:strCache>
            </c:strRef>
          </c:cat>
          <c:val>
            <c:numRef>
              <c:f>Ursachenanalyse!$B$5:$B$12</c:f>
              <c:numCache>
                <c:formatCode>General</c:formatCode>
                <c:ptCount val="7"/>
                <c:pt idx="0">
                  <c:v>131</c:v>
                </c:pt>
                <c:pt idx="1">
                  <c:v>63</c:v>
                </c:pt>
                <c:pt idx="2">
                  <c:v>136</c:v>
                </c:pt>
                <c:pt idx="3">
                  <c:v>30</c:v>
                </c:pt>
                <c:pt idx="4">
                  <c:v>231</c:v>
                </c:pt>
                <c:pt idx="5">
                  <c:v>245</c:v>
                </c:pt>
                <c:pt idx="6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A-4757-8E91-A60298AE98C6}"/>
            </c:ext>
          </c:extLst>
        </c:ser>
        <c:ser>
          <c:idx val="1"/>
          <c:order val="1"/>
          <c:tx>
            <c:strRef>
              <c:f>Ursachenanalyse!$C$4</c:f>
              <c:strCache>
                <c:ptCount val="1"/>
                <c:pt idx="0">
                  <c:v>Sum of Abweichung_Wert_EUR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Ursachenanalyse!$A$5:$A$12</c:f>
              <c:strCache>
                <c:ptCount val="7"/>
                <c:pt idx="0">
                  <c:v>Buchungsfehler Wareneingang</c:v>
                </c:pt>
                <c:pt idx="1">
                  <c:v>Diebstahlrisiko</c:v>
                </c:pt>
                <c:pt idx="2">
                  <c:v>Kassenfehler (Überbestand)</c:v>
                </c:pt>
                <c:pt idx="3">
                  <c:v>MHD - Prozessfehler</c:v>
                </c:pt>
                <c:pt idx="4">
                  <c:v>Normal/Gering</c:v>
                </c:pt>
                <c:pt idx="5">
                  <c:v>Prozessfehler</c:v>
                </c:pt>
                <c:pt idx="6">
                  <c:v>Verderb - Abgelaufen</c:v>
                </c:pt>
              </c:strCache>
            </c:strRef>
          </c:cat>
          <c:val>
            <c:numRef>
              <c:f>Ursachenanalyse!$C$5:$C$12</c:f>
              <c:numCache>
                <c:formatCode>#,##0.00\ "€"</c:formatCode>
                <c:ptCount val="7"/>
                <c:pt idx="0">
                  <c:v>2270.4099999999994</c:v>
                </c:pt>
                <c:pt idx="1">
                  <c:v>1805.4099999999996</c:v>
                </c:pt>
                <c:pt idx="2">
                  <c:v>883.55000000000052</c:v>
                </c:pt>
                <c:pt idx="3">
                  <c:v>497.73</c:v>
                </c:pt>
                <c:pt idx="4">
                  <c:v>1236.9500000000012</c:v>
                </c:pt>
                <c:pt idx="5">
                  <c:v>4129.7699999999986</c:v>
                </c:pt>
                <c:pt idx="6">
                  <c:v>727.88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EA-4757-8E91-A60298AE9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983232"/>
        <c:axId val="56983712"/>
      </c:barChart>
      <c:catAx>
        <c:axId val="5698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6983712"/>
        <c:crosses val="autoZero"/>
        <c:auto val="1"/>
        <c:lblAlgn val="ctr"/>
        <c:lblOffset val="100"/>
        <c:noMultiLvlLbl val="0"/>
      </c:catAx>
      <c:valAx>
        <c:axId val="5698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698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Actual vs Prognose _ Monatlicher Schwund Wert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Prognose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Prognose!$B$5:$B$16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Prognose!$C$5:$C$16</c:f>
              <c:numCache>
                <c:formatCode>General</c:formatCode>
                <c:ptCount val="12"/>
                <c:pt idx="0">
                  <c:v>670.98</c:v>
                </c:pt>
                <c:pt idx="1">
                  <c:v>625.21</c:v>
                </c:pt>
                <c:pt idx="2">
                  <c:v>842.81</c:v>
                </c:pt>
                <c:pt idx="3">
                  <c:v>1266.4699999999998</c:v>
                </c:pt>
                <c:pt idx="4">
                  <c:v>821.6999999999997</c:v>
                </c:pt>
                <c:pt idx="5">
                  <c:v>959.61</c:v>
                </c:pt>
                <c:pt idx="6">
                  <c:v>1226.1800000000003</c:v>
                </c:pt>
                <c:pt idx="7">
                  <c:v>952.48</c:v>
                </c:pt>
                <c:pt idx="8">
                  <c:v>819.7700000000001</c:v>
                </c:pt>
                <c:pt idx="9">
                  <c:v>876.7</c:v>
                </c:pt>
                <c:pt idx="10">
                  <c:v>972.12000000000012</c:v>
                </c:pt>
                <c:pt idx="11">
                  <c:v>1517.67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9A-4F56-8B7E-169E47F34A38}"/>
            </c:ext>
          </c:extLst>
        </c:ser>
        <c:ser>
          <c:idx val="1"/>
          <c:order val="1"/>
          <c:tx>
            <c:v>Actual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Prognose!$B$5:$B$16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Prognose!$D$5:$D$16</c:f>
              <c:numCache>
                <c:formatCode>General</c:formatCode>
                <c:ptCount val="12"/>
                <c:pt idx="3" formatCode="0.00">
                  <c:v>713</c:v>
                </c:pt>
                <c:pt idx="4" formatCode="0.00">
                  <c:v>911.49666666666656</c:v>
                </c:pt>
                <c:pt idx="5" formatCode="0.00">
                  <c:v>976.99333333333323</c:v>
                </c:pt>
                <c:pt idx="6" formatCode="0.00">
                  <c:v>1015.9266666666666</c:v>
                </c:pt>
                <c:pt idx="7" formatCode="0.00">
                  <c:v>1002.4966666666666</c:v>
                </c:pt>
                <c:pt idx="8" formatCode="0.00">
                  <c:v>1046.0900000000001</c:v>
                </c:pt>
                <c:pt idx="9" formatCode="0.00">
                  <c:v>999.4766666666668</c:v>
                </c:pt>
                <c:pt idx="10" formatCode="0.00">
                  <c:v>882.98333333333323</c:v>
                </c:pt>
                <c:pt idx="11" formatCode="0.00">
                  <c:v>889.53000000000009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9A-4F56-8B7E-169E47F34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2924384"/>
        <c:axId val="1276179552"/>
      </c:lineChart>
      <c:catAx>
        <c:axId val="97292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76179552"/>
        <c:crosses val="autoZero"/>
        <c:auto val="1"/>
        <c:lblAlgn val="ctr"/>
        <c:lblOffset val="100"/>
        <c:noMultiLvlLbl val="0"/>
      </c:catAx>
      <c:valAx>
        <c:axId val="127617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7292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[Inventur Optimization.xlsx]Schwundanalyse!Schwund_By_Filiale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Schwundanalyse!$B$4</c:f>
              <c:strCache>
                <c:ptCount val="1"/>
                <c:pt idx="0">
                  <c:v>Sum of Abweichung_Wert_EUR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Schwundanalyse!$A$5:$A$10</c:f>
              <c:strCache>
                <c:ptCount val="5"/>
                <c:pt idx="0">
                  <c:v>Filiale Nord</c:v>
                </c:pt>
                <c:pt idx="1">
                  <c:v>Filiale Ost</c:v>
                </c:pt>
                <c:pt idx="2">
                  <c:v>Filiale Süd</c:v>
                </c:pt>
                <c:pt idx="3">
                  <c:v>Filiale Zentrum</c:v>
                </c:pt>
                <c:pt idx="4">
                  <c:v>Filiale West</c:v>
                </c:pt>
              </c:strCache>
            </c:strRef>
          </c:cat>
          <c:val>
            <c:numRef>
              <c:f>Schwundanalyse!$B$5:$B$10</c:f>
              <c:numCache>
                <c:formatCode>#,##0.00\ "€"</c:formatCode>
                <c:ptCount val="5"/>
                <c:pt idx="0">
                  <c:v>2232.1400000000012</c:v>
                </c:pt>
                <c:pt idx="1">
                  <c:v>2155.6799999999994</c:v>
                </c:pt>
                <c:pt idx="2">
                  <c:v>1814.6100000000017</c:v>
                </c:pt>
                <c:pt idx="3">
                  <c:v>3152.7200000000003</c:v>
                </c:pt>
                <c:pt idx="4">
                  <c:v>2196.5500000000002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F-44AA-9F36-F7A88A03BB87}"/>
            </c:ext>
          </c:extLst>
        </c:ser>
        <c:ser>
          <c:idx val="1"/>
          <c:order val="1"/>
          <c:tx>
            <c:strRef>
              <c:f>Schwundanalyse!$C$4</c:f>
              <c:strCache>
                <c:ptCount val="1"/>
                <c:pt idx="0">
                  <c:v>Average of Bestandsabweichung_%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Schwundanalyse!$A$5:$A$10</c:f>
              <c:strCache>
                <c:ptCount val="5"/>
                <c:pt idx="0">
                  <c:v>Filiale Nord</c:v>
                </c:pt>
                <c:pt idx="1">
                  <c:v>Filiale Ost</c:v>
                </c:pt>
                <c:pt idx="2">
                  <c:v>Filiale Süd</c:v>
                </c:pt>
                <c:pt idx="3">
                  <c:v>Filiale Zentrum</c:v>
                </c:pt>
                <c:pt idx="4">
                  <c:v>Filiale West</c:v>
                </c:pt>
              </c:strCache>
            </c:strRef>
          </c:cat>
          <c:val>
            <c:numRef>
              <c:f>Schwundanalyse!$C$5:$C$10</c:f>
              <c:numCache>
                <c:formatCode>0.00</c:formatCode>
                <c:ptCount val="5"/>
                <c:pt idx="0">
                  <c:v>-1.9633946912138784</c:v>
                </c:pt>
                <c:pt idx="1">
                  <c:v>-2.0551909411770217</c:v>
                </c:pt>
                <c:pt idx="2">
                  <c:v>-1.8499624587630943</c:v>
                </c:pt>
                <c:pt idx="3">
                  <c:v>-2.3804558186317588</c:v>
                </c:pt>
                <c:pt idx="4">
                  <c:v>-1.8729888551649376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6F-44AA-9F36-F7A88A03B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8841648"/>
        <c:axId val="1228843568"/>
      </c:barChart>
      <c:catAx>
        <c:axId val="122884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28843568"/>
        <c:crosses val="autoZero"/>
        <c:auto val="1"/>
        <c:lblAlgn val="ctr"/>
        <c:lblOffset val="100"/>
        <c:noMultiLvlLbl val="0"/>
      </c:catAx>
      <c:valAx>
        <c:axId val="122884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2884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[Inventur Optimization.xlsx]Schwundanalyse!PivotTable2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Schwundanalyse!$B$18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Schwundanalyse!$A$19:$A$31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Schwundanalyse!$B$19:$B$31</c:f>
              <c:numCache>
                <c:formatCode>#,##0.00\ "€"</c:formatCode>
                <c:ptCount val="12"/>
                <c:pt idx="0">
                  <c:v>670.98</c:v>
                </c:pt>
                <c:pt idx="1">
                  <c:v>625.21</c:v>
                </c:pt>
                <c:pt idx="2">
                  <c:v>842.81</c:v>
                </c:pt>
                <c:pt idx="3">
                  <c:v>1266.4699999999998</c:v>
                </c:pt>
                <c:pt idx="4">
                  <c:v>821.6999999999997</c:v>
                </c:pt>
                <c:pt idx="5">
                  <c:v>959.61</c:v>
                </c:pt>
                <c:pt idx="6">
                  <c:v>1226.1800000000003</c:v>
                </c:pt>
                <c:pt idx="7">
                  <c:v>952.48</c:v>
                </c:pt>
                <c:pt idx="8">
                  <c:v>819.7700000000001</c:v>
                </c:pt>
                <c:pt idx="9">
                  <c:v>876.7</c:v>
                </c:pt>
                <c:pt idx="10">
                  <c:v>972.12000000000012</c:v>
                </c:pt>
                <c:pt idx="11">
                  <c:v>1517.67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6-4A3D-BEC5-8F3A87235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80192"/>
        <c:axId val="1580480672"/>
      </c:barChart>
      <c:catAx>
        <c:axId val="158048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80480672"/>
        <c:crosses val="autoZero"/>
        <c:auto val="1"/>
        <c:lblAlgn val="ctr"/>
        <c:lblOffset val="100"/>
        <c:noMultiLvlLbl val="0"/>
      </c:catAx>
      <c:valAx>
        <c:axId val="158048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8048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[Inventur Optimization.xlsx]Schwundanalyse!PivotTable4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Schwundanalyse!$B$57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41-4EE0-875F-B412C87C78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41-4EE0-875F-B412C87C780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41-4EE0-875F-B412C87C780F}"/>
              </c:ext>
            </c:extLst>
          </c:dPt>
          <c:cat>
            <c:strRef>
              <c:f>Schwundanalyse!$A$58:$A$61</c:f>
              <c:strCache>
                <c:ptCount val="3"/>
                <c:pt idx="0">
                  <c:v>Perfekt</c:v>
                </c:pt>
                <c:pt idx="1">
                  <c:v>Schwund</c:v>
                </c:pt>
                <c:pt idx="2">
                  <c:v>Überbestand</c:v>
                </c:pt>
              </c:strCache>
            </c:strRef>
          </c:cat>
          <c:val>
            <c:numRef>
              <c:f>Schwundanalyse!$B$58:$B$61</c:f>
              <c:numCache>
                <c:formatCode>General</c:formatCode>
                <c:ptCount val="3"/>
                <c:pt idx="0">
                  <c:v>81</c:v>
                </c:pt>
                <c:pt idx="1">
                  <c:v>669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41-4EE0-875F-B412C87C7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Actual vs Prognose _ Monatlicher Schwund Wert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Prognose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Prognose!$B$5:$B$16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Prognose!$C$5:$C$16</c:f>
              <c:numCache>
                <c:formatCode>General</c:formatCode>
                <c:ptCount val="12"/>
                <c:pt idx="0">
                  <c:v>670.98</c:v>
                </c:pt>
                <c:pt idx="1">
                  <c:v>625.21</c:v>
                </c:pt>
                <c:pt idx="2">
                  <c:v>842.81</c:v>
                </c:pt>
                <c:pt idx="3">
                  <c:v>1266.4699999999998</c:v>
                </c:pt>
                <c:pt idx="4">
                  <c:v>821.6999999999997</c:v>
                </c:pt>
                <c:pt idx="5">
                  <c:v>959.61</c:v>
                </c:pt>
                <c:pt idx="6">
                  <c:v>1226.1800000000003</c:v>
                </c:pt>
                <c:pt idx="7">
                  <c:v>952.48</c:v>
                </c:pt>
                <c:pt idx="8">
                  <c:v>819.7700000000001</c:v>
                </c:pt>
                <c:pt idx="9">
                  <c:v>876.7</c:v>
                </c:pt>
                <c:pt idx="10">
                  <c:v>972.12000000000012</c:v>
                </c:pt>
                <c:pt idx="11">
                  <c:v>1517.67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C-4311-AB45-B7FC9F38E169}"/>
            </c:ext>
          </c:extLst>
        </c:ser>
        <c:ser>
          <c:idx val="1"/>
          <c:order val="1"/>
          <c:tx>
            <c:v>Actual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Prognose!$B$5:$B$16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Prognose!$D$5:$D$16</c:f>
              <c:numCache>
                <c:formatCode>General</c:formatCode>
                <c:ptCount val="12"/>
                <c:pt idx="3" formatCode="0.00">
                  <c:v>713</c:v>
                </c:pt>
                <c:pt idx="4" formatCode="0.00">
                  <c:v>911.49666666666656</c:v>
                </c:pt>
                <c:pt idx="5" formatCode="0.00">
                  <c:v>976.99333333333323</c:v>
                </c:pt>
                <c:pt idx="6" formatCode="0.00">
                  <c:v>1015.9266666666666</c:v>
                </c:pt>
                <c:pt idx="7" formatCode="0.00">
                  <c:v>1002.4966666666666</c:v>
                </c:pt>
                <c:pt idx="8" formatCode="0.00">
                  <c:v>1046.0900000000001</c:v>
                </c:pt>
                <c:pt idx="9" formatCode="0.00">
                  <c:v>999.4766666666668</c:v>
                </c:pt>
                <c:pt idx="10" formatCode="0.00">
                  <c:v>882.98333333333323</c:v>
                </c:pt>
                <c:pt idx="11" formatCode="0.00">
                  <c:v>889.53000000000009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FC-4311-AB45-B7FC9F38E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2924384"/>
        <c:axId val="1276179552"/>
      </c:lineChart>
      <c:catAx>
        <c:axId val="97292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76179552"/>
        <c:crosses val="autoZero"/>
        <c:auto val="1"/>
        <c:lblAlgn val="ctr"/>
        <c:lblOffset val="100"/>
        <c:noMultiLvlLbl val="0"/>
      </c:catAx>
      <c:valAx>
        <c:axId val="127617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7292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298451</xdr:colOff>
      <xdr:row>1</xdr:row>
      <xdr:rowOff>146050</xdr:rowOff>
    </xdr:from>
    <xdr:to>
      <xdr:col>19</xdr:col>
      <xdr:colOff>266701</xdr:colOff>
      <xdr:row>9</xdr:row>
      <xdr:rowOff>40048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043959-A473-49E5-B7B2-8CB4110B0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0901" y="381000"/>
          <a:ext cx="6673850" cy="1437048"/>
        </a:xfrm>
        <a:prstGeom prst="rect">
          <a:avLst/>
        </a:prstGeom>
      </xdr:spPr>
    </xdr:pic>
    <xdr:clientData/>
  </xdr:twoCellAnchor>
  <xdr:twoCellAnchor editAs="oneCell">
    <xdr:from>
      <xdr:col>2</xdr:col>
      <xdr:colOff>406400</xdr:colOff>
      <xdr:row>43</xdr:row>
      <xdr:rowOff>57150</xdr:rowOff>
    </xdr:from>
    <xdr:to>
      <xdr:col>13</xdr:col>
      <xdr:colOff>282922</xdr:colOff>
      <xdr:row>54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3888C0-58E3-4344-BA65-94DBBE34C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2600" y="14344650"/>
          <a:ext cx="9915872" cy="2095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76200</xdr:rowOff>
    </xdr:from>
    <xdr:to>
      <xdr:col>8</xdr:col>
      <xdr:colOff>515471</xdr:colOff>
      <xdr:row>61</xdr:row>
      <xdr:rowOff>164353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BE44BE-2E5F-9703-DEAB-FB6DB451F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709707</xdr:colOff>
      <xdr:row>27</xdr:row>
      <xdr:rowOff>85164</xdr:rowOff>
    </xdr:from>
    <xdr:to>
      <xdr:col>13</xdr:col>
      <xdr:colOff>171824</xdr:colOff>
      <xdr:row>47</xdr:row>
      <xdr:rowOff>44823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4EF7C1-8E85-3399-2D08-45BE01C2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558800</xdr:colOff>
      <xdr:row>1</xdr:row>
      <xdr:rowOff>180974</xdr:rowOff>
    </xdr:from>
    <xdr:to>
      <xdr:col>15</xdr:col>
      <xdr:colOff>247650</xdr:colOff>
      <xdr:row>15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ECDAF8-E649-D378-2C83-4FE0FE1DB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581024</xdr:colOff>
      <xdr:row>16</xdr:row>
      <xdr:rowOff>155574</xdr:rowOff>
    </xdr:from>
    <xdr:to>
      <xdr:col>12</xdr:col>
      <xdr:colOff>431799</xdr:colOff>
      <xdr:row>34</xdr:row>
      <xdr:rowOff>101599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EA28D6-2D2E-0355-B1E3-4F7F3F924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692150</xdr:colOff>
      <xdr:row>36</xdr:row>
      <xdr:rowOff>155574</xdr:rowOff>
    </xdr:from>
    <xdr:to>
      <xdr:col>13</xdr:col>
      <xdr:colOff>6350</xdr:colOff>
      <xdr:row>52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9039B7-21CF-18A2-47BE-60EEEAE2B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1028700</xdr:colOff>
      <xdr:row>54</xdr:row>
      <xdr:rowOff>136525</xdr:rowOff>
    </xdr:from>
    <xdr:to>
      <xdr:col>7</xdr:col>
      <xdr:colOff>133350</xdr:colOff>
      <xdr:row>69</xdr:row>
      <xdr:rowOff>117475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7CDF9A-46AE-A09A-5194-8F66C1564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977900</xdr:colOff>
      <xdr:row>72</xdr:row>
      <xdr:rowOff>136524</xdr:rowOff>
    </xdr:from>
    <xdr:to>
      <xdr:col>11</xdr:col>
      <xdr:colOff>393700</xdr:colOff>
      <xdr:row>90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EF2E04-307D-3FA0-FCBA-DBEBEE831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1111250</xdr:colOff>
      <xdr:row>91</xdr:row>
      <xdr:rowOff>101600</xdr:rowOff>
    </xdr:from>
    <xdr:to>
      <xdr:col>7</xdr:col>
      <xdr:colOff>215900</xdr:colOff>
      <xdr:row>106</xdr:row>
      <xdr:rowOff>82550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18D34D-DF05-D898-B565-07CE9CEF0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901700</xdr:colOff>
      <xdr:row>1</xdr:row>
      <xdr:rowOff>168274</xdr:rowOff>
    </xdr:from>
    <xdr:to>
      <xdr:col>13</xdr:col>
      <xdr:colOff>247650</xdr:colOff>
      <xdr:row>23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EF0932-C342-6EB6-444C-5473716C4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12</xdr:row>
      <xdr:rowOff>168274</xdr:rowOff>
    </xdr:from>
    <xdr:to>
      <xdr:col>3</xdr:col>
      <xdr:colOff>571500</xdr:colOff>
      <xdr:row>33</xdr:row>
      <xdr:rowOff>101599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4A41A5-D8F0-AF4C-0654-3926DC595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111125</xdr:colOff>
      <xdr:row>18</xdr:row>
      <xdr:rowOff>177800</xdr:rowOff>
    </xdr:from>
    <xdr:to>
      <xdr:col>3</xdr:col>
      <xdr:colOff>619125</xdr:colOff>
      <xdr:row>33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76F825-152B-73B4-73CB-0657D6E09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25400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5F82E8-8C66-43A8-86E6-99DD7C466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44451</xdr:colOff>
      <xdr:row>8</xdr:row>
      <xdr:rowOff>171451</xdr:rowOff>
    </xdr:from>
    <xdr:to>
      <xdr:col>12</xdr:col>
      <xdr:colOff>107950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5AC58F-7F9B-4C19-BC27-AC9D3E6C6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44450</xdr:colOff>
      <xdr:row>40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432E34-84F4-47F1-91D5-50D8F1347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12</xdr:col>
      <xdr:colOff>139700</xdr:colOff>
      <xdr:row>40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A659BB-6167-4CE7-ABDE-0B63AF36E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t Garg" refreshedDate="46126.60834525463" createdVersion="8" refreshedVersion="8" minRefreshableVersion="3" recordCount="900" xr:uid="{8F857826-1642-4ED7-B954-89A6143A5318}">
  <cacheSource type="worksheet">
    <worksheetSource name="Inventurdaten"/>
  </cacheSource>
  <cacheFields count="27">
    <cacheField name="Filiale_ID" numFmtId="0">
      <sharedItems/>
    </cacheField>
    <cacheField name="Filiale_Name" numFmtId="0">
      <sharedItems count="6">
        <s v="Filiale Nord"/>
        <s v="Filiale Süd"/>
        <s v="Filiale Ost"/>
        <s v="Filiale West"/>
        <s v="Filiale Zentrum"/>
        <s v="Fialiale West" u="1"/>
      </sharedItems>
    </cacheField>
    <cacheField name="Artikel_ID" numFmtId="0">
      <sharedItems/>
    </cacheField>
    <cacheField name="Artikel_Name" numFmtId="0">
      <sharedItems/>
    </cacheField>
    <cacheField name="Kategorie" numFmtId="0">
      <sharedItems count="6">
        <s v="Milch"/>
        <s v="Butter"/>
        <s v="Käse"/>
        <s v="Joghurt"/>
        <s v="Sahne"/>
        <s v="Quark"/>
      </sharedItems>
    </cacheField>
    <cacheField name="VK_Preis_EUR" numFmtId="164">
      <sharedItems containsSemiMixedTypes="0" containsString="0" containsNumber="1" minValue="0.79" maxValue="2.4900000000000002"/>
    </cacheField>
    <cacheField name="Monat_Nr" numFmtId="0">
      <sharedItems containsSemiMixedTypes="0" containsString="0" containsNumber="1" containsInteger="1" minValue="1" maxValue="12"/>
    </cacheField>
    <cacheField name="Monat_Name" numFmtId="165">
      <sharedItems count="12">
        <s v="Januar"/>
        <s v="Februar"/>
        <s v="März"/>
        <s v="April"/>
        <s v="Mai"/>
        <s v="Juni"/>
        <s v="Juli"/>
        <s v="August"/>
        <s v="September"/>
        <s v="Oktober"/>
        <s v="November"/>
        <s v="Dezember"/>
      </sharedItems>
    </cacheField>
    <cacheField name="Soll_Bestand" numFmtId="0">
      <sharedItems containsSemiMixedTypes="0" containsString="0" containsNumber="1" containsInteger="1" minValue="99" maxValue="1011"/>
    </cacheField>
    <cacheField name="Ist_Bestand" numFmtId="0">
      <sharedItems containsSemiMixedTypes="0" containsString="0" containsNumber="1" containsInteger="1" minValue="96" maxValue="950"/>
    </cacheField>
    <cacheField name="Differenz" numFmtId="0">
      <sharedItems containsSemiMixedTypes="0" containsString="0" containsNumber="1" containsInteger="1" minValue="-63" maxValue="8"/>
    </cacheField>
    <cacheField name="Bestandsabweichung_%" numFmtId="2">
      <sharedItems containsSemiMixedTypes="0" containsString="0" containsNumber="1" minValue="-7.6190476190476195" maxValue="5.9701492537313428"/>
    </cacheField>
    <cacheField name="Abweichung_Typ" numFmtId="49">
      <sharedItems count="3">
        <s v="Schwund"/>
        <s v="Überbestand"/>
        <s v="Perfekt"/>
      </sharedItems>
    </cacheField>
    <cacheField name="Abweichung_Wert_EUR" numFmtId="164">
      <sharedItems containsSemiMixedTypes="0" containsString="0" containsNumber="1" minValue="0" maxValue="74.97"/>
    </cacheField>
    <cacheField name="MHD_Tage" numFmtId="0">
      <sharedItems containsSemiMixedTypes="0" containsString="0" containsNumber="1" containsInteger="1" minValue="0" maxValue="30"/>
    </cacheField>
    <cacheField name="Tage_seit_Lieferung" numFmtId="0">
      <sharedItems containsSemiMixedTypes="0" containsString="0" containsNumber="1" containsInteger="1" minValue="0" maxValue="10"/>
    </cacheField>
    <cacheField name="Freitag_Schwund_EUR" numFmtId="164">
      <sharedItems containsSemiMixedTypes="0" containsString="0" containsNumber="1" minValue="0" maxValue="18.7425"/>
    </cacheField>
    <cacheField name="Samstag_Schwund_EUR" numFmtId="164">
      <sharedItems containsSemiMixedTypes="0" containsString="0" containsNumber="1" minValue="0" maxValue="22.491"/>
    </cacheField>
    <cacheField name="Ereignis" numFmtId="0">
      <sharedItems count="5">
        <s v="Normal"/>
        <s v="Karneval"/>
        <s v="Ostern"/>
        <s v="Black Friday"/>
        <s v="Weihnachten/Silvester"/>
      </sharedItems>
    </cacheField>
    <cacheField name="Kassenfehler_Einfluss" numFmtId="0">
      <sharedItems containsSemiMixedTypes="0" containsString="0" containsNumber="1" containsInteger="1" minValue="0" maxValue="8"/>
    </cacheField>
    <cacheField name="Reduziert_Ja_Nein" numFmtId="0">
      <sharedItems/>
    </cacheField>
    <cacheField name="Rabatt_%" numFmtId="0">
      <sharedItems containsSemiMixedTypes="0" containsString="0" containsNumber="1" containsInteger="1" minValue="0" maxValue="100"/>
    </cacheField>
    <cacheField name="Reduzierter_Preis_EUR" numFmtId="164">
      <sharedItems containsSemiMixedTypes="0" containsString="0" containsNumber="1" minValue="0" maxValue="2.4900000000000002"/>
    </cacheField>
    <cacheField name="Reduzierte_Menge" numFmtId="0">
      <sharedItems containsSemiMixedTypes="0" containsString="0" containsNumber="1" containsInteger="1" minValue="0" maxValue="109"/>
    </cacheField>
    <cacheField name="Umsatzverlust_EUR" numFmtId="164">
      <sharedItems containsSemiMixedTypes="0" containsString="0" containsNumber="1" minValue="0" maxValue="29.88"/>
    </cacheField>
    <cacheField name="MHD_Prozess_Fehler" numFmtId="0">
      <sharedItems count="6">
        <s v="Kein MHD - Prozess"/>
        <s v="Korrekt"/>
        <s v="Zählfehler"/>
        <s v="FIFO - Fehler"/>
        <s v="Produkt Übersehen"/>
        <s v="Eingabefehler"/>
      </sharedItems>
    </cacheField>
    <cacheField name="Ursachen" numFmtId="0">
      <sharedItems count="7">
        <s v="Prozessfehler"/>
        <s v="Buchungsfehler Wareneingang"/>
        <s v="Kassenfehler (Überbestand)"/>
        <s v="Verderb - Abgelaufen"/>
        <s v="MHD - Prozessfehler"/>
        <s v="Normal/Gering"/>
        <s v="Diebstahlrisik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s v="F001"/>
    <x v="0"/>
    <s v="A001"/>
    <s v="Vollmilch 1L"/>
    <x v="0"/>
    <n v="1.19"/>
    <n v="1"/>
    <x v="0"/>
    <n v="455"/>
    <n v="437"/>
    <n v="-18"/>
    <n v="-3.9560439560439558"/>
    <x v="0"/>
    <n v="21.419999999999998"/>
    <n v="6"/>
    <n v="2"/>
    <n v="5.3549999999999995"/>
    <n v="6.4259999999999993"/>
    <x v="0"/>
    <n v="0"/>
    <s v="Nein"/>
    <n v="0"/>
    <n v="1.19"/>
    <n v="0"/>
    <n v="0"/>
    <x v="0"/>
    <x v="0"/>
  </r>
  <r>
    <s v="F001"/>
    <x v="0"/>
    <s v="A001"/>
    <s v="Vollmilch 1L"/>
    <x v="0"/>
    <n v="1.19"/>
    <n v="2"/>
    <x v="1"/>
    <n v="438"/>
    <n v="418"/>
    <n v="-20"/>
    <n v="-4.5662100456620998"/>
    <x v="0"/>
    <n v="23.799999999999997"/>
    <n v="6"/>
    <n v="1"/>
    <n v="5.9499999999999993"/>
    <n v="7.1399999999999988"/>
    <x v="1"/>
    <n v="0"/>
    <s v="Nein"/>
    <n v="0"/>
    <n v="1.19"/>
    <n v="0"/>
    <n v="0"/>
    <x v="0"/>
    <x v="1"/>
  </r>
  <r>
    <s v="F001"/>
    <x v="0"/>
    <s v="A001"/>
    <s v="Vollmilch 1L"/>
    <x v="0"/>
    <n v="1.19"/>
    <n v="3"/>
    <x v="2"/>
    <n v="520"/>
    <n v="524"/>
    <n v="4"/>
    <n v="0.76923076923076927"/>
    <x v="1"/>
    <n v="4.76"/>
    <n v="1"/>
    <n v="2"/>
    <n v="0"/>
    <n v="0"/>
    <x v="0"/>
    <n v="4"/>
    <s v="Ja - 20% Reduzierung"/>
    <n v="20"/>
    <n v="0.95"/>
    <n v="26"/>
    <n v="6.19"/>
    <x v="1"/>
    <x v="2"/>
  </r>
  <r>
    <s v="F001"/>
    <x v="0"/>
    <s v="A001"/>
    <s v="Vollmilch 1L"/>
    <x v="0"/>
    <n v="1.19"/>
    <n v="4"/>
    <x v="3"/>
    <n v="656"/>
    <n v="627"/>
    <n v="-29"/>
    <n v="-4.4207317073170733"/>
    <x v="0"/>
    <n v="34.51"/>
    <n v="4"/>
    <n v="0"/>
    <n v="8.6274999999999995"/>
    <n v="10.353"/>
    <x v="2"/>
    <n v="0"/>
    <s v="Nein"/>
    <n v="0"/>
    <n v="1.19"/>
    <n v="0"/>
    <n v="0"/>
    <x v="0"/>
    <x v="1"/>
  </r>
  <r>
    <s v="F001"/>
    <x v="0"/>
    <s v="A001"/>
    <s v="Vollmilch 1L"/>
    <x v="0"/>
    <n v="1.19"/>
    <n v="5"/>
    <x v="4"/>
    <n v="485"/>
    <n v="463"/>
    <n v="-22"/>
    <n v="-4.536082474226804"/>
    <x v="0"/>
    <n v="26.18"/>
    <n v="0"/>
    <n v="1"/>
    <n v="6.5449999999999999"/>
    <n v="7.8539999999999992"/>
    <x v="0"/>
    <n v="0"/>
    <s v="Abschreibung"/>
    <n v="100"/>
    <n v="0"/>
    <n v="5"/>
    <n v="5.95"/>
    <x v="1"/>
    <x v="3"/>
  </r>
  <r>
    <s v="F001"/>
    <x v="0"/>
    <s v="A001"/>
    <s v="Vollmilch 1L"/>
    <x v="0"/>
    <n v="1.19"/>
    <n v="6"/>
    <x v="5"/>
    <n v="523"/>
    <n v="527"/>
    <n v="4"/>
    <n v="0.76481835564053535"/>
    <x v="1"/>
    <n v="4.76"/>
    <n v="6"/>
    <n v="2"/>
    <n v="0"/>
    <n v="0"/>
    <x v="0"/>
    <n v="4"/>
    <s v="Nein"/>
    <n v="0"/>
    <n v="1.19"/>
    <n v="0"/>
    <n v="0"/>
    <x v="0"/>
    <x v="2"/>
  </r>
  <r>
    <s v="F001"/>
    <x v="0"/>
    <s v="A001"/>
    <s v="Vollmilch 1L"/>
    <x v="0"/>
    <n v="1.19"/>
    <n v="7"/>
    <x v="6"/>
    <n v="600"/>
    <n v="565"/>
    <n v="-35"/>
    <n v="-5.833333333333333"/>
    <x v="0"/>
    <n v="41.65"/>
    <n v="7"/>
    <n v="1"/>
    <n v="10.4125"/>
    <n v="12.494999999999999"/>
    <x v="0"/>
    <n v="0"/>
    <s v="Nein"/>
    <n v="0"/>
    <n v="1.19"/>
    <n v="0"/>
    <n v="0"/>
    <x v="0"/>
    <x v="1"/>
  </r>
  <r>
    <s v="F001"/>
    <x v="0"/>
    <s v="A001"/>
    <s v="Vollmilch 1L"/>
    <x v="0"/>
    <n v="1.19"/>
    <n v="8"/>
    <x v="7"/>
    <n v="604"/>
    <n v="612"/>
    <n v="8"/>
    <n v="1.3245033112582782"/>
    <x v="1"/>
    <n v="9.52"/>
    <n v="3"/>
    <n v="0"/>
    <n v="0"/>
    <n v="0"/>
    <x v="0"/>
    <n v="8"/>
    <s v="Ja - 20% Reduzierung"/>
    <n v="20"/>
    <n v="0.95"/>
    <n v="48"/>
    <n v="11.42"/>
    <x v="1"/>
    <x v="2"/>
  </r>
  <r>
    <s v="F001"/>
    <x v="0"/>
    <s v="A001"/>
    <s v="Vollmilch 1L"/>
    <x v="0"/>
    <n v="1.19"/>
    <n v="9"/>
    <x v="8"/>
    <n v="470"/>
    <n v="443"/>
    <n v="-27"/>
    <n v="-5.7446808510638299"/>
    <x v="0"/>
    <n v="32.129999999999995"/>
    <n v="5"/>
    <n v="3"/>
    <n v="8.0324999999999989"/>
    <n v="9.6389999999999976"/>
    <x v="0"/>
    <n v="0"/>
    <s v="Nein"/>
    <n v="0"/>
    <n v="1.19"/>
    <n v="0"/>
    <n v="0"/>
    <x v="0"/>
    <x v="0"/>
  </r>
  <r>
    <s v="F001"/>
    <x v="0"/>
    <s v="A001"/>
    <s v="Vollmilch 1L"/>
    <x v="0"/>
    <n v="1.19"/>
    <n v="10"/>
    <x v="9"/>
    <n v="505"/>
    <n v="511"/>
    <n v="6"/>
    <n v="1.1881188118811881"/>
    <x v="1"/>
    <n v="7.14"/>
    <n v="0"/>
    <n v="1"/>
    <n v="0"/>
    <n v="0"/>
    <x v="0"/>
    <n v="6"/>
    <s v="Abschreibung"/>
    <n v="100"/>
    <n v="0"/>
    <n v="5"/>
    <n v="5.95"/>
    <x v="1"/>
    <x v="3"/>
  </r>
  <r>
    <s v="F001"/>
    <x v="0"/>
    <s v="A001"/>
    <s v="Vollmilch 1L"/>
    <x v="0"/>
    <n v="1.19"/>
    <n v="11"/>
    <x v="10"/>
    <n v="578"/>
    <n v="555"/>
    <n v="-23"/>
    <n v="-3.9792387543252596"/>
    <x v="0"/>
    <n v="27.369999999999997"/>
    <n v="6"/>
    <n v="0"/>
    <n v="6.8424999999999994"/>
    <n v="8.2109999999999985"/>
    <x v="3"/>
    <n v="0"/>
    <s v="Nein"/>
    <n v="0"/>
    <n v="1.19"/>
    <n v="0"/>
    <n v="0"/>
    <x v="0"/>
    <x v="1"/>
  </r>
  <r>
    <s v="F001"/>
    <x v="0"/>
    <s v="A001"/>
    <s v="Vollmilch 1L"/>
    <x v="0"/>
    <n v="1.19"/>
    <n v="12"/>
    <x v="11"/>
    <n v="707"/>
    <n v="668"/>
    <n v="-39"/>
    <n v="-5.5162659123055162"/>
    <x v="0"/>
    <n v="46.41"/>
    <n v="4"/>
    <n v="1"/>
    <n v="11.602499999999999"/>
    <n v="13.922999999999998"/>
    <x v="4"/>
    <n v="0"/>
    <s v="Nein"/>
    <n v="0"/>
    <n v="1.19"/>
    <n v="0"/>
    <n v="0"/>
    <x v="0"/>
    <x v="1"/>
  </r>
  <r>
    <s v="F001"/>
    <x v="0"/>
    <s v="A002"/>
    <s v="Fettarme Milch 1L"/>
    <x v="0"/>
    <n v="1.0900000000000001"/>
    <n v="1"/>
    <x v="0"/>
    <n v="389"/>
    <n v="372"/>
    <n v="-17"/>
    <n v="-4.3701799485861184"/>
    <x v="0"/>
    <n v="18.53"/>
    <n v="3"/>
    <n v="3"/>
    <n v="4.6325000000000003"/>
    <n v="5.5590000000000002"/>
    <x v="0"/>
    <n v="0"/>
    <s v="Ja - 20% Reduzierung"/>
    <n v="20"/>
    <n v="0.87"/>
    <n v="58"/>
    <n v="12.64"/>
    <x v="1"/>
    <x v="0"/>
  </r>
  <r>
    <s v="F001"/>
    <x v="0"/>
    <s v="A002"/>
    <s v="Fettarme Milch 1L"/>
    <x v="0"/>
    <n v="1.0900000000000001"/>
    <n v="2"/>
    <x v="1"/>
    <n v="371"/>
    <n v="375"/>
    <n v="4"/>
    <n v="1.0781671159029651"/>
    <x v="1"/>
    <n v="4.3600000000000003"/>
    <n v="0"/>
    <n v="2"/>
    <n v="0"/>
    <n v="0"/>
    <x v="1"/>
    <n v="4"/>
    <s v="Abschreibung"/>
    <n v="100"/>
    <n v="0"/>
    <n v="4"/>
    <n v="4.3600000000000003"/>
    <x v="1"/>
    <x v="3"/>
  </r>
  <r>
    <s v="F001"/>
    <x v="0"/>
    <s v="A002"/>
    <s v="Fettarme Milch 1L"/>
    <x v="0"/>
    <n v="1.0900000000000001"/>
    <n v="3"/>
    <x v="2"/>
    <n v="473"/>
    <n v="449"/>
    <n v="-24"/>
    <n v="-5.07399577167019"/>
    <x v="0"/>
    <n v="26.160000000000004"/>
    <n v="2"/>
    <n v="3"/>
    <n v="6.5400000000000009"/>
    <n v="7.8480000000000008"/>
    <x v="0"/>
    <n v="0"/>
    <s v="Ja - 20% Reduzierung"/>
    <n v="20"/>
    <n v="0.87"/>
    <n v="57"/>
    <n v="12.43"/>
    <x v="1"/>
    <x v="0"/>
  </r>
  <r>
    <s v="F001"/>
    <x v="0"/>
    <s v="A002"/>
    <s v="Fettarme Milch 1L"/>
    <x v="0"/>
    <n v="1.0900000000000001"/>
    <n v="4"/>
    <x v="3"/>
    <n v="557"/>
    <n v="527"/>
    <n v="-30"/>
    <n v="-5.3859964093357267"/>
    <x v="0"/>
    <n v="32.700000000000003"/>
    <n v="3"/>
    <n v="2"/>
    <n v="8.1750000000000007"/>
    <n v="9.81"/>
    <x v="2"/>
    <n v="0"/>
    <s v="Ja - 20% Reduzierung"/>
    <n v="20"/>
    <n v="0.87"/>
    <n v="61"/>
    <n v="13.3"/>
    <x v="2"/>
    <x v="4"/>
  </r>
  <r>
    <s v="F001"/>
    <x v="0"/>
    <s v="A002"/>
    <s v="Fettarme Milch 1L"/>
    <x v="0"/>
    <n v="1.0900000000000001"/>
    <n v="5"/>
    <x v="4"/>
    <n v="428"/>
    <n v="428"/>
    <n v="0"/>
    <n v="0"/>
    <x v="2"/>
    <n v="0"/>
    <n v="3"/>
    <n v="3"/>
    <n v="0"/>
    <n v="0"/>
    <x v="0"/>
    <n v="0"/>
    <s v="Ja - 20% Reduzierung"/>
    <n v="20"/>
    <n v="0.87"/>
    <n v="30"/>
    <n v="6.54"/>
    <x v="1"/>
    <x v="5"/>
  </r>
  <r>
    <s v="F001"/>
    <x v="0"/>
    <s v="A002"/>
    <s v="Fettarme Milch 1L"/>
    <x v="0"/>
    <n v="1.0900000000000001"/>
    <n v="6"/>
    <x v="5"/>
    <n v="510"/>
    <n v="489"/>
    <n v="-21"/>
    <n v="-4.117647058823529"/>
    <x v="0"/>
    <n v="22.89"/>
    <n v="1"/>
    <n v="2"/>
    <n v="5.7225000000000001"/>
    <n v="6.867"/>
    <x v="0"/>
    <n v="0"/>
    <s v="Ja - 20% Reduzierung"/>
    <n v="20"/>
    <n v="0.87"/>
    <n v="61"/>
    <n v="13.3"/>
    <x v="1"/>
    <x v="0"/>
  </r>
  <r>
    <s v="F001"/>
    <x v="0"/>
    <s v="A002"/>
    <s v="Fettarme Milch 1L"/>
    <x v="0"/>
    <n v="1.0900000000000001"/>
    <n v="7"/>
    <x v="6"/>
    <n v="562"/>
    <n v="528"/>
    <n v="-34"/>
    <n v="-6.0498220640569391"/>
    <x v="0"/>
    <n v="37.06"/>
    <n v="7"/>
    <n v="3"/>
    <n v="9.2650000000000006"/>
    <n v="11.118"/>
    <x v="0"/>
    <n v="0"/>
    <s v="Nein"/>
    <n v="0"/>
    <n v="1.0900000000000001"/>
    <n v="0"/>
    <n v="0"/>
    <x v="0"/>
    <x v="0"/>
  </r>
  <r>
    <s v="F001"/>
    <x v="0"/>
    <s v="A002"/>
    <s v="Fettarme Milch 1L"/>
    <x v="0"/>
    <n v="1.0900000000000001"/>
    <n v="8"/>
    <x v="7"/>
    <n v="492"/>
    <n v="492"/>
    <n v="0"/>
    <n v="0"/>
    <x v="2"/>
    <n v="0"/>
    <n v="0"/>
    <n v="0"/>
    <n v="0"/>
    <n v="0"/>
    <x v="0"/>
    <n v="0"/>
    <s v="Abschreibung"/>
    <n v="100"/>
    <n v="0"/>
    <n v="10"/>
    <n v="10.9"/>
    <x v="3"/>
    <x v="3"/>
  </r>
  <r>
    <s v="F001"/>
    <x v="0"/>
    <s v="A002"/>
    <s v="Fettarme Milch 1L"/>
    <x v="0"/>
    <n v="1.0900000000000001"/>
    <n v="9"/>
    <x v="8"/>
    <n v="449"/>
    <n v="429"/>
    <n v="-20"/>
    <n v="-4.4543429844097995"/>
    <x v="0"/>
    <n v="21.8"/>
    <n v="6"/>
    <n v="2"/>
    <n v="5.45"/>
    <n v="6.54"/>
    <x v="0"/>
    <n v="0"/>
    <s v="Nein"/>
    <n v="0"/>
    <n v="1.0900000000000001"/>
    <n v="0"/>
    <n v="0"/>
    <x v="0"/>
    <x v="0"/>
  </r>
  <r>
    <s v="F001"/>
    <x v="0"/>
    <s v="A002"/>
    <s v="Fettarme Milch 1L"/>
    <x v="0"/>
    <n v="1.0900000000000001"/>
    <n v="10"/>
    <x v="9"/>
    <n v="473"/>
    <n v="451"/>
    <n v="-22"/>
    <n v="-4.6511627906976747"/>
    <x v="0"/>
    <n v="23.98"/>
    <n v="7"/>
    <n v="3"/>
    <n v="5.9950000000000001"/>
    <n v="7.194"/>
    <x v="0"/>
    <n v="0"/>
    <s v="Nein"/>
    <n v="0"/>
    <n v="1.0900000000000001"/>
    <n v="0"/>
    <n v="0"/>
    <x v="0"/>
    <x v="0"/>
  </r>
  <r>
    <s v="F001"/>
    <x v="0"/>
    <s v="A002"/>
    <s v="Fettarme Milch 1L"/>
    <x v="0"/>
    <n v="1.0900000000000001"/>
    <n v="11"/>
    <x v="10"/>
    <n v="490"/>
    <n v="471"/>
    <n v="-19"/>
    <n v="-3.8775510204081631"/>
    <x v="0"/>
    <n v="20.71"/>
    <n v="5"/>
    <n v="2"/>
    <n v="5.1775000000000002"/>
    <n v="6.2130000000000001"/>
    <x v="3"/>
    <n v="0"/>
    <s v="Nein"/>
    <n v="0"/>
    <n v="1.0900000000000001"/>
    <n v="0"/>
    <n v="0"/>
    <x v="0"/>
    <x v="0"/>
  </r>
  <r>
    <s v="F001"/>
    <x v="0"/>
    <s v="A002"/>
    <s v="Fettarme Milch 1L"/>
    <x v="0"/>
    <n v="1.0900000000000001"/>
    <n v="12"/>
    <x v="11"/>
    <n v="630"/>
    <n v="582"/>
    <n v="-48"/>
    <n v="-7.6190476190476195"/>
    <x v="0"/>
    <n v="52.320000000000007"/>
    <n v="1"/>
    <n v="0"/>
    <n v="13.080000000000002"/>
    <n v="15.696000000000002"/>
    <x v="4"/>
    <n v="0"/>
    <s v="Ja - 20% Reduzierung"/>
    <n v="20"/>
    <n v="0.87"/>
    <n v="32"/>
    <n v="6.98"/>
    <x v="1"/>
    <x v="1"/>
  </r>
  <r>
    <s v="F001"/>
    <x v="0"/>
    <s v="A003"/>
    <s v="Bio-Milch 1L"/>
    <x v="0"/>
    <n v="1.59"/>
    <n v="1"/>
    <x v="0"/>
    <n v="184"/>
    <n v="179"/>
    <n v="-5"/>
    <n v="-2.7173913043478262"/>
    <x v="0"/>
    <n v="7.95"/>
    <n v="1"/>
    <n v="2"/>
    <n v="1.9875"/>
    <n v="2.3849999999999998"/>
    <x v="0"/>
    <n v="0"/>
    <s v="Ja - 20% Reduzierung"/>
    <n v="20"/>
    <n v="1.27"/>
    <n v="24"/>
    <n v="7.63"/>
    <x v="1"/>
    <x v="0"/>
  </r>
  <r>
    <s v="F001"/>
    <x v="0"/>
    <s v="A003"/>
    <s v="Bio-Milch 1L"/>
    <x v="0"/>
    <n v="1.59"/>
    <n v="2"/>
    <x v="1"/>
    <n v="163"/>
    <n v="157"/>
    <n v="-6"/>
    <n v="-3.6809815950920246"/>
    <x v="0"/>
    <n v="9.5400000000000009"/>
    <n v="7"/>
    <n v="1"/>
    <n v="2.3850000000000002"/>
    <n v="2.8620000000000001"/>
    <x v="1"/>
    <n v="0"/>
    <s v="Nein"/>
    <n v="0"/>
    <n v="1.59"/>
    <n v="0"/>
    <n v="0"/>
    <x v="0"/>
    <x v="1"/>
  </r>
  <r>
    <s v="F001"/>
    <x v="0"/>
    <s v="A003"/>
    <s v="Bio-Milch 1L"/>
    <x v="0"/>
    <n v="1.59"/>
    <n v="3"/>
    <x v="2"/>
    <n v="204"/>
    <n v="210"/>
    <n v="6"/>
    <n v="2.9411764705882351"/>
    <x v="1"/>
    <n v="9.5400000000000009"/>
    <n v="6"/>
    <n v="2"/>
    <n v="0"/>
    <n v="0"/>
    <x v="0"/>
    <n v="6"/>
    <s v="Nein"/>
    <n v="0"/>
    <n v="1.59"/>
    <n v="0"/>
    <n v="0"/>
    <x v="0"/>
    <x v="2"/>
  </r>
  <r>
    <s v="F001"/>
    <x v="0"/>
    <s v="A003"/>
    <s v="Bio-Milch 1L"/>
    <x v="0"/>
    <n v="1.59"/>
    <n v="4"/>
    <x v="3"/>
    <n v="238"/>
    <n v="225"/>
    <n v="-13"/>
    <n v="-5.46218487394958"/>
    <x v="0"/>
    <n v="20.67"/>
    <n v="1"/>
    <n v="2"/>
    <n v="5.1675000000000004"/>
    <n v="6.2010000000000005"/>
    <x v="2"/>
    <n v="0"/>
    <s v="Ja - 20% Reduzierung"/>
    <n v="20"/>
    <n v="1.27"/>
    <n v="33"/>
    <n v="10.49"/>
    <x v="1"/>
    <x v="0"/>
  </r>
  <r>
    <s v="F001"/>
    <x v="0"/>
    <s v="A003"/>
    <s v="Bio-Milch 1L"/>
    <x v="0"/>
    <n v="1.59"/>
    <n v="5"/>
    <x v="4"/>
    <n v="204"/>
    <n v="207"/>
    <n v="3"/>
    <n v="1.4705882352941175"/>
    <x v="1"/>
    <n v="4.7700000000000005"/>
    <n v="1"/>
    <n v="2"/>
    <n v="0"/>
    <n v="0"/>
    <x v="0"/>
    <n v="3"/>
    <s v="Ja - 20% Reduzierung"/>
    <n v="20"/>
    <n v="1.27"/>
    <n v="18"/>
    <n v="5.72"/>
    <x v="1"/>
    <x v="2"/>
  </r>
  <r>
    <s v="F001"/>
    <x v="0"/>
    <s v="A003"/>
    <s v="Bio-Milch 1L"/>
    <x v="0"/>
    <n v="1.59"/>
    <n v="6"/>
    <x v="5"/>
    <n v="224"/>
    <n v="214"/>
    <n v="-10"/>
    <n v="-4.4642857142857144"/>
    <x v="0"/>
    <n v="15.9"/>
    <n v="1"/>
    <n v="3"/>
    <n v="3.9750000000000001"/>
    <n v="4.7699999999999996"/>
    <x v="0"/>
    <n v="0"/>
    <s v="Ja - 20% Reduzierung"/>
    <n v="20"/>
    <n v="1.27"/>
    <n v="16"/>
    <n v="5.09"/>
    <x v="1"/>
    <x v="0"/>
  </r>
  <r>
    <s v="F001"/>
    <x v="0"/>
    <s v="A003"/>
    <s v="Bio-Milch 1L"/>
    <x v="0"/>
    <n v="1.59"/>
    <n v="7"/>
    <x v="6"/>
    <n v="247"/>
    <n v="233"/>
    <n v="-14"/>
    <n v="-5.668016194331984"/>
    <x v="0"/>
    <n v="22.26"/>
    <n v="5"/>
    <n v="3"/>
    <n v="5.5650000000000004"/>
    <n v="6.6779999999999999"/>
    <x v="0"/>
    <n v="0"/>
    <s v="Nein"/>
    <n v="0"/>
    <n v="1.59"/>
    <n v="0"/>
    <n v="0"/>
    <x v="0"/>
    <x v="0"/>
  </r>
  <r>
    <s v="F001"/>
    <x v="0"/>
    <s v="A003"/>
    <s v="Bio-Milch 1L"/>
    <x v="0"/>
    <n v="1.59"/>
    <n v="8"/>
    <x v="7"/>
    <n v="225"/>
    <n v="229"/>
    <n v="4"/>
    <n v="1.7777777777777777"/>
    <x v="1"/>
    <n v="6.36"/>
    <n v="7"/>
    <n v="1"/>
    <n v="0"/>
    <n v="0"/>
    <x v="0"/>
    <n v="4"/>
    <s v="Nein"/>
    <n v="0"/>
    <n v="1.59"/>
    <n v="0"/>
    <n v="0"/>
    <x v="0"/>
    <x v="2"/>
  </r>
  <r>
    <s v="F001"/>
    <x v="0"/>
    <s v="A003"/>
    <s v="Bio-Milch 1L"/>
    <x v="0"/>
    <n v="1.59"/>
    <n v="9"/>
    <x v="8"/>
    <n v="186"/>
    <n v="181"/>
    <n v="-5"/>
    <n v="-2.6881720430107525"/>
    <x v="0"/>
    <n v="7.95"/>
    <n v="7"/>
    <n v="1"/>
    <n v="1.9875"/>
    <n v="2.3849999999999998"/>
    <x v="0"/>
    <n v="0"/>
    <s v="Nein"/>
    <n v="0"/>
    <n v="1.59"/>
    <n v="0"/>
    <n v="0"/>
    <x v="0"/>
    <x v="1"/>
  </r>
  <r>
    <s v="F001"/>
    <x v="0"/>
    <s v="A003"/>
    <s v="Bio-Milch 1L"/>
    <x v="0"/>
    <n v="1.59"/>
    <n v="10"/>
    <x v="9"/>
    <n v="196"/>
    <n v="189"/>
    <n v="-7"/>
    <n v="-3.5714285714285712"/>
    <x v="0"/>
    <n v="11.13"/>
    <n v="6"/>
    <n v="0"/>
    <n v="2.7825000000000002"/>
    <n v="3.339"/>
    <x v="0"/>
    <n v="0"/>
    <s v="Nein"/>
    <n v="0"/>
    <n v="1.59"/>
    <n v="0"/>
    <n v="0"/>
    <x v="0"/>
    <x v="1"/>
  </r>
  <r>
    <s v="F001"/>
    <x v="0"/>
    <s v="A003"/>
    <s v="Bio-Milch 1L"/>
    <x v="0"/>
    <n v="1.59"/>
    <n v="11"/>
    <x v="10"/>
    <n v="213"/>
    <n v="217"/>
    <n v="4"/>
    <n v="1.8779342723004695"/>
    <x v="1"/>
    <n v="6.36"/>
    <n v="1"/>
    <n v="1"/>
    <n v="0"/>
    <n v="0"/>
    <x v="3"/>
    <n v="4"/>
    <s v="Ja - 20% Reduzierung"/>
    <n v="20"/>
    <n v="1.27"/>
    <n v="32"/>
    <n v="10.18"/>
    <x v="1"/>
    <x v="2"/>
  </r>
  <r>
    <s v="F001"/>
    <x v="0"/>
    <s v="A003"/>
    <s v="Bio-Milch 1L"/>
    <x v="0"/>
    <n v="1.59"/>
    <n v="12"/>
    <x v="11"/>
    <n v="266"/>
    <n v="266"/>
    <n v="0"/>
    <n v="0"/>
    <x v="2"/>
    <n v="0"/>
    <n v="7"/>
    <n v="1"/>
    <n v="0"/>
    <n v="0"/>
    <x v="4"/>
    <n v="0"/>
    <s v="Nein"/>
    <n v="0"/>
    <n v="1.59"/>
    <n v="0"/>
    <n v="0"/>
    <x v="0"/>
    <x v="5"/>
  </r>
  <r>
    <s v="F001"/>
    <x v="0"/>
    <s v="A004"/>
    <s v="Butter 250g"/>
    <x v="1"/>
    <n v="2.29"/>
    <n v="1"/>
    <x v="0"/>
    <n v="367"/>
    <n v="365"/>
    <n v="-2"/>
    <n v="-0.54495912806539504"/>
    <x v="0"/>
    <n v="4.58"/>
    <n v="25"/>
    <n v="6"/>
    <n v="1.145"/>
    <n v="1.3739999999999999"/>
    <x v="0"/>
    <n v="0"/>
    <s v="Nein"/>
    <n v="0"/>
    <n v="2.29"/>
    <n v="0"/>
    <n v="0"/>
    <x v="0"/>
    <x v="5"/>
  </r>
  <r>
    <s v="F001"/>
    <x v="0"/>
    <s v="A004"/>
    <s v="Butter 250g"/>
    <x v="1"/>
    <n v="2.29"/>
    <n v="2"/>
    <x v="1"/>
    <n v="354"/>
    <n v="351"/>
    <n v="-3"/>
    <n v="-0.84745762711864403"/>
    <x v="0"/>
    <n v="6.87"/>
    <n v="8"/>
    <n v="10"/>
    <n v="1.7175"/>
    <n v="2.0609999999999999"/>
    <x v="1"/>
    <n v="0"/>
    <s v="Nein"/>
    <n v="0"/>
    <n v="2.29"/>
    <n v="0"/>
    <n v="0"/>
    <x v="0"/>
    <x v="5"/>
  </r>
  <r>
    <s v="F001"/>
    <x v="0"/>
    <s v="A004"/>
    <s v="Butter 250g"/>
    <x v="1"/>
    <n v="2.29"/>
    <n v="3"/>
    <x v="2"/>
    <n v="433"/>
    <n v="429"/>
    <n v="-4"/>
    <n v="-0.92378752886836024"/>
    <x v="0"/>
    <n v="9.16"/>
    <n v="12"/>
    <n v="1"/>
    <n v="2.29"/>
    <n v="2.7479999999999998"/>
    <x v="0"/>
    <n v="0"/>
    <s v="Nein"/>
    <n v="0"/>
    <n v="2.29"/>
    <n v="0"/>
    <n v="0"/>
    <x v="0"/>
    <x v="5"/>
  </r>
  <r>
    <s v="F001"/>
    <x v="0"/>
    <s v="A004"/>
    <s v="Butter 250g"/>
    <x v="1"/>
    <n v="2.29"/>
    <n v="4"/>
    <x v="3"/>
    <n v="485"/>
    <n v="475"/>
    <n v="-10"/>
    <n v="-2.0618556701030926"/>
    <x v="0"/>
    <n v="22.9"/>
    <n v="8"/>
    <n v="5"/>
    <n v="5.7249999999999996"/>
    <n v="6.8699999999999992"/>
    <x v="2"/>
    <n v="0"/>
    <s v="Nein"/>
    <n v="0"/>
    <n v="2.29"/>
    <n v="0"/>
    <n v="0"/>
    <x v="0"/>
    <x v="0"/>
  </r>
  <r>
    <s v="F001"/>
    <x v="0"/>
    <s v="A004"/>
    <s v="Butter 250g"/>
    <x v="1"/>
    <n v="2.29"/>
    <n v="5"/>
    <x v="4"/>
    <n v="404"/>
    <n v="398"/>
    <n v="-6"/>
    <n v="-1.4851485148514851"/>
    <x v="0"/>
    <n v="13.74"/>
    <n v="25"/>
    <n v="9"/>
    <n v="3.4350000000000001"/>
    <n v="4.1219999999999999"/>
    <x v="0"/>
    <n v="0"/>
    <s v="Nein"/>
    <n v="0"/>
    <n v="2.29"/>
    <n v="0"/>
    <n v="0"/>
    <x v="0"/>
    <x v="5"/>
  </r>
  <r>
    <s v="F001"/>
    <x v="0"/>
    <s v="A004"/>
    <s v="Butter 250g"/>
    <x v="1"/>
    <n v="2.29"/>
    <n v="6"/>
    <x v="5"/>
    <n v="418"/>
    <n v="413"/>
    <n v="-5"/>
    <n v="-1.1961722488038278"/>
    <x v="0"/>
    <n v="11.45"/>
    <n v="16"/>
    <n v="4"/>
    <n v="2.8624999999999998"/>
    <n v="3.4349999999999996"/>
    <x v="0"/>
    <n v="0"/>
    <s v="Nein"/>
    <n v="0"/>
    <n v="2.29"/>
    <n v="0"/>
    <n v="0"/>
    <x v="0"/>
    <x v="5"/>
  </r>
  <r>
    <s v="F001"/>
    <x v="0"/>
    <s v="A004"/>
    <s v="Butter 250g"/>
    <x v="1"/>
    <n v="2.29"/>
    <n v="7"/>
    <x v="6"/>
    <n v="475"/>
    <n v="470"/>
    <n v="-5"/>
    <n v="-1.0526315789473684"/>
    <x v="0"/>
    <n v="11.45"/>
    <n v="16"/>
    <n v="1"/>
    <n v="2.8624999999999998"/>
    <n v="3.4349999999999996"/>
    <x v="0"/>
    <n v="0"/>
    <s v="Nein"/>
    <n v="0"/>
    <n v="2.29"/>
    <n v="0"/>
    <n v="0"/>
    <x v="0"/>
    <x v="5"/>
  </r>
  <r>
    <s v="F001"/>
    <x v="0"/>
    <s v="A004"/>
    <s v="Butter 250g"/>
    <x v="1"/>
    <n v="2.29"/>
    <n v="8"/>
    <x v="7"/>
    <n v="446"/>
    <n v="441"/>
    <n v="-5"/>
    <n v="-1.1210762331838564"/>
    <x v="0"/>
    <n v="11.45"/>
    <n v="11"/>
    <n v="3"/>
    <n v="2.8624999999999998"/>
    <n v="3.4349999999999996"/>
    <x v="0"/>
    <n v="0"/>
    <s v="Nein"/>
    <n v="0"/>
    <n v="2.29"/>
    <n v="0"/>
    <n v="0"/>
    <x v="0"/>
    <x v="5"/>
  </r>
  <r>
    <s v="F001"/>
    <x v="0"/>
    <s v="A004"/>
    <s v="Butter 250g"/>
    <x v="1"/>
    <n v="2.29"/>
    <n v="9"/>
    <x v="8"/>
    <n v="395"/>
    <n v="390"/>
    <n v="-5"/>
    <n v="-1.2658227848101267"/>
    <x v="0"/>
    <n v="11.45"/>
    <n v="27"/>
    <n v="8"/>
    <n v="2.8624999999999998"/>
    <n v="3.4349999999999996"/>
    <x v="0"/>
    <n v="0"/>
    <s v="Nein"/>
    <n v="0"/>
    <n v="2.29"/>
    <n v="0"/>
    <n v="0"/>
    <x v="0"/>
    <x v="5"/>
  </r>
  <r>
    <s v="F001"/>
    <x v="0"/>
    <s v="A004"/>
    <s v="Butter 250g"/>
    <x v="1"/>
    <n v="2.29"/>
    <n v="10"/>
    <x v="9"/>
    <n v="396"/>
    <n v="388"/>
    <n v="-8"/>
    <n v="-2.0202020202020203"/>
    <x v="0"/>
    <n v="18.32"/>
    <n v="24"/>
    <n v="7"/>
    <n v="4.58"/>
    <n v="5.4959999999999996"/>
    <x v="0"/>
    <n v="0"/>
    <s v="Nein"/>
    <n v="0"/>
    <n v="2.29"/>
    <n v="0"/>
    <n v="0"/>
    <x v="0"/>
    <x v="0"/>
  </r>
  <r>
    <s v="F001"/>
    <x v="0"/>
    <s v="A004"/>
    <s v="Butter 250g"/>
    <x v="1"/>
    <n v="2.29"/>
    <n v="11"/>
    <x v="10"/>
    <n v="449"/>
    <n v="449"/>
    <n v="0"/>
    <n v="0"/>
    <x v="2"/>
    <n v="0"/>
    <n v="14"/>
    <n v="6"/>
    <n v="0"/>
    <n v="0"/>
    <x v="3"/>
    <n v="0"/>
    <s v="Nein"/>
    <n v="0"/>
    <n v="2.29"/>
    <n v="0"/>
    <n v="0"/>
    <x v="0"/>
    <x v="5"/>
  </r>
  <r>
    <s v="F001"/>
    <x v="0"/>
    <s v="A004"/>
    <s v="Butter 250g"/>
    <x v="1"/>
    <n v="2.29"/>
    <n v="12"/>
    <x v="11"/>
    <n v="588"/>
    <n v="595"/>
    <n v="7"/>
    <n v="1.1904761904761905"/>
    <x v="1"/>
    <n v="16.03"/>
    <n v="19"/>
    <n v="7"/>
    <n v="0"/>
    <n v="0"/>
    <x v="4"/>
    <n v="7"/>
    <s v="Nein"/>
    <n v="0"/>
    <n v="2.29"/>
    <n v="0"/>
    <n v="0"/>
    <x v="0"/>
    <x v="2"/>
  </r>
  <r>
    <s v="F001"/>
    <x v="0"/>
    <s v="A005"/>
    <s v="Gouda 200g"/>
    <x v="2"/>
    <n v="1.99"/>
    <n v="1"/>
    <x v="0"/>
    <n v="270"/>
    <n v="266"/>
    <n v="-4"/>
    <n v="-1.4814814814814816"/>
    <x v="0"/>
    <n v="7.96"/>
    <n v="15"/>
    <n v="3"/>
    <n v="1.99"/>
    <n v="2.3879999999999999"/>
    <x v="0"/>
    <n v="0"/>
    <s v="Nein"/>
    <n v="0"/>
    <n v="1.99"/>
    <n v="0"/>
    <n v="0"/>
    <x v="0"/>
    <x v="5"/>
  </r>
  <r>
    <s v="F001"/>
    <x v="0"/>
    <s v="A005"/>
    <s v="Gouda 200g"/>
    <x v="2"/>
    <n v="1.99"/>
    <n v="2"/>
    <x v="1"/>
    <n v="242"/>
    <n v="242"/>
    <n v="0"/>
    <n v="0"/>
    <x v="2"/>
    <n v="0"/>
    <n v="18"/>
    <n v="7"/>
    <n v="0"/>
    <n v="0"/>
    <x v="1"/>
    <n v="0"/>
    <s v="Nein"/>
    <n v="0"/>
    <n v="1.99"/>
    <n v="0"/>
    <n v="0"/>
    <x v="0"/>
    <x v="5"/>
  </r>
  <r>
    <s v="F001"/>
    <x v="0"/>
    <s v="A005"/>
    <s v="Gouda 200g"/>
    <x v="2"/>
    <n v="1.99"/>
    <n v="3"/>
    <x v="2"/>
    <n v="318"/>
    <n v="318"/>
    <n v="0"/>
    <n v="0"/>
    <x v="2"/>
    <n v="0"/>
    <n v="1"/>
    <n v="6"/>
    <n v="0"/>
    <n v="0"/>
    <x v="0"/>
    <n v="0"/>
    <s v="Ja - 20% Reduzierung"/>
    <n v="20"/>
    <n v="1.59"/>
    <n v="19"/>
    <n v="7.56"/>
    <x v="1"/>
    <x v="5"/>
  </r>
  <r>
    <s v="F001"/>
    <x v="0"/>
    <s v="A005"/>
    <s v="Gouda 200g"/>
    <x v="2"/>
    <n v="1.99"/>
    <n v="4"/>
    <x v="3"/>
    <n v="356"/>
    <n v="351"/>
    <n v="-5"/>
    <n v="-1.4044943820224718"/>
    <x v="0"/>
    <n v="9.9499999999999993"/>
    <n v="10"/>
    <n v="0"/>
    <n v="2.4874999999999998"/>
    <n v="2.9849999999999999"/>
    <x v="2"/>
    <n v="0"/>
    <s v="Nein"/>
    <n v="0"/>
    <n v="1.99"/>
    <n v="0"/>
    <n v="0"/>
    <x v="0"/>
    <x v="5"/>
  </r>
  <r>
    <s v="F001"/>
    <x v="0"/>
    <s v="A005"/>
    <s v="Gouda 200g"/>
    <x v="2"/>
    <n v="1.99"/>
    <n v="5"/>
    <x v="4"/>
    <n v="309"/>
    <n v="301"/>
    <n v="-8"/>
    <n v="-2.5889967637540456"/>
    <x v="0"/>
    <n v="15.92"/>
    <n v="14"/>
    <n v="4"/>
    <n v="3.98"/>
    <n v="4.7759999999999998"/>
    <x v="0"/>
    <n v="0"/>
    <s v="Nein"/>
    <n v="0"/>
    <n v="1.99"/>
    <n v="0"/>
    <n v="0"/>
    <x v="0"/>
    <x v="0"/>
  </r>
  <r>
    <s v="F001"/>
    <x v="0"/>
    <s v="A005"/>
    <s v="Gouda 200g"/>
    <x v="2"/>
    <n v="1.99"/>
    <n v="6"/>
    <x v="5"/>
    <n v="337"/>
    <n v="326"/>
    <n v="-11"/>
    <n v="-3.2640949554896146"/>
    <x v="0"/>
    <n v="21.89"/>
    <n v="20"/>
    <n v="5"/>
    <n v="5.4725000000000001"/>
    <n v="6.5670000000000002"/>
    <x v="0"/>
    <n v="0"/>
    <s v="Nein"/>
    <n v="0"/>
    <n v="1.99"/>
    <n v="0"/>
    <n v="0"/>
    <x v="0"/>
    <x v="0"/>
  </r>
  <r>
    <s v="F001"/>
    <x v="0"/>
    <s v="A005"/>
    <s v="Gouda 200g"/>
    <x v="2"/>
    <n v="1.99"/>
    <n v="7"/>
    <x v="6"/>
    <n v="364"/>
    <n v="371"/>
    <n v="7"/>
    <n v="1.9230769230769231"/>
    <x v="1"/>
    <n v="13.93"/>
    <n v="14"/>
    <n v="3"/>
    <n v="0"/>
    <n v="0"/>
    <x v="0"/>
    <n v="7"/>
    <s v="Nein"/>
    <n v="0"/>
    <n v="1.99"/>
    <n v="0"/>
    <n v="0"/>
    <x v="0"/>
    <x v="2"/>
  </r>
  <r>
    <s v="F001"/>
    <x v="0"/>
    <s v="A005"/>
    <s v="Gouda 200g"/>
    <x v="2"/>
    <n v="1.99"/>
    <n v="8"/>
    <x v="7"/>
    <n v="338"/>
    <n v="333"/>
    <n v="-5"/>
    <n v="-1.4792899408284024"/>
    <x v="0"/>
    <n v="9.9499999999999993"/>
    <n v="18"/>
    <n v="6"/>
    <n v="2.4874999999999998"/>
    <n v="2.9849999999999999"/>
    <x v="0"/>
    <n v="0"/>
    <s v="Nein"/>
    <n v="0"/>
    <n v="1.99"/>
    <n v="0"/>
    <n v="0"/>
    <x v="0"/>
    <x v="5"/>
  </r>
  <r>
    <s v="F001"/>
    <x v="0"/>
    <s v="A005"/>
    <s v="Gouda 200g"/>
    <x v="2"/>
    <n v="1.99"/>
    <n v="9"/>
    <x v="8"/>
    <n v="296"/>
    <n v="291"/>
    <n v="-5"/>
    <n v="-1.6891891891891893"/>
    <x v="0"/>
    <n v="9.9499999999999993"/>
    <n v="21"/>
    <n v="0"/>
    <n v="2.4874999999999998"/>
    <n v="2.9849999999999999"/>
    <x v="0"/>
    <n v="0"/>
    <s v="Nein"/>
    <n v="0"/>
    <n v="1.99"/>
    <n v="0"/>
    <n v="0"/>
    <x v="0"/>
    <x v="5"/>
  </r>
  <r>
    <s v="F001"/>
    <x v="0"/>
    <s v="A005"/>
    <s v="Gouda 200g"/>
    <x v="2"/>
    <n v="1.99"/>
    <n v="10"/>
    <x v="9"/>
    <n v="288"/>
    <n v="279"/>
    <n v="-9"/>
    <n v="-3.125"/>
    <x v="0"/>
    <n v="17.91"/>
    <n v="4"/>
    <n v="7"/>
    <n v="4.4775"/>
    <n v="5.3730000000000002"/>
    <x v="0"/>
    <n v="0"/>
    <s v="Nein"/>
    <n v="0"/>
    <n v="1.99"/>
    <n v="0"/>
    <n v="0"/>
    <x v="0"/>
    <x v="0"/>
  </r>
  <r>
    <s v="F001"/>
    <x v="0"/>
    <s v="A005"/>
    <s v="Gouda 200g"/>
    <x v="2"/>
    <n v="1.99"/>
    <n v="11"/>
    <x v="10"/>
    <n v="340"/>
    <n v="342"/>
    <n v="2"/>
    <n v="0.58823529411764708"/>
    <x v="1"/>
    <n v="3.98"/>
    <n v="10"/>
    <n v="5"/>
    <n v="0"/>
    <n v="0"/>
    <x v="3"/>
    <n v="2"/>
    <s v="Nein"/>
    <n v="0"/>
    <n v="1.99"/>
    <n v="0"/>
    <n v="0"/>
    <x v="0"/>
    <x v="2"/>
  </r>
  <r>
    <s v="F001"/>
    <x v="0"/>
    <s v="A005"/>
    <s v="Gouda 200g"/>
    <x v="2"/>
    <n v="1.99"/>
    <n v="12"/>
    <x v="11"/>
    <n v="399"/>
    <n v="406"/>
    <n v="7"/>
    <n v="1.7543859649122806"/>
    <x v="1"/>
    <n v="13.93"/>
    <n v="16"/>
    <n v="2"/>
    <n v="0"/>
    <n v="0"/>
    <x v="4"/>
    <n v="7"/>
    <s v="Nein"/>
    <n v="0"/>
    <n v="1.99"/>
    <n v="0"/>
    <n v="0"/>
    <x v="0"/>
    <x v="2"/>
  </r>
  <r>
    <s v="F001"/>
    <x v="0"/>
    <s v="A006"/>
    <s v="Emmentaler 200g"/>
    <x v="2"/>
    <n v="2.4900000000000002"/>
    <n v="1"/>
    <x v="0"/>
    <n v="234"/>
    <n v="232"/>
    <n v="-2"/>
    <n v="-0.85470085470085477"/>
    <x v="0"/>
    <n v="4.9800000000000004"/>
    <n v="6"/>
    <n v="5"/>
    <n v="1.2450000000000001"/>
    <n v="1.494"/>
    <x v="0"/>
    <n v="0"/>
    <s v="Nein"/>
    <n v="0"/>
    <n v="2.4900000000000002"/>
    <n v="0"/>
    <n v="0"/>
    <x v="0"/>
    <x v="5"/>
  </r>
  <r>
    <s v="F001"/>
    <x v="0"/>
    <s v="A006"/>
    <s v="Emmentaler 200g"/>
    <x v="2"/>
    <n v="2.4900000000000002"/>
    <n v="2"/>
    <x v="1"/>
    <n v="202"/>
    <n v="197"/>
    <n v="-5"/>
    <n v="-2.4752475247524752"/>
    <x v="0"/>
    <n v="12.450000000000001"/>
    <n v="20"/>
    <n v="3"/>
    <n v="3.1125000000000003"/>
    <n v="3.7350000000000003"/>
    <x v="1"/>
    <n v="0"/>
    <s v="Nein"/>
    <n v="0"/>
    <n v="2.4900000000000002"/>
    <n v="0"/>
    <n v="0"/>
    <x v="0"/>
    <x v="0"/>
  </r>
  <r>
    <s v="F001"/>
    <x v="0"/>
    <s v="A006"/>
    <s v="Emmentaler 200g"/>
    <x v="2"/>
    <n v="2.4900000000000002"/>
    <n v="3"/>
    <x v="2"/>
    <n v="273"/>
    <n v="268"/>
    <n v="-5"/>
    <n v="-1.8315018315018317"/>
    <x v="0"/>
    <n v="12.450000000000001"/>
    <n v="3"/>
    <n v="0"/>
    <n v="3.1125000000000003"/>
    <n v="3.7350000000000003"/>
    <x v="0"/>
    <n v="0"/>
    <s v="Ja - 20% Reduzierung"/>
    <n v="20"/>
    <n v="1.99"/>
    <n v="25"/>
    <n v="12.45"/>
    <x v="1"/>
    <x v="5"/>
  </r>
  <r>
    <s v="F001"/>
    <x v="0"/>
    <s v="A006"/>
    <s v="Emmentaler 200g"/>
    <x v="2"/>
    <n v="2.4900000000000002"/>
    <n v="4"/>
    <x v="3"/>
    <n v="316"/>
    <n v="305"/>
    <n v="-11"/>
    <n v="-3.481012658227848"/>
    <x v="0"/>
    <n v="27.39"/>
    <n v="0"/>
    <n v="4"/>
    <n v="6.8475000000000001"/>
    <n v="8.2170000000000005"/>
    <x v="2"/>
    <n v="0"/>
    <s v="Abschreibung"/>
    <n v="100"/>
    <n v="0"/>
    <n v="6"/>
    <n v="14.94"/>
    <x v="1"/>
    <x v="3"/>
  </r>
  <r>
    <s v="F001"/>
    <x v="0"/>
    <s v="A006"/>
    <s v="Emmentaler 200g"/>
    <x v="2"/>
    <n v="2.4900000000000002"/>
    <n v="5"/>
    <x v="4"/>
    <n v="260"/>
    <n v="253"/>
    <n v="-7"/>
    <n v="-2.6923076923076925"/>
    <x v="0"/>
    <n v="17.43"/>
    <n v="17"/>
    <n v="5"/>
    <n v="4.3574999999999999"/>
    <n v="5.2290000000000001"/>
    <x v="0"/>
    <n v="0"/>
    <s v="Nein"/>
    <n v="0"/>
    <n v="2.4900000000000002"/>
    <n v="0"/>
    <n v="0"/>
    <x v="0"/>
    <x v="0"/>
  </r>
  <r>
    <s v="F001"/>
    <x v="0"/>
    <s v="A006"/>
    <s v="Emmentaler 200g"/>
    <x v="2"/>
    <n v="2.4900000000000002"/>
    <n v="6"/>
    <x v="5"/>
    <n v="267"/>
    <n v="267"/>
    <n v="0"/>
    <n v="0"/>
    <x v="2"/>
    <n v="0"/>
    <n v="1"/>
    <n v="5"/>
    <n v="0"/>
    <n v="0"/>
    <x v="0"/>
    <n v="0"/>
    <s v="Ja - 20% Reduzierung"/>
    <n v="20"/>
    <n v="1.99"/>
    <n v="16"/>
    <n v="7.97"/>
    <x v="1"/>
    <x v="5"/>
  </r>
  <r>
    <s v="F001"/>
    <x v="0"/>
    <s v="A006"/>
    <s v="Emmentaler 200g"/>
    <x v="2"/>
    <n v="2.4900000000000002"/>
    <n v="7"/>
    <x v="6"/>
    <n v="297"/>
    <n v="287"/>
    <n v="-10"/>
    <n v="-3.3670033670033668"/>
    <x v="0"/>
    <n v="24.900000000000002"/>
    <n v="10"/>
    <n v="7"/>
    <n v="6.2250000000000005"/>
    <n v="7.4700000000000006"/>
    <x v="0"/>
    <n v="0"/>
    <s v="Nein"/>
    <n v="0"/>
    <n v="2.4900000000000002"/>
    <n v="0"/>
    <n v="0"/>
    <x v="0"/>
    <x v="0"/>
  </r>
  <r>
    <s v="F001"/>
    <x v="0"/>
    <s v="A006"/>
    <s v="Emmentaler 200g"/>
    <x v="2"/>
    <n v="2.4900000000000002"/>
    <n v="8"/>
    <x v="7"/>
    <n v="302"/>
    <n v="294"/>
    <n v="-8"/>
    <n v="-2.6490066225165565"/>
    <x v="0"/>
    <n v="19.920000000000002"/>
    <n v="1"/>
    <n v="1"/>
    <n v="4.9800000000000004"/>
    <n v="5.976"/>
    <x v="0"/>
    <n v="0"/>
    <s v="Ja - 20% Reduzierung"/>
    <n v="20"/>
    <n v="1.99"/>
    <n v="33"/>
    <n v="16.43"/>
    <x v="1"/>
    <x v="1"/>
  </r>
  <r>
    <s v="F001"/>
    <x v="0"/>
    <s v="A006"/>
    <s v="Emmentaler 200g"/>
    <x v="2"/>
    <n v="2.4900000000000002"/>
    <n v="9"/>
    <x v="8"/>
    <n v="247"/>
    <n v="251"/>
    <n v="4"/>
    <n v="1.6194331983805668"/>
    <x v="1"/>
    <n v="9.9600000000000009"/>
    <n v="4"/>
    <n v="6"/>
    <n v="0"/>
    <n v="0"/>
    <x v="0"/>
    <n v="4"/>
    <s v="Nein"/>
    <n v="0"/>
    <n v="2.4900000000000002"/>
    <n v="0"/>
    <n v="0"/>
    <x v="0"/>
    <x v="2"/>
  </r>
  <r>
    <s v="F001"/>
    <x v="0"/>
    <s v="A006"/>
    <s v="Emmentaler 200g"/>
    <x v="2"/>
    <n v="2.4900000000000002"/>
    <n v="10"/>
    <x v="9"/>
    <n v="255"/>
    <n v="251"/>
    <n v="-4"/>
    <n v="-1.5686274509803921"/>
    <x v="0"/>
    <n v="9.9600000000000009"/>
    <n v="7"/>
    <n v="3"/>
    <n v="2.4900000000000002"/>
    <n v="2.988"/>
    <x v="0"/>
    <n v="0"/>
    <s v="Nein"/>
    <n v="0"/>
    <n v="2.4900000000000002"/>
    <n v="0"/>
    <n v="0"/>
    <x v="0"/>
    <x v="5"/>
  </r>
  <r>
    <s v="F001"/>
    <x v="0"/>
    <s v="A006"/>
    <s v="Emmentaler 200g"/>
    <x v="2"/>
    <n v="2.4900000000000002"/>
    <n v="11"/>
    <x v="10"/>
    <n v="289"/>
    <n v="280"/>
    <n v="-9"/>
    <n v="-3.1141868512110724"/>
    <x v="0"/>
    <n v="22.410000000000004"/>
    <n v="2"/>
    <n v="2"/>
    <n v="5.6025000000000009"/>
    <n v="6.7230000000000008"/>
    <x v="3"/>
    <n v="0"/>
    <s v="Ja - 20% Reduzierung"/>
    <n v="20"/>
    <n v="1.99"/>
    <n v="43"/>
    <n v="21.41"/>
    <x v="3"/>
    <x v="4"/>
  </r>
  <r>
    <s v="F001"/>
    <x v="0"/>
    <s v="A006"/>
    <s v="Emmentaler 200g"/>
    <x v="2"/>
    <n v="2.4900000000000002"/>
    <n v="12"/>
    <x v="11"/>
    <n v="333"/>
    <n v="337"/>
    <n v="4"/>
    <n v="1.2012012012012012"/>
    <x v="1"/>
    <n v="9.9600000000000009"/>
    <n v="20"/>
    <n v="6"/>
    <n v="0"/>
    <n v="0"/>
    <x v="4"/>
    <n v="4"/>
    <s v="Nein"/>
    <n v="0"/>
    <n v="2.4900000000000002"/>
    <n v="0"/>
    <n v="0"/>
    <x v="0"/>
    <x v="2"/>
  </r>
  <r>
    <s v="F001"/>
    <x v="0"/>
    <s v="A007"/>
    <s v="Naturjoghurt 500g"/>
    <x v="3"/>
    <n v="0.89"/>
    <n v="1"/>
    <x v="0"/>
    <n v="515"/>
    <n v="505"/>
    <n v="-10"/>
    <n v="-1.9417475728155338"/>
    <x v="0"/>
    <n v="8.9"/>
    <n v="5"/>
    <n v="3"/>
    <n v="2.2250000000000001"/>
    <n v="2.67"/>
    <x v="0"/>
    <n v="0"/>
    <s v="Nein"/>
    <n v="0"/>
    <n v="0.89"/>
    <n v="0"/>
    <n v="0"/>
    <x v="0"/>
    <x v="5"/>
  </r>
  <r>
    <s v="F001"/>
    <x v="0"/>
    <s v="A007"/>
    <s v="Naturjoghurt 500g"/>
    <x v="3"/>
    <n v="0.89"/>
    <n v="2"/>
    <x v="1"/>
    <n v="444"/>
    <n v="432"/>
    <n v="-12"/>
    <n v="-2.7027027027027026"/>
    <x v="0"/>
    <n v="10.68"/>
    <n v="2"/>
    <n v="0"/>
    <n v="2.67"/>
    <n v="3.2039999999999997"/>
    <x v="1"/>
    <n v="0"/>
    <s v="Ja - 20% Reduzierung"/>
    <n v="20"/>
    <n v="0.71"/>
    <n v="53"/>
    <n v="9.43"/>
    <x v="2"/>
    <x v="4"/>
  </r>
  <r>
    <s v="F001"/>
    <x v="0"/>
    <s v="A007"/>
    <s v="Naturjoghurt 500g"/>
    <x v="3"/>
    <n v="0.89"/>
    <n v="3"/>
    <x v="2"/>
    <n v="549"/>
    <n v="524"/>
    <n v="-25"/>
    <n v="-4.5537340619307827"/>
    <x v="0"/>
    <n v="22.25"/>
    <n v="11"/>
    <n v="5"/>
    <n v="5.5625"/>
    <n v="6.6749999999999998"/>
    <x v="0"/>
    <n v="0"/>
    <s v="Nein"/>
    <n v="0"/>
    <n v="0.89"/>
    <n v="0"/>
    <n v="0"/>
    <x v="0"/>
    <x v="0"/>
  </r>
  <r>
    <s v="F001"/>
    <x v="0"/>
    <s v="A007"/>
    <s v="Naturjoghurt 500g"/>
    <x v="3"/>
    <n v="0.89"/>
    <n v="4"/>
    <x v="3"/>
    <n v="715"/>
    <n v="718"/>
    <n v="3"/>
    <n v="0.41958041958041958"/>
    <x v="1"/>
    <n v="2.67"/>
    <n v="8"/>
    <n v="0"/>
    <n v="0"/>
    <n v="0"/>
    <x v="2"/>
    <n v="3"/>
    <s v="Nein"/>
    <n v="0"/>
    <n v="0.89"/>
    <n v="0"/>
    <n v="0"/>
    <x v="0"/>
    <x v="2"/>
  </r>
  <r>
    <s v="F001"/>
    <x v="0"/>
    <s v="A007"/>
    <s v="Naturjoghurt 500g"/>
    <x v="3"/>
    <n v="0.89"/>
    <n v="5"/>
    <x v="4"/>
    <n v="572"/>
    <n v="551"/>
    <n v="-21"/>
    <n v="-3.6713286713286712"/>
    <x v="0"/>
    <n v="18.690000000000001"/>
    <n v="1"/>
    <n v="5"/>
    <n v="4.6725000000000003"/>
    <n v="5.6070000000000002"/>
    <x v="0"/>
    <n v="0"/>
    <s v="Ja - 20% Reduzierung"/>
    <n v="20"/>
    <n v="0.71"/>
    <n v="46"/>
    <n v="8.19"/>
    <x v="1"/>
    <x v="0"/>
  </r>
  <r>
    <s v="F001"/>
    <x v="0"/>
    <s v="A007"/>
    <s v="Naturjoghurt 500g"/>
    <x v="3"/>
    <n v="0.89"/>
    <n v="6"/>
    <x v="5"/>
    <n v="611"/>
    <n v="598"/>
    <n v="-13"/>
    <n v="-2.1276595744680851"/>
    <x v="0"/>
    <n v="11.57"/>
    <n v="2"/>
    <n v="5"/>
    <n v="2.8925000000000001"/>
    <n v="3.4710000000000001"/>
    <x v="0"/>
    <n v="0"/>
    <s v="Ja - 20% Reduzierung"/>
    <n v="20"/>
    <n v="0.71"/>
    <n v="67"/>
    <n v="11.93"/>
    <x v="1"/>
    <x v="0"/>
  </r>
  <r>
    <s v="F001"/>
    <x v="0"/>
    <s v="A007"/>
    <s v="Naturjoghurt 500g"/>
    <x v="3"/>
    <n v="0.89"/>
    <n v="7"/>
    <x v="6"/>
    <n v="634"/>
    <n v="599"/>
    <n v="-35"/>
    <n v="-5.5205047318611982"/>
    <x v="0"/>
    <n v="31.150000000000002"/>
    <n v="3"/>
    <n v="1"/>
    <n v="7.7875000000000005"/>
    <n v="9.3450000000000006"/>
    <x v="0"/>
    <n v="0"/>
    <s v="Ja - 20% Reduzierung"/>
    <n v="20"/>
    <n v="0.71"/>
    <n v="95"/>
    <n v="16.91"/>
    <x v="1"/>
    <x v="1"/>
  </r>
  <r>
    <s v="F001"/>
    <x v="0"/>
    <s v="A007"/>
    <s v="Naturjoghurt 500g"/>
    <x v="3"/>
    <n v="0.89"/>
    <n v="8"/>
    <x v="7"/>
    <n v="607"/>
    <n v="582"/>
    <n v="-25"/>
    <n v="-4.1186161449752881"/>
    <x v="0"/>
    <n v="22.25"/>
    <n v="11"/>
    <n v="3"/>
    <n v="5.5625"/>
    <n v="6.6749999999999998"/>
    <x v="0"/>
    <n v="0"/>
    <s v="Nein"/>
    <n v="0"/>
    <n v="0.89"/>
    <n v="0"/>
    <n v="0"/>
    <x v="0"/>
    <x v="0"/>
  </r>
  <r>
    <s v="F001"/>
    <x v="0"/>
    <s v="A007"/>
    <s v="Naturjoghurt 500g"/>
    <x v="3"/>
    <n v="0.89"/>
    <n v="9"/>
    <x v="8"/>
    <n v="496"/>
    <n v="501"/>
    <n v="5"/>
    <n v="1.0080645161290323"/>
    <x v="1"/>
    <n v="4.45"/>
    <n v="6"/>
    <n v="4"/>
    <n v="0"/>
    <n v="0"/>
    <x v="0"/>
    <n v="5"/>
    <s v="Nein"/>
    <n v="0"/>
    <n v="0.89"/>
    <n v="0"/>
    <n v="0"/>
    <x v="0"/>
    <x v="2"/>
  </r>
  <r>
    <s v="F001"/>
    <x v="0"/>
    <s v="A007"/>
    <s v="Naturjoghurt 500g"/>
    <x v="3"/>
    <n v="0.89"/>
    <n v="10"/>
    <x v="9"/>
    <n v="578"/>
    <n v="552"/>
    <n v="-26"/>
    <n v="-4.4982698961937722"/>
    <x v="0"/>
    <n v="23.14"/>
    <n v="0"/>
    <n v="0"/>
    <n v="5.7850000000000001"/>
    <n v="6.9420000000000002"/>
    <x v="0"/>
    <n v="0"/>
    <s v="Abschreibung"/>
    <n v="100"/>
    <n v="0"/>
    <n v="17"/>
    <n v="15.13"/>
    <x v="1"/>
    <x v="3"/>
  </r>
  <r>
    <s v="F001"/>
    <x v="0"/>
    <s v="A007"/>
    <s v="Naturjoghurt 500g"/>
    <x v="3"/>
    <n v="0.89"/>
    <n v="11"/>
    <x v="10"/>
    <n v="611"/>
    <n v="592"/>
    <n v="-19"/>
    <n v="-3.1096563011456628"/>
    <x v="0"/>
    <n v="16.91"/>
    <n v="7"/>
    <n v="4"/>
    <n v="4.2275"/>
    <n v="5.0729999999999995"/>
    <x v="3"/>
    <n v="0"/>
    <s v="Nein"/>
    <n v="0"/>
    <n v="0.89"/>
    <n v="0"/>
    <n v="0"/>
    <x v="0"/>
    <x v="0"/>
  </r>
  <r>
    <s v="F001"/>
    <x v="0"/>
    <s v="A007"/>
    <s v="Naturjoghurt 500g"/>
    <x v="3"/>
    <n v="0.89"/>
    <n v="12"/>
    <x v="11"/>
    <n v="785"/>
    <n v="742"/>
    <n v="-43"/>
    <n v="-5.4777070063694273"/>
    <x v="0"/>
    <n v="38.270000000000003"/>
    <n v="1"/>
    <n v="2"/>
    <n v="9.5675000000000008"/>
    <n v="11.481"/>
    <x v="4"/>
    <n v="0"/>
    <s v="Ja - 20% Reduzierung"/>
    <n v="20"/>
    <n v="0.71"/>
    <n v="79"/>
    <n v="14.06"/>
    <x v="1"/>
    <x v="0"/>
  </r>
  <r>
    <s v="F001"/>
    <x v="0"/>
    <s v="A008"/>
    <s v="Fruchtjoghurt 4er"/>
    <x v="3"/>
    <n v="1.89"/>
    <n v="1"/>
    <x v="0"/>
    <n v="299"/>
    <n v="287"/>
    <n v="-12"/>
    <n v="-4.0133779264214047"/>
    <x v="0"/>
    <n v="22.68"/>
    <n v="7"/>
    <n v="5"/>
    <n v="5.67"/>
    <n v="6.8039999999999994"/>
    <x v="0"/>
    <n v="0"/>
    <s v="Nein"/>
    <n v="0"/>
    <n v="1.89"/>
    <n v="0"/>
    <n v="0"/>
    <x v="0"/>
    <x v="0"/>
  </r>
  <r>
    <s v="F001"/>
    <x v="0"/>
    <s v="A008"/>
    <s v="Fruchtjoghurt 4er"/>
    <x v="3"/>
    <n v="1.89"/>
    <n v="2"/>
    <x v="1"/>
    <n v="303"/>
    <n v="295"/>
    <n v="-8"/>
    <n v="-2.6402640264026402"/>
    <x v="0"/>
    <n v="15.12"/>
    <n v="0"/>
    <n v="4"/>
    <n v="3.78"/>
    <n v="4.5359999999999996"/>
    <x v="1"/>
    <n v="0"/>
    <s v="Abschreibung"/>
    <n v="100"/>
    <n v="0"/>
    <n v="6"/>
    <n v="11.34"/>
    <x v="1"/>
    <x v="3"/>
  </r>
  <r>
    <s v="F001"/>
    <x v="0"/>
    <s v="A008"/>
    <s v="Fruchtjoghurt 4er"/>
    <x v="3"/>
    <n v="1.89"/>
    <n v="3"/>
    <x v="2"/>
    <n v="371"/>
    <n v="360"/>
    <n v="-11"/>
    <n v="-2.9649595687331538"/>
    <x v="0"/>
    <n v="20.79"/>
    <n v="10"/>
    <n v="3"/>
    <n v="5.1974999999999998"/>
    <n v="6.2369999999999992"/>
    <x v="0"/>
    <n v="0"/>
    <s v="Nein"/>
    <n v="0"/>
    <n v="1.89"/>
    <n v="0"/>
    <n v="0"/>
    <x v="0"/>
    <x v="0"/>
  </r>
  <r>
    <s v="F001"/>
    <x v="0"/>
    <s v="A008"/>
    <s v="Fruchtjoghurt 4er"/>
    <x v="3"/>
    <n v="1.89"/>
    <n v="4"/>
    <x v="3"/>
    <n v="433"/>
    <n v="436"/>
    <n v="3"/>
    <n v="0.69284064665127021"/>
    <x v="1"/>
    <n v="5.67"/>
    <n v="7"/>
    <n v="3"/>
    <n v="0"/>
    <n v="0"/>
    <x v="2"/>
    <n v="3"/>
    <s v="Nein"/>
    <n v="0"/>
    <n v="1.89"/>
    <n v="0"/>
    <n v="0"/>
    <x v="0"/>
    <x v="2"/>
  </r>
  <r>
    <s v="F001"/>
    <x v="0"/>
    <s v="A008"/>
    <s v="Fruchtjoghurt 4er"/>
    <x v="3"/>
    <n v="1.89"/>
    <n v="5"/>
    <x v="4"/>
    <n v="354"/>
    <n v="342"/>
    <n v="-12"/>
    <n v="-3.3898305084745761"/>
    <x v="0"/>
    <n v="22.68"/>
    <n v="1"/>
    <n v="0"/>
    <n v="5.67"/>
    <n v="6.8039999999999994"/>
    <x v="0"/>
    <n v="0"/>
    <s v="Ja - 20% Reduzierung"/>
    <n v="20"/>
    <n v="1.51"/>
    <n v="18"/>
    <n v="6.8"/>
    <x v="1"/>
    <x v="1"/>
  </r>
  <r>
    <s v="F001"/>
    <x v="0"/>
    <s v="A008"/>
    <s v="Fruchtjoghurt 4er"/>
    <x v="3"/>
    <n v="1.89"/>
    <n v="6"/>
    <x v="5"/>
    <n v="389"/>
    <n v="368"/>
    <n v="-21"/>
    <n v="-5.3984575835475574"/>
    <x v="0"/>
    <n v="39.69"/>
    <n v="5"/>
    <n v="4"/>
    <n v="9.9224999999999994"/>
    <n v="11.906999999999998"/>
    <x v="0"/>
    <n v="0"/>
    <s v="Nein"/>
    <n v="0"/>
    <n v="1.89"/>
    <n v="0"/>
    <n v="0"/>
    <x v="0"/>
    <x v="0"/>
  </r>
  <r>
    <s v="F001"/>
    <x v="0"/>
    <s v="A008"/>
    <s v="Fruchtjoghurt 4er"/>
    <x v="3"/>
    <n v="1.89"/>
    <n v="7"/>
    <x v="6"/>
    <n v="424"/>
    <n v="406"/>
    <n v="-18"/>
    <n v="-4.2452830188679247"/>
    <x v="0"/>
    <n v="34.019999999999996"/>
    <n v="1"/>
    <n v="4"/>
    <n v="8.504999999999999"/>
    <n v="10.205999999999998"/>
    <x v="0"/>
    <n v="0"/>
    <s v="Ja - 20% Reduzierung"/>
    <n v="20"/>
    <n v="1.51"/>
    <n v="30"/>
    <n v="11.34"/>
    <x v="1"/>
    <x v="0"/>
  </r>
  <r>
    <s v="F001"/>
    <x v="0"/>
    <s v="A008"/>
    <s v="Fruchtjoghurt 4er"/>
    <x v="3"/>
    <n v="1.89"/>
    <n v="8"/>
    <x v="7"/>
    <n v="403"/>
    <n v="379"/>
    <n v="-24"/>
    <n v="-5.9553349875930524"/>
    <x v="0"/>
    <n v="45.36"/>
    <n v="4"/>
    <n v="4"/>
    <n v="11.34"/>
    <n v="13.607999999999999"/>
    <x v="0"/>
    <n v="0"/>
    <s v="Nein"/>
    <n v="0"/>
    <n v="1.89"/>
    <n v="0"/>
    <n v="0"/>
    <x v="0"/>
    <x v="0"/>
  </r>
  <r>
    <s v="F001"/>
    <x v="0"/>
    <s v="A008"/>
    <s v="Fruchtjoghurt 4er"/>
    <x v="3"/>
    <n v="1.89"/>
    <n v="9"/>
    <x v="8"/>
    <n v="342"/>
    <n v="330"/>
    <n v="-12"/>
    <n v="-3.5087719298245612"/>
    <x v="0"/>
    <n v="22.68"/>
    <n v="5"/>
    <n v="1"/>
    <n v="5.67"/>
    <n v="6.8039999999999994"/>
    <x v="0"/>
    <n v="0"/>
    <s v="Nein"/>
    <n v="0"/>
    <n v="1.89"/>
    <n v="0"/>
    <n v="0"/>
    <x v="0"/>
    <x v="1"/>
  </r>
  <r>
    <s v="F001"/>
    <x v="0"/>
    <s v="A008"/>
    <s v="Fruchtjoghurt 4er"/>
    <x v="3"/>
    <n v="1.89"/>
    <n v="10"/>
    <x v="9"/>
    <n v="354"/>
    <n v="342"/>
    <n v="-12"/>
    <n v="-3.3898305084745761"/>
    <x v="0"/>
    <n v="22.68"/>
    <n v="1"/>
    <n v="2"/>
    <n v="5.67"/>
    <n v="6.8039999999999994"/>
    <x v="0"/>
    <n v="0"/>
    <s v="Ja - 20% Reduzierung"/>
    <n v="20"/>
    <n v="1.51"/>
    <n v="42"/>
    <n v="15.88"/>
    <x v="1"/>
    <x v="0"/>
  </r>
  <r>
    <s v="F001"/>
    <x v="0"/>
    <s v="A008"/>
    <s v="Fruchtjoghurt 4er"/>
    <x v="3"/>
    <n v="1.89"/>
    <n v="11"/>
    <x v="10"/>
    <n v="397"/>
    <n v="383"/>
    <n v="-14"/>
    <n v="-3.5264483627204033"/>
    <x v="0"/>
    <n v="26.459999999999997"/>
    <n v="7"/>
    <n v="3"/>
    <n v="6.6149999999999993"/>
    <n v="7.9379999999999988"/>
    <x v="3"/>
    <n v="0"/>
    <s v="Nein"/>
    <n v="0"/>
    <n v="1.89"/>
    <n v="0"/>
    <n v="0"/>
    <x v="0"/>
    <x v="0"/>
  </r>
  <r>
    <s v="F001"/>
    <x v="0"/>
    <s v="A008"/>
    <s v="Fruchtjoghurt 4er"/>
    <x v="3"/>
    <n v="1.89"/>
    <n v="12"/>
    <x v="11"/>
    <n v="500"/>
    <n v="500"/>
    <n v="0"/>
    <n v="0"/>
    <x v="2"/>
    <n v="0"/>
    <n v="3"/>
    <n v="2"/>
    <n v="0"/>
    <n v="0"/>
    <x v="4"/>
    <n v="0"/>
    <s v="Ja - 20% Reduzierung"/>
    <n v="20"/>
    <n v="1.51"/>
    <n v="40"/>
    <n v="15.12"/>
    <x v="1"/>
    <x v="5"/>
  </r>
  <r>
    <s v="F001"/>
    <x v="0"/>
    <s v="A009"/>
    <s v="Sahne 200ml"/>
    <x v="4"/>
    <n v="0.79"/>
    <n v="1"/>
    <x v="0"/>
    <n v="175"/>
    <n v="171"/>
    <n v="-4"/>
    <n v="-2.2857142857142856"/>
    <x v="0"/>
    <n v="3.16"/>
    <n v="7"/>
    <n v="3"/>
    <n v="0.79"/>
    <n v="0.94799999999999995"/>
    <x v="0"/>
    <n v="0"/>
    <s v="Nein"/>
    <n v="0"/>
    <n v="0.79"/>
    <n v="0"/>
    <n v="0"/>
    <x v="0"/>
    <x v="0"/>
  </r>
  <r>
    <s v="F001"/>
    <x v="0"/>
    <s v="A009"/>
    <s v="Sahne 200ml"/>
    <x v="4"/>
    <n v="0.79"/>
    <n v="2"/>
    <x v="1"/>
    <n v="165"/>
    <n v="163"/>
    <n v="-2"/>
    <n v="-1.2121212121212122"/>
    <x v="0"/>
    <n v="1.58"/>
    <n v="7"/>
    <n v="1"/>
    <n v="0.39500000000000002"/>
    <n v="0.47399999999999998"/>
    <x v="1"/>
    <n v="0"/>
    <s v="Nein"/>
    <n v="0"/>
    <n v="0.79"/>
    <n v="0"/>
    <n v="0"/>
    <x v="0"/>
    <x v="5"/>
  </r>
  <r>
    <s v="F001"/>
    <x v="0"/>
    <s v="A009"/>
    <s v="Sahne 200ml"/>
    <x v="4"/>
    <n v="0.79"/>
    <n v="3"/>
    <x v="2"/>
    <n v="204"/>
    <n v="208"/>
    <n v="4"/>
    <n v="1.9607843137254901"/>
    <x v="1"/>
    <n v="3.16"/>
    <n v="5"/>
    <n v="4"/>
    <n v="0"/>
    <n v="0"/>
    <x v="0"/>
    <n v="4"/>
    <s v="Nein"/>
    <n v="0"/>
    <n v="0.79"/>
    <n v="0"/>
    <n v="0"/>
    <x v="0"/>
    <x v="2"/>
  </r>
  <r>
    <s v="F001"/>
    <x v="0"/>
    <s v="A009"/>
    <s v="Sahne 200ml"/>
    <x v="4"/>
    <n v="0.79"/>
    <n v="4"/>
    <x v="3"/>
    <n v="238"/>
    <n v="240"/>
    <n v="2"/>
    <n v="0.84033613445378152"/>
    <x v="1"/>
    <n v="1.58"/>
    <n v="4"/>
    <n v="4"/>
    <n v="0"/>
    <n v="0"/>
    <x v="2"/>
    <n v="2"/>
    <s v="Nein"/>
    <n v="0"/>
    <n v="0.79"/>
    <n v="0"/>
    <n v="0"/>
    <x v="0"/>
    <x v="2"/>
  </r>
  <r>
    <s v="F001"/>
    <x v="0"/>
    <s v="A009"/>
    <s v="Sahne 200ml"/>
    <x v="4"/>
    <n v="0.79"/>
    <n v="5"/>
    <x v="4"/>
    <n v="210"/>
    <n v="205"/>
    <n v="-5"/>
    <n v="-2.3809523809523809"/>
    <x v="0"/>
    <n v="3.95"/>
    <n v="8"/>
    <n v="4"/>
    <n v="0.98750000000000004"/>
    <n v="1.1850000000000001"/>
    <x v="0"/>
    <n v="0"/>
    <s v="Nein"/>
    <n v="0"/>
    <n v="0.79"/>
    <n v="0"/>
    <n v="0"/>
    <x v="0"/>
    <x v="0"/>
  </r>
  <r>
    <s v="F001"/>
    <x v="0"/>
    <s v="A009"/>
    <s v="Sahne 200ml"/>
    <x v="4"/>
    <n v="0.79"/>
    <n v="6"/>
    <x v="5"/>
    <n v="231"/>
    <n v="227"/>
    <n v="-4"/>
    <n v="-1.7316017316017316"/>
    <x v="0"/>
    <n v="3.16"/>
    <n v="6"/>
    <n v="3"/>
    <n v="0.79"/>
    <n v="0.94799999999999995"/>
    <x v="0"/>
    <n v="0"/>
    <s v="Nein"/>
    <n v="0"/>
    <n v="0.79"/>
    <n v="0"/>
    <n v="0"/>
    <x v="0"/>
    <x v="5"/>
  </r>
  <r>
    <s v="F001"/>
    <x v="0"/>
    <s v="A009"/>
    <s v="Sahne 200ml"/>
    <x v="4"/>
    <n v="0.79"/>
    <n v="7"/>
    <x v="6"/>
    <n v="240"/>
    <n v="240"/>
    <n v="0"/>
    <n v="0"/>
    <x v="2"/>
    <n v="0"/>
    <n v="10"/>
    <n v="0"/>
    <n v="0"/>
    <n v="0"/>
    <x v="0"/>
    <n v="0"/>
    <s v="Nein"/>
    <n v="0"/>
    <n v="0.79"/>
    <n v="0"/>
    <n v="0"/>
    <x v="0"/>
    <x v="5"/>
  </r>
  <r>
    <s v="F001"/>
    <x v="0"/>
    <s v="A009"/>
    <s v="Sahne 200ml"/>
    <x v="4"/>
    <n v="0.79"/>
    <n v="8"/>
    <x v="7"/>
    <n v="232"/>
    <n v="228"/>
    <n v="-4"/>
    <n v="-1.7241379310344827"/>
    <x v="0"/>
    <n v="3.16"/>
    <n v="3"/>
    <n v="1"/>
    <n v="0.79"/>
    <n v="0.94799999999999995"/>
    <x v="0"/>
    <n v="0"/>
    <s v="Ja - 20% Reduzierung"/>
    <n v="20"/>
    <n v="0.63"/>
    <n v="28"/>
    <n v="4.42"/>
    <x v="1"/>
    <x v="5"/>
  </r>
  <r>
    <s v="F001"/>
    <x v="0"/>
    <s v="A009"/>
    <s v="Sahne 200ml"/>
    <x v="4"/>
    <n v="0.79"/>
    <n v="9"/>
    <x v="8"/>
    <n v="194"/>
    <n v="188"/>
    <n v="-6"/>
    <n v="-3.0927835051546393"/>
    <x v="0"/>
    <n v="4.74"/>
    <n v="6"/>
    <n v="3"/>
    <n v="1.1850000000000001"/>
    <n v="1.4219999999999999"/>
    <x v="0"/>
    <n v="0"/>
    <s v="Nein"/>
    <n v="0"/>
    <n v="0.79"/>
    <n v="0"/>
    <n v="0"/>
    <x v="0"/>
    <x v="0"/>
  </r>
  <r>
    <s v="F001"/>
    <x v="0"/>
    <s v="A009"/>
    <s v="Sahne 200ml"/>
    <x v="4"/>
    <n v="0.79"/>
    <n v="10"/>
    <x v="9"/>
    <n v="202"/>
    <n v="197"/>
    <n v="-5"/>
    <n v="-2.4752475247524752"/>
    <x v="0"/>
    <n v="3.95"/>
    <n v="6"/>
    <n v="0"/>
    <n v="0.98750000000000004"/>
    <n v="1.1850000000000001"/>
    <x v="0"/>
    <n v="0"/>
    <s v="Nein"/>
    <n v="0"/>
    <n v="0.79"/>
    <n v="0"/>
    <n v="0"/>
    <x v="0"/>
    <x v="1"/>
  </r>
  <r>
    <s v="F001"/>
    <x v="0"/>
    <s v="A009"/>
    <s v="Sahne 200ml"/>
    <x v="4"/>
    <n v="0.79"/>
    <n v="11"/>
    <x v="10"/>
    <n v="218"/>
    <n v="213"/>
    <n v="-5"/>
    <n v="-2.2935779816513762"/>
    <x v="0"/>
    <n v="3.95"/>
    <n v="2"/>
    <n v="1"/>
    <n v="0.98750000000000004"/>
    <n v="1.1850000000000001"/>
    <x v="3"/>
    <n v="0"/>
    <s v="Ja - 20% Reduzierung"/>
    <n v="20"/>
    <n v="0.63"/>
    <n v="17"/>
    <n v="2.69"/>
    <x v="1"/>
    <x v="1"/>
  </r>
  <r>
    <s v="F001"/>
    <x v="0"/>
    <s v="A009"/>
    <s v="Sahne 200ml"/>
    <x v="4"/>
    <n v="0.79"/>
    <n v="12"/>
    <x v="11"/>
    <n v="283"/>
    <n v="276"/>
    <n v="-7"/>
    <n v="-2.4734982332155475"/>
    <x v="0"/>
    <n v="5.53"/>
    <n v="7"/>
    <n v="4"/>
    <n v="1.3825000000000001"/>
    <n v="1.659"/>
    <x v="4"/>
    <n v="0"/>
    <s v="Nein"/>
    <n v="0"/>
    <n v="0.79"/>
    <n v="0"/>
    <n v="0"/>
    <x v="0"/>
    <x v="0"/>
  </r>
  <r>
    <s v="F001"/>
    <x v="0"/>
    <s v="A010"/>
    <s v="Schmand 200g"/>
    <x v="4"/>
    <n v="0.89"/>
    <n v="1"/>
    <x v="0"/>
    <n v="162"/>
    <n v="160"/>
    <n v="-2"/>
    <n v="-1.2345679012345678"/>
    <x v="0"/>
    <n v="1.78"/>
    <n v="13"/>
    <n v="0"/>
    <n v="0.44500000000000001"/>
    <n v="0.53400000000000003"/>
    <x v="0"/>
    <n v="0"/>
    <s v="Nein"/>
    <n v="0"/>
    <n v="0.89"/>
    <n v="0"/>
    <n v="0"/>
    <x v="0"/>
    <x v="5"/>
  </r>
  <r>
    <s v="F001"/>
    <x v="0"/>
    <s v="A010"/>
    <s v="Schmand 200g"/>
    <x v="4"/>
    <n v="0.89"/>
    <n v="2"/>
    <x v="1"/>
    <n v="148"/>
    <n v="146"/>
    <n v="-2"/>
    <n v="-1.3513513513513513"/>
    <x v="0"/>
    <n v="1.78"/>
    <n v="9"/>
    <n v="3"/>
    <n v="0.44500000000000001"/>
    <n v="0.53400000000000003"/>
    <x v="1"/>
    <n v="0"/>
    <s v="Nein"/>
    <n v="0"/>
    <n v="0.89"/>
    <n v="0"/>
    <n v="0"/>
    <x v="0"/>
    <x v="5"/>
  </r>
  <r>
    <s v="F001"/>
    <x v="0"/>
    <s v="A010"/>
    <s v="Schmand 200g"/>
    <x v="4"/>
    <n v="0.89"/>
    <n v="3"/>
    <x v="2"/>
    <n v="195"/>
    <n v="190"/>
    <n v="-5"/>
    <n v="-2.5641025641025639"/>
    <x v="0"/>
    <n v="4.45"/>
    <n v="12"/>
    <n v="5"/>
    <n v="1.1125"/>
    <n v="1.335"/>
    <x v="0"/>
    <n v="0"/>
    <s v="Nein"/>
    <n v="0"/>
    <n v="0.89"/>
    <n v="0"/>
    <n v="0"/>
    <x v="0"/>
    <x v="0"/>
  </r>
  <r>
    <s v="F001"/>
    <x v="0"/>
    <s v="A010"/>
    <s v="Schmand 200g"/>
    <x v="4"/>
    <n v="0.89"/>
    <n v="4"/>
    <x v="3"/>
    <n v="227"/>
    <n v="230"/>
    <n v="3"/>
    <n v="1.3215859030837005"/>
    <x v="1"/>
    <n v="2.67"/>
    <n v="3"/>
    <n v="4"/>
    <n v="0"/>
    <n v="0"/>
    <x v="2"/>
    <n v="3"/>
    <s v="Ja - 20% Reduzierung"/>
    <n v="20"/>
    <n v="0.71"/>
    <n v="16"/>
    <n v="2.85"/>
    <x v="1"/>
    <x v="2"/>
  </r>
  <r>
    <s v="F001"/>
    <x v="0"/>
    <s v="A010"/>
    <s v="Schmand 200g"/>
    <x v="4"/>
    <n v="0.89"/>
    <n v="5"/>
    <x v="4"/>
    <n v="187"/>
    <n v="183"/>
    <n v="-4"/>
    <n v="-2.1390374331550799"/>
    <x v="0"/>
    <n v="3.56"/>
    <n v="4"/>
    <n v="3"/>
    <n v="0.89"/>
    <n v="1.0680000000000001"/>
    <x v="0"/>
    <n v="0"/>
    <s v="Nein"/>
    <n v="0"/>
    <n v="0.89"/>
    <n v="0"/>
    <n v="0"/>
    <x v="0"/>
    <x v="0"/>
  </r>
  <r>
    <s v="F001"/>
    <x v="0"/>
    <s v="A010"/>
    <s v="Schmand 200g"/>
    <x v="4"/>
    <n v="0.89"/>
    <n v="6"/>
    <x v="5"/>
    <n v="208"/>
    <n v="208"/>
    <n v="0"/>
    <n v="0"/>
    <x v="2"/>
    <n v="0"/>
    <n v="12"/>
    <n v="1"/>
    <n v="0"/>
    <n v="0"/>
    <x v="0"/>
    <n v="0"/>
    <s v="Nein"/>
    <n v="0"/>
    <n v="0.89"/>
    <n v="0"/>
    <n v="0"/>
    <x v="0"/>
    <x v="5"/>
  </r>
  <r>
    <s v="F001"/>
    <x v="0"/>
    <s v="A010"/>
    <s v="Schmand 200g"/>
    <x v="4"/>
    <n v="0.89"/>
    <n v="7"/>
    <x v="6"/>
    <n v="227"/>
    <n v="228"/>
    <n v="1"/>
    <n v="0.44052863436123352"/>
    <x v="1"/>
    <n v="0.89"/>
    <n v="8"/>
    <n v="2"/>
    <n v="0"/>
    <n v="0"/>
    <x v="0"/>
    <n v="1"/>
    <s v="Nein"/>
    <n v="0"/>
    <n v="0.89"/>
    <n v="0"/>
    <n v="0"/>
    <x v="0"/>
    <x v="2"/>
  </r>
  <r>
    <s v="F001"/>
    <x v="0"/>
    <s v="A010"/>
    <s v="Schmand 200g"/>
    <x v="4"/>
    <n v="0.89"/>
    <n v="8"/>
    <x v="7"/>
    <n v="199"/>
    <n v="196"/>
    <n v="-3"/>
    <n v="-1.5075376884422109"/>
    <x v="0"/>
    <n v="2.67"/>
    <n v="1"/>
    <n v="3"/>
    <n v="0.66749999999999998"/>
    <n v="0.80099999999999993"/>
    <x v="0"/>
    <n v="0"/>
    <s v="Ja - 20% Reduzierung"/>
    <n v="20"/>
    <n v="0.71"/>
    <n v="16"/>
    <n v="2.85"/>
    <x v="1"/>
    <x v="5"/>
  </r>
  <r>
    <s v="F001"/>
    <x v="0"/>
    <s v="A010"/>
    <s v="Schmand 200g"/>
    <x v="4"/>
    <n v="0.89"/>
    <n v="9"/>
    <x v="8"/>
    <n v="173"/>
    <n v="171"/>
    <n v="-2"/>
    <n v="-1.1560693641618496"/>
    <x v="0"/>
    <n v="1.78"/>
    <n v="0"/>
    <n v="4"/>
    <n v="0.44500000000000001"/>
    <n v="0.53400000000000003"/>
    <x v="0"/>
    <n v="0"/>
    <s v="Abschreibung"/>
    <n v="100"/>
    <n v="0"/>
    <n v="3"/>
    <n v="2.67"/>
    <x v="1"/>
    <x v="3"/>
  </r>
  <r>
    <s v="F001"/>
    <x v="0"/>
    <s v="A010"/>
    <s v="Schmand 200g"/>
    <x v="4"/>
    <n v="0.89"/>
    <n v="10"/>
    <x v="9"/>
    <n v="180"/>
    <n v="186"/>
    <n v="6"/>
    <n v="3.3333333333333335"/>
    <x v="1"/>
    <n v="5.34"/>
    <n v="10"/>
    <n v="5"/>
    <n v="0"/>
    <n v="0"/>
    <x v="0"/>
    <n v="6"/>
    <s v="Nein"/>
    <n v="0"/>
    <n v="0.89"/>
    <n v="0"/>
    <n v="0"/>
    <x v="0"/>
    <x v="2"/>
  </r>
  <r>
    <s v="F001"/>
    <x v="0"/>
    <s v="A010"/>
    <s v="Schmand 200g"/>
    <x v="4"/>
    <n v="0.89"/>
    <n v="11"/>
    <x v="10"/>
    <n v="206"/>
    <n v="201"/>
    <n v="-5"/>
    <n v="-2.4271844660194173"/>
    <x v="0"/>
    <n v="4.45"/>
    <n v="1"/>
    <n v="1"/>
    <n v="1.1125"/>
    <n v="1.335"/>
    <x v="3"/>
    <n v="0"/>
    <s v="Ja - 20% Reduzierung"/>
    <n v="20"/>
    <n v="0.71"/>
    <n v="16"/>
    <n v="2.85"/>
    <x v="1"/>
    <x v="1"/>
  </r>
  <r>
    <s v="F001"/>
    <x v="0"/>
    <s v="A010"/>
    <s v="Schmand 200g"/>
    <x v="4"/>
    <n v="0.89"/>
    <n v="12"/>
    <x v="11"/>
    <n v="252"/>
    <n v="248"/>
    <n v="-4"/>
    <n v="-1.5873015873015872"/>
    <x v="0"/>
    <n v="3.56"/>
    <n v="13"/>
    <n v="3"/>
    <n v="0.89"/>
    <n v="1.0680000000000001"/>
    <x v="4"/>
    <n v="0"/>
    <s v="Nein"/>
    <n v="0"/>
    <n v="0.89"/>
    <n v="0"/>
    <n v="0"/>
    <x v="0"/>
    <x v="5"/>
  </r>
  <r>
    <s v="F001"/>
    <x v="0"/>
    <s v="A011"/>
    <s v="Mozzarella 125g"/>
    <x v="2"/>
    <n v="1.19"/>
    <n v="1"/>
    <x v="0"/>
    <n v="259"/>
    <n v="249"/>
    <n v="-10"/>
    <n v="-3.8610038610038608"/>
    <x v="0"/>
    <n v="11.899999999999999"/>
    <n v="7"/>
    <n v="4"/>
    <n v="2.9749999999999996"/>
    <n v="3.5699999999999994"/>
    <x v="0"/>
    <n v="0"/>
    <s v="Nein"/>
    <n v="0"/>
    <n v="1.19"/>
    <n v="0"/>
    <n v="0"/>
    <x v="0"/>
    <x v="0"/>
  </r>
  <r>
    <s v="F001"/>
    <x v="0"/>
    <s v="A011"/>
    <s v="Mozzarella 125g"/>
    <x v="2"/>
    <n v="1.19"/>
    <n v="2"/>
    <x v="1"/>
    <n v="263"/>
    <n v="253"/>
    <n v="-10"/>
    <n v="-3.8022813688212929"/>
    <x v="0"/>
    <n v="11.899999999999999"/>
    <n v="9"/>
    <n v="0"/>
    <n v="2.9749999999999996"/>
    <n v="3.5699999999999994"/>
    <x v="1"/>
    <n v="0"/>
    <s v="Nein"/>
    <n v="0"/>
    <n v="1.19"/>
    <n v="0"/>
    <n v="0"/>
    <x v="0"/>
    <x v="1"/>
  </r>
  <r>
    <s v="F001"/>
    <x v="0"/>
    <s v="A011"/>
    <s v="Mozzarella 125g"/>
    <x v="2"/>
    <n v="1.19"/>
    <n v="3"/>
    <x v="2"/>
    <n v="309"/>
    <n v="296"/>
    <n v="-13"/>
    <n v="-4.2071197411003238"/>
    <x v="0"/>
    <n v="15.469999999999999"/>
    <n v="3"/>
    <n v="1"/>
    <n v="3.8674999999999997"/>
    <n v="4.6409999999999991"/>
    <x v="0"/>
    <n v="0"/>
    <s v="Ja - 20% Reduzierung"/>
    <n v="20"/>
    <n v="0.95"/>
    <n v="22"/>
    <n v="5.24"/>
    <x v="1"/>
    <x v="1"/>
  </r>
  <r>
    <s v="F001"/>
    <x v="0"/>
    <s v="A011"/>
    <s v="Mozzarella 125g"/>
    <x v="2"/>
    <n v="1.19"/>
    <n v="4"/>
    <x v="3"/>
    <n v="386"/>
    <n v="386"/>
    <n v="0"/>
    <n v="0"/>
    <x v="2"/>
    <n v="0"/>
    <n v="9"/>
    <n v="1"/>
    <n v="0"/>
    <n v="0"/>
    <x v="2"/>
    <n v="0"/>
    <s v="Nein"/>
    <n v="0"/>
    <n v="1.19"/>
    <n v="0"/>
    <n v="0"/>
    <x v="0"/>
    <x v="5"/>
  </r>
  <r>
    <s v="F001"/>
    <x v="0"/>
    <s v="A011"/>
    <s v="Mozzarella 125g"/>
    <x v="2"/>
    <n v="1.19"/>
    <n v="5"/>
    <x v="4"/>
    <n v="312"/>
    <n v="300"/>
    <n v="-12"/>
    <n v="-3.8461538461538463"/>
    <x v="0"/>
    <n v="14.28"/>
    <n v="8"/>
    <n v="4"/>
    <n v="3.57"/>
    <n v="4.2839999999999998"/>
    <x v="0"/>
    <n v="0"/>
    <s v="Nein"/>
    <n v="0"/>
    <n v="1.19"/>
    <n v="0"/>
    <n v="0"/>
    <x v="0"/>
    <x v="0"/>
  </r>
  <r>
    <s v="F001"/>
    <x v="0"/>
    <s v="A011"/>
    <s v="Mozzarella 125g"/>
    <x v="2"/>
    <n v="1.19"/>
    <n v="6"/>
    <x v="5"/>
    <n v="317"/>
    <n v="317"/>
    <n v="0"/>
    <n v="0"/>
    <x v="2"/>
    <n v="0"/>
    <n v="9"/>
    <n v="4"/>
    <n v="0"/>
    <n v="0"/>
    <x v="0"/>
    <n v="0"/>
    <s v="Nein"/>
    <n v="0"/>
    <n v="1.19"/>
    <n v="0"/>
    <n v="0"/>
    <x v="0"/>
    <x v="5"/>
  </r>
  <r>
    <s v="F001"/>
    <x v="0"/>
    <s v="A011"/>
    <s v="Mozzarella 125g"/>
    <x v="2"/>
    <n v="1.19"/>
    <n v="7"/>
    <x v="6"/>
    <n v="360"/>
    <n v="360"/>
    <n v="0"/>
    <n v="0"/>
    <x v="2"/>
    <n v="0"/>
    <n v="3"/>
    <n v="1"/>
    <n v="0"/>
    <n v="0"/>
    <x v="0"/>
    <n v="0"/>
    <s v="Ja - 20% Reduzierung"/>
    <n v="20"/>
    <n v="0.95"/>
    <n v="50"/>
    <n v="11.9"/>
    <x v="1"/>
    <x v="5"/>
  </r>
  <r>
    <s v="F001"/>
    <x v="0"/>
    <s v="A011"/>
    <s v="Mozzarella 125g"/>
    <x v="2"/>
    <n v="1.19"/>
    <n v="8"/>
    <x v="7"/>
    <n v="348"/>
    <n v="335"/>
    <n v="-13"/>
    <n v="-3.7356321839080464"/>
    <x v="0"/>
    <n v="15.469999999999999"/>
    <n v="0"/>
    <n v="2"/>
    <n v="3.8674999999999997"/>
    <n v="4.6409999999999991"/>
    <x v="0"/>
    <n v="0"/>
    <s v="Abschreibung"/>
    <n v="100"/>
    <n v="0"/>
    <n v="3"/>
    <n v="3.57"/>
    <x v="2"/>
    <x v="3"/>
  </r>
  <r>
    <s v="F001"/>
    <x v="0"/>
    <s v="A011"/>
    <s v="Mozzarella 125g"/>
    <x v="2"/>
    <n v="1.19"/>
    <n v="9"/>
    <x v="8"/>
    <n v="299"/>
    <n v="301"/>
    <n v="2"/>
    <n v="0.66889632107023411"/>
    <x v="1"/>
    <n v="2.38"/>
    <n v="3"/>
    <n v="3"/>
    <n v="0"/>
    <n v="0"/>
    <x v="0"/>
    <n v="2"/>
    <s v="Ja - 20% Reduzierung"/>
    <n v="20"/>
    <n v="0.95"/>
    <n v="45"/>
    <n v="10.71"/>
    <x v="1"/>
    <x v="2"/>
  </r>
  <r>
    <s v="F001"/>
    <x v="0"/>
    <s v="A011"/>
    <s v="Mozzarella 125g"/>
    <x v="2"/>
    <n v="1.19"/>
    <n v="10"/>
    <x v="9"/>
    <n v="288"/>
    <n v="288"/>
    <n v="0"/>
    <n v="0"/>
    <x v="2"/>
    <n v="0"/>
    <n v="10"/>
    <n v="0"/>
    <n v="0"/>
    <n v="0"/>
    <x v="0"/>
    <n v="0"/>
    <s v="Nein"/>
    <n v="0"/>
    <n v="1.19"/>
    <n v="0"/>
    <n v="0"/>
    <x v="0"/>
    <x v="5"/>
  </r>
  <r>
    <s v="F001"/>
    <x v="0"/>
    <s v="A011"/>
    <s v="Mozzarella 125g"/>
    <x v="2"/>
    <n v="1.19"/>
    <n v="11"/>
    <x v="10"/>
    <n v="333"/>
    <n v="315"/>
    <n v="-18"/>
    <n v="-5.4054054054054053"/>
    <x v="0"/>
    <n v="21.419999999999998"/>
    <n v="4"/>
    <n v="4"/>
    <n v="5.3549999999999995"/>
    <n v="6.4259999999999993"/>
    <x v="3"/>
    <n v="0"/>
    <s v="Nein"/>
    <n v="0"/>
    <n v="1.19"/>
    <n v="0"/>
    <n v="0"/>
    <x v="0"/>
    <x v="0"/>
  </r>
  <r>
    <s v="F001"/>
    <x v="0"/>
    <s v="A011"/>
    <s v="Mozzarella 125g"/>
    <x v="2"/>
    <n v="1.19"/>
    <n v="12"/>
    <x v="11"/>
    <n v="441"/>
    <n v="426"/>
    <n v="-15"/>
    <n v="-3.4013605442176873"/>
    <x v="0"/>
    <n v="17.849999999999998"/>
    <n v="10"/>
    <n v="2"/>
    <n v="4.4624999999999995"/>
    <n v="5.3549999999999995"/>
    <x v="4"/>
    <n v="0"/>
    <s v="Nein"/>
    <n v="0"/>
    <n v="1.19"/>
    <n v="0"/>
    <n v="0"/>
    <x v="0"/>
    <x v="0"/>
  </r>
  <r>
    <s v="F001"/>
    <x v="0"/>
    <s v="A012"/>
    <s v="Quark 500g"/>
    <x v="5"/>
    <n v="1.39"/>
    <n v="1"/>
    <x v="0"/>
    <n v="342"/>
    <n v="348"/>
    <n v="6"/>
    <n v="1.7543859649122806"/>
    <x v="1"/>
    <n v="8.34"/>
    <n v="6"/>
    <n v="4"/>
    <n v="0"/>
    <n v="0"/>
    <x v="0"/>
    <n v="6"/>
    <s v="Nein"/>
    <n v="0"/>
    <n v="1.39"/>
    <n v="0"/>
    <n v="0"/>
    <x v="0"/>
    <x v="2"/>
  </r>
  <r>
    <s v="F001"/>
    <x v="0"/>
    <s v="A012"/>
    <s v="Quark 500g"/>
    <x v="5"/>
    <n v="1.39"/>
    <n v="2"/>
    <x v="1"/>
    <n v="340"/>
    <n v="331"/>
    <n v="-9"/>
    <n v="-2.6470588235294117"/>
    <x v="0"/>
    <n v="12.51"/>
    <n v="0"/>
    <n v="2"/>
    <n v="3.1274999999999999"/>
    <n v="3.7529999999999997"/>
    <x v="1"/>
    <n v="0"/>
    <s v="Abschreibung"/>
    <n v="100"/>
    <n v="0"/>
    <n v="10"/>
    <n v="13.9"/>
    <x v="1"/>
    <x v="3"/>
  </r>
  <r>
    <s v="F001"/>
    <x v="0"/>
    <s v="A012"/>
    <s v="Quark 500g"/>
    <x v="5"/>
    <n v="1.39"/>
    <n v="3"/>
    <x v="2"/>
    <n v="441"/>
    <n v="441"/>
    <n v="0"/>
    <n v="0"/>
    <x v="2"/>
    <n v="0"/>
    <n v="0"/>
    <n v="4"/>
    <n v="0"/>
    <n v="0"/>
    <x v="0"/>
    <n v="0"/>
    <s v="Abschreibung"/>
    <n v="100"/>
    <n v="0"/>
    <n v="13"/>
    <n v="18.07"/>
    <x v="3"/>
    <x v="3"/>
  </r>
  <r>
    <s v="F001"/>
    <x v="0"/>
    <s v="A012"/>
    <s v="Quark 500g"/>
    <x v="5"/>
    <n v="1.39"/>
    <n v="4"/>
    <x v="3"/>
    <n v="490"/>
    <n v="490"/>
    <n v="0"/>
    <n v="0"/>
    <x v="2"/>
    <n v="0"/>
    <n v="8"/>
    <n v="2"/>
    <n v="0"/>
    <n v="0"/>
    <x v="2"/>
    <n v="0"/>
    <s v="Nein"/>
    <n v="0"/>
    <n v="1.39"/>
    <n v="0"/>
    <n v="0"/>
    <x v="0"/>
    <x v="5"/>
  </r>
  <r>
    <s v="F001"/>
    <x v="0"/>
    <s v="A012"/>
    <s v="Quark 500g"/>
    <x v="5"/>
    <n v="1.39"/>
    <n v="5"/>
    <x v="4"/>
    <n v="420"/>
    <n v="406"/>
    <n v="-14"/>
    <n v="-3.3333333333333335"/>
    <x v="0"/>
    <n v="19.459999999999997"/>
    <n v="4"/>
    <n v="1"/>
    <n v="4.8649999999999993"/>
    <n v="5.8379999999999992"/>
    <x v="0"/>
    <n v="0"/>
    <s v="Nein"/>
    <n v="0"/>
    <n v="1.39"/>
    <n v="0"/>
    <n v="0"/>
    <x v="0"/>
    <x v="1"/>
  </r>
  <r>
    <s v="F001"/>
    <x v="0"/>
    <s v="A012"/>
    <s v="Quark 500g"/>
    <x v="5"/>
    <n v="1.39"/>
    <n v="6"/>
    <x v="5"/>
    <n v="453"/>
    <n v="434"/>
    <n v="-19"/>
    <n v="-4.1942604856512142"/>
    <x v="0"/>
    <n v="26.409999999999997"/>
    <n v="3"/>
    <n v="5"/>
    <n v="6.6024999999999991"/>
    <n v="7.9229999999999983"/>
    <x v="0"/>
    <n v="0"/>
    <s v="Ja - 20% Reduzierung"/>
    <n v="20"/>
    <n v="1.1100000000000001"/>
    <n v="68"/>
    <n v="18.899999999999999"/>
    <x v="3"/>
    <x v="4"/>
  </r>
  <r>
    <s v="F001"/>
    <x v="0"/>
    <s v="A012"/>
    <s v="Quark 500g"/>
    <x v="5"/>
    <n v="1.39"/>
    <n v="7"/>
    <x v="6"/>
    <n v="461"/>
    <n v="445"/>
    <n v="-16"/>
    <n v="-3.4707158351409979"/>
    <x v="0"/>
    <n v="22.24"/>
    <n v="3"/>
    <n v="4"/>
    <n v="5.56"/>
    <n v="6.6719999999999997"/>
    <x v="0"/>
    <n v="0"/>
    <s v="Ja - 20% Reduzierung"/>
    <n v="20"/>
    <n v="1.1100000000000001"/>
    <n v="37"/>
    <n v="10.29"/>
    <x v="1"/>
    <x v="0"/>
  </r>
  <r>
    <s v="F001"/>
    <x v="0"/>
    <s v="A012"/>
    <s v="Quark 500g"/>
    <x v="5"/>
    <n v="1.39"/>
    <n v="8"/>
    <x v="7"/>
    <n v="469"/>
    <n v="460"/>
    <n v="-9"/>
    <n v="-1.9189765458422177"/>
    <x v="0"/>
    <n v="12.51"/>
    <n v="6"/>
    <n v="2"/>
    <n v="3.1274999999999999"/>
    <n v="3.7529999999999997"/>
    <x v="0"/>
    <n v="0"/>
    <s v="Nein"/>
    <n v="0"/>
    <n v="1.39"/>
    <n v="0"/>
    <n v="0"/>
    <x v="0"/>
    <x v="5"/>
  </r>
  <r>
    <s v="F001"/>
    <x v="0"/>
    <s v="A012"/>
    <s v="Quark 500g"/>
    <x v="5"/>
    <n v="1.39"/>
    <n v="9"/>
    <x v="8"/>
    <n v="365"/>
    <n v="359"/>
    <n v="-6"/>
    <n v="-1.6438356164383561"/>
    <x v="0"/>
    <n v="8.34"/>
    <n v="6"/>
    <n v="1"/>
    <n v="2.085"/>
    <n v="2.5019999999999998"/>
    <x v="0"/>
    <n v="0"/>
    <s v="Nein"/>
    <n v="0"/>
    <n v="1.39"/>
    <n v="0"/>
    <n v="0"/>
    <x v="0"/>
    <x v="5"/>
  </r>
  <r>
    <s v="F001"/>
    <x v="0"/>
    <s v="A012"/>
    <s v="Quark 500g"/>
    <x v="5"/>
    <n v="1.39"/>
    <n v="10"/>
    <x v="9"/>
    <n v="404"/>
    <n v="405"/>
    <n v="1"/>
    <n v="0.24752475247524752"/>
    <x v="1"/>
    <n v="1.39"/>
    <n v="11"/>
    <n v="4"/>
    <n v="0"/>
    <n v="0"/>
    <x v="0"/>
    <n v="1"/>
    <s v="Nein"/>
    <n v="0"/>
    <n v="1.39"/>
    <n v="0"/>
    <n v="0"/>
    <x v="0"/>
    <x v="2"/>
  </r>
  <r>
    <s v="F001"/>
    <x v="0"/>
    <s v="A012"/>
    <s v="Quark 500g"/>
    <x v="5"/>
    <n v="1.39"/>
    <n v="11"/>
    <x v="10"/>
    <n v="462"/>
    <n v="450"/>
    <n v="-12"/>
    <n v="-2.5974025974025974"/>
    <x v="0"/>
    <n v="16.68"/>
    <n v="13"/>
    <n v="0"/>
    <n v="4.17"/>
    <n v="5.0039999999999996"/>
    <x v="3"/>
    <n v="0"/>
    <s v="Nein"/>
    <n v="0"/>
    <n v="1.39"/>
    <n v="0"/>
    <n v="0"/>
    <x v="0"/>
    <x v="1"/>
  </r>
  <r>
    <s v="F001"/>
    <x v="0"/>
    <s v="A012"/>
    <s v="Quark 500g"/>
    <x v="5"/>
    <n v="1.39"/>
    <n v="12"/>
    <x v="11"/>
    <n v="577"/>
    <n v="553"/>
    <n v="-24"/>
    <n v="-4.1594454072790299"/>
    <x v="0"/>
    <n v="33.36"/>
    <n v="2"/>
    <n v="0"/>
    <n v="8.34"/>
    <n v="10.007999999999999"/>
    <x v="4"/>
    <n v="0"/>
    <s v="Ja - 20% Reduzierung"/>
    <n v="20"/>
    <n v="1.1100000000000001"/>
    <n v="58"/>
    <n v="16.12"/>
    <x v="1"/>
    <x v="1"/>
  </r>
  <r>
    <s v="F001"/>
    <x v="0"/>
    <s v="A013"/>
    <s v="Skyr 450g"/>
    <x v="3"/>
    <n v="1.99"/>
    <n v="1"/>
    <x v="0"/>
    <n v="236"/>
    <n v="230"/>
    <n v="-6"/>
    <n v="-2.5423728813559325"/>
    <x v="0"/>
    <n v="11.94"/>
    <n v="20"/>
    <n v="3"/>
    <n v="2.9849999999999999"/>
    <n v="3.5819999999999999"/>
    <x v="0"/>
    <n v="0"/>
    <s v="Nein"/>
    <n v="0"/>
    <n v="1.99"/>
    <n v="0"/>
    <n v="0"/>
    <x v="0"/>
    <x v="0"/>
  </r>
  <r>
    <s v="F001"/>
    <x v="0"/>
    <s v="A013"/>
    <s v="Skyr 450g"/>
    <x v="3"/>
    <n v="1.99"/>
    <n v="2"/>
    <x v="1"/>
    <n v="223"/>
    <n v="223"/>
    <n v="0"/>
    <n v="0"/>
    <x v="2"/>
    <n v="0"/>
    <n v="12"/>
    <n v="6"/>
    <n v="0"/>
    <n v="0"/>
    <x v="1"/>
    <n v="0"/>
    <s v="Nein"/>
    <n v="0"/>
    <n v="1.99"/>
    <n v="0"/>
    <n v="0"/>
    <x v="0"/>
    <x v="5"/>
  </r>
  <r>
    <s v="F001"/>
    <x v="0"/>
    <s v="A013"/>
    <s v="Skyr 450g"/>
    <x v="3"/>
    <n v="1.99"/>
    <n v="3"/>
    <x v="2"/>
    <n v="276"/>
    <n v="272"/>
    <n v="-4"/>
    <n v="-1.4492753623188406"/>
    <x v="0"/>
    <n v="7.96"/>
    <n v="6"/>
    <n v="2"/>
    <n v="1.99"/>
    <n v="2.3879999999999999"/>
    <x v="0"/>
    <n v="0"/>
    <s v="Nein"/>
    <n v="0"/>
    <n v="1.99"/>
    <n v="0"/>
    <n v="0"/>
    <x v="0"/>
    <x v="5"/>
  </r>
  <r>
    <s v="F001"/>
    <x v="0"/>
    <s v="A013"/>
    <s v="Skyr 450g"/>
    <x v="3"/>
    <n v="1.99"/>
    <n v="4"/>
    <x v="3"/>
    <n v="322"/>
    <n v="314"/>
    <n v="-8"/>
    <n v="-2.4844720496894408"/>
    <x v="0"/>
    <n v="15.92"/>
    <n v="11"/>
    <n v="2"/>
    <n v="3.98"/>
    <n v="4.7759999999999998"/>
    <x v="2"/>
    <n v="0"/>
    <s v="Nein"/>
    <n v="0"/>
    <n v="1.99"/>
    <n v="0"/>
    <n v="0"/>
    <x v="0"/>
    <x v="0"/>
  </r>
  <r>
    <s v="F001"/>
    <x v="0"/>
    <s v="A013"/>
    <s v="Skyr 450g"/>
    <x v="3"/>
    <n v="1.99"/>
    <n v="5"/>
    <x v="4"/>
    <n v="240"/>
    <n v="233"/>
    <n v="-7"/>
    <n v="-2.9166666666666665"/>
    <x v="0"/>
    <n v="13.93"/>
    <n v="16"/>
    <n v="5"/>
    <n v="3.4824999999999999"/>
    <n v="4.1789999999999994"/>
    <x v="0"/>
    <n v="0"/>
    <s v="Nein"/>
    <n v="0"/>
    <n v="1.99"/>
    <n v="0"/>
    <n v="0"/>
    <x v="0"/>
    <x v="0"/>
  </r>
  <r>
    <s v="F001"/>
    <x v="0"/>
    <s v="A013"/>
    <s v="Skyr 450g"/>
    <x v="3"/>
    <n v="1.99"/>
    <n v="6"/>
    <x v="5"/>
    <n v="261"/>
    <n v="253"/>
    <n v="-8"/>
    <n v="-3.0651340996168579"/>
    <x v="0"/>
    <n v="15.92"/>
    <n v="18"/>
    <n v="0"/>
    <n v="3.98"/>
    <n v="4.7759999999999998"/>
    <x v="0"/>
    <n v="0"/>
    <s v="Nein"/>
    <n v="0"/>
    <n v="1.99"/>
    <n v="0"/>
    <n v="0"/>
    <x v="0"/>
    <x v="1"/>
  </r>
  <r>
    <s v="F001"/>
    <x v="0"/>
    <s v="A013"/>
    <s v="Skyr 450g"/>
    <x v="3"/>
    <n v="1.99"/>
    <n v="7"/>
    <x v="6"/>
    <n v="291"/>
    <n v="295"/>
    <n v="4"/>
    <n v="1.3745704467353952"/>
    <x v="1"/>
    <n v="7.96"/>
    <n v="17"/>
    <n v="5"/>
    <n v="0"/>
    <n v="0"/>
    <x v="0"/>
    <n v="4"/>
    <s v="Nein"/>
    <n v="0"/>
    <n v="1.99"/>
    <n v="0"/>
    <n v="0"/>
    <x v="0"/>
    <x v="2"/>
  </r>
  <r>
    <s v="F001"/>
    <x v="0"/>
    <s v="A013"/>
    <s v="Skyr 450g"/>
    <x v="3"/>
    <n v="1.99"/>
    <n v="8"/>
    <x v="7"/>
    <n v="282"/>
    <n v="275"/>
    <n v="-7"/>
    <n v="-2.4822695035460995"/>
    <x v="0"/>
    <n v="13.93"/>
    <n v="7"/>
    <n v="3"/>
    <n v="3.4824999999999999"/>
    <n v="4.1789999999999994"/>
    <x v="0"/>
    <n v="0"/>
    <s v="Nein"/>
    <n v="0"/>
    <n v="1.99"/>
    <n v="0"/>
    <n v="0"/>
    <x v="0"/>
    <x v="0"/>
  </r>
  <r>
    <s v="F001"/>
    <x v="0"/>
    <s v="A013"/>
    <s v="Skyr 450g"/>
    <x v="3"/>
    <n v="1.99"/>
    <n v="9"/>
    <x v="8"/>
    <n v="247"/>
    <n v="243"/>
    <n v="-4"/>
    <n v="-1.6194331983805668"/>
    <x v="0"/>
    <n v="7.96"/>
    <n v="3"/>
    <n v="6"/>
    <n v="1.99"/>
    <n v="2.3879999999999999"/>
    <x v="0"/>
    <n v="0"/>
    <s v="Ja - 20% Reduzierung"/>
    <n v="20"/>
    <n v="1.59"/>
    <n v="20"/>
    <n v="7.96"/>
    <x v="1"/>
    <x v="5"/>
  </r>
  <r>
    <s v="F001"/>
    <x v="0"/>
    <s v="A013"/>
    <s v="Skyr 450g"/>
    <x v="3"/>
    <n v="1.99"/>
    <n v="10"/>
    <x v="9"/>
    <n v="250"/>
    <n v="244"/>
    <n v="-6"/>
    <n v="-2.4"/>
    <x v="0"/>
    <n v="11.94"/>
    <n v="11"/>
    <n v="4"/>
    <n v="2.9849999999999999"/>
    <n v="3.5819999999999999"/>
    <x v="0"/>
    <n v="0"/>
    <s v="Nein"/>
    <n v="0"/>
    <n v="1.99"/>
    <n v="0"/>
    <n v="0"/>
    <x v="0"/>
    <x v="0"/>
  </r>
  <r>
    <s v="F001"/>
    <x v="0"/>
    <s v="A013"/>
    <s v="Skyr 450g"/>
    <x v="3"/>
    <n v="1.99"/>
    <n v="11"/>
    <x v="10"/>
    <n v="264"/>
    <n v="259"/>
    <n v="-5"/>
    <n v="-1.893939393939394"/>
    <x v="0"/>
    <n v="9.9499999999999993"/>
    <n v="16"/>
    <n v="7"/>
    <n v="2.4874999999999998"/>
    <n v="2.9849999999999999"/>
    <x v="3"/>
    <n v="0"/>
    <s v="Nein"/>
    <n v="0"/>
    <n v="1.99"/>
    <n v="0"/>
    <n v="0"/>
    <x v="0"/>
    <x v="5"/>
  </r>
  <r>
    <s v="F001"/>
    <x v="0"/>
    <s v="A013"/>
    <s v="Skyr 450g"/>
    <x v="3"/>
    <n v="1.99"/>
    <n v="12"/>
    <x v="11"/>
    <n v="340"/>
    <n v="332"/>
    <n v="-8"/>
    <n v="-2.3529411764705883"/>
    <x v="0"/>
    <n v="15.92"/>
    <n v="11"/>
    <n v="1"/>
    <n v="3.98"/>
    <n v="4.7759999999999998"/>
    <x v="4"/>
    <n v="0"/>
    <s v="Nein"/>
    <n v="0"/>
    <n v="1.99"/>
    <n v="0"/>
    <n v="0"/>
    <x v="0"/>
    <x v="1"/>
  </r>
  <r>
    <s v="F001"/>
    <x v="0"/>
    <s v="A014"/>
    <s v="Kefir 500ml"/>
    <x v="0"/>
    <n v="1.39"/>
    <n v="1"/>
    <x v="0"/>
    <n v="135"/>
    <n v="132"/>
    <n v="-3"/>
    <n v="-2.2222222222222223"/>
    <x v="0"/>
    <n v="4.17"/>
    <n v="1"/>
    <n v="3"/>
    <n v="1.0425"/>
    <n v="1.2509999999999999"/>
    <x v="0"/>
    <n v="0"/>
    <s v="Ja - 20% Reduzierung"/>
    <n v="20"/>
    <n v="1.1100000000000001"/>
    <n v="11"/>
    <n v="3.06"/>
    <x v="1"/>
    <x v="0"/>
  </r>
  <r>
    <s v="F001"/>
    <x v="0"/>
    <s v="A014"/>
    <s v="Kefir 500ml"/>
    <x v="0"/>
    <n v="1.39"/>
    <n v="2"/>
    <x v="1"/>
    <n v="128"/>
    <n v="125"/>
    <n v="-3"/>
    <n v="-2.34375"/>
    <x v="0"/>
    <n v="4.17"/>
    <n v="7"/>
    <n v="4"/>
    <n v="1.0425"/>
    <n v="1.2509999999999999"/>
    <x v="1"/>
    <n v="0"/>
    <s v="Nein"/>
    <n v="0"/>
    <n v="1.39"/>
    <n v="0"/>
    <n v="0"/>
    <x v="0"/>
    <x v="0"/>
  </r>
  <r>
    <s v="F001"/>
    <x v="0"/>
    <s v="A014"/>
    <s v="Kefir 500ml"/>
    <x v="0"/>
    <n v="1.39"/>
    <n v="3"/>
    <x v="2"/>
    <n v="150"/>
    <n v="150"/>
    <n v="0"/>
    <n v="0"/>
    <x v="2"/>
    <n v="0"/>
    <n v="0"/>
    <n v="3"/>
    <n v="0"/>
    <n v="0"/>
    <x v="0"/>
    <n v="0"/>
    <s v="Abschreibung"/>
    <n v="100"/>
    <n v="0"/>
    <n v="3"/>
    <n v="4.17"/>
    <x v="2"/>
    <x v="3"/>
  </r>
  <r>
    <s v="F001"/>
    <x v="0"/>
    <s v="A014"/>
    <s v="Kefir 500ml"/>
    <x v="0"/>
    <n v="1.39"/>
    <n v="4"/>
    <x v="3"/>
    <n v="188"/>
    <n v="196"/>
    <n v="8"/>
    <n v="4.2553191489361701"/>
    <x v="1"/>
    <n v="11.12"/>
    <n v="8"/>
    <n v="2"/>
    <n v="0"/>
    <n v="0"/>
    <x v="2"/>
    <n v="8"/>
    <s v="Nein"/>
    <n v="0"/>
    <n v="1.39"/>
    <n v="0"/>
    <n v="0"/>
    <x v="0"/>
    <x v="2"/>
  </r>
  <r>
    <s v="F001"/>
    <x v="0"/>
    <s v="A014"/>
    <s v="Kefir 500ml"/>
    <x v="0"/>
    <n v="1.39"/>
    <n v="5"/>
    <x v="4"/>
    <n v="144"/>
    <n v="138"/>
    <n v="-6"/>
    <n v="-4.1666666666666661"/>
    <x v="0"/>
    <n v="8.34"/>
    <n v="9"/>
    <n v="3"/>
    <n v="2.085"/>
    <n v="2.5019999999999998"/>
    <x v="0"/>
    <n v="0"/>
    <s v="Nein"/>
    <n v="0"/>
    <n v="1.39"/>
    <n v="0"/>
    <n v="0"/>
    <x v="0"/>
    <x v="0"/>
  </r>
  <r>
    <s v="F001"/>
    <x v="0"/>
    <s v="A014"/>
    <s v="Kefir 500ml"/>
    <x v="0"/>
    <n v="1.39"/>
    <n v="6"/>
    <x v="5"/>
    <n v="173"/>
    <n v="166"/>
    <n v="-7"/>
    <n v="-4.0462427745664744"/>
    <x v="0"/>
    <n v="9.7299999999999986"/>
    <n v="0"/>
    <n v="2"/>
    <n v="2.4324999999999997"/>
    <n v="2.9189999999999996"/>
    <x v="0"/>
    <n v="0"/>
    <s v="Abschreibung"/>
    <n v="100"/>
    <n v="0"/>
    <n v="5"/>
    <n v="6.95"/>
    <x v="2"/>
    <x v="3"/>
  </r>
  <r>
    <s v="F001"/>
    <x v="0"/>
    <s v="A014"/>
    <s v="Kefir 500ml"/>
    <x v="0"/>
    <n v="1.39"/>
    <n v="7"/>
    <x v="6"/>
    <n v="175"/>
    <n v="167"/>
    <n v="-8"/>
    <n v="-4.5714285714285712"/>
    <x v="0"/>
    <n v="11.12"/>
    <n v="2"/>
    <n v="3"/>
    <n v="2.78"/>
    <n v="3.3359999999999999"/>
    <x v="0"/>
    <n v="0"/>
    <s v="Ja - 20% Reduzierung"/>
    <n v="20"/>
    <n v="1.1100000000000001"/>
    <n v="12"/>
    <n v="3.34"/>
    <x v="1"/>
    <x v="0"/>
  </r>
  <r>
    <s v="F001"/>
    <x v="0"/>
    <s v="A014"/>
    <s v="Kefir 500ml"/>
    <x v="0"/>
    <n v="1.39"/>
    <n v="8"/>
    <x v="7"/>
    <n v="169"/>
    <n v="175"/>
    <n v="6"/>
    <n v="3.5502958579881656"/>
    <x v="1"/>
    <n v="8.34"/>
    <n v="4"/>
    <n v="4"/>
    <n v="0"/>
    <n v="0"/>
    <x v="0"/>
    <n v="6"/>
    <s v="Nein"/>
    <n v="0"/>
    <n v="1.39"/>
    <n v="0"/>
    <n v="0"/>
    <x v="0"/>
    <x v="2"/>
  </r>
  <r>
    <s v="F001"/>
    <x v="0"/>
    <s v="A014"/>
    <s v="Kefir 500ml"/>
    <x v="0"/>
    <n v="1.39"/>
    <n v="9"/>
    <x v="8"/>
    <n v="148"/>
    <n v="144"/>
    <n v="-4"/>
    <n v="-2.7027027027027026"/>
    <x v="0"/>
    <n v="5.56"/>
    <n v="2"/>
    <n v="2"/>
    <n v="1.39"/>
    <n v="1.6679999999999999"/>
    <x v="0"/>
    <n v="0"/>
    <s v="Ja - 20% Reduzierung"/>
    <n v="20"/>
    <n v="1.1100000000000001"/>
    <n v="10"/>
    <n v="2.78"/>
    <x v="1"/>
    <x v="0"/>
  </r>
  <r>
    <s v="F001"/>
    <x v="0"/>
    <s v="A014"/>
    <s v="Kefir 500ml"/>
    <x v="0"/>
    <n v="1.39"/>
    <n v="10"/>
    <x v="9"/>
    <n v="144"/>
    <n v="139"/>
    <n v="-5"/>
    <n v="-3.4722222222222223"/>
    <x v="0"/>
    <n v="6.9499999999999993"/>
    <n v="3"/>
    <n v="0"/>
    <n v="1.7374999999999998"/>
    <n v="2.0849999999999995"/>
    <x v="0"/>
    <n v="0"/>
    <s v="Ja - 20% Reduzierung"/>
    <n v="20"/>
    <n v="1.1100000000000001"/>
    <n v="12"/>
    <n v="3.34"/>
    <x v="1"/>
    <x v="1"/>
  </r>
  <r>
    <s v="F001"/>
    <x v="0"/>
    <s v="A014"/>
    <s v="Kefir 500ml"/>
    <x v="0"/>
    <n v="1.39"/>
    <n v="11"/>
    <x v="10"/>
    <n v="173"/>
    <n v="166"/>
    <n v="-7"/>
    <n v="-4.0462427745664744"/>
    <x v="0"/>
    <n v="9.7299999999999986"/>
    <n v="4"/>
    <n v="0"/>
    <n v="2.4324999999999997"/>
    <n v="2.9189999999999996"/>
    <x v="3"/>
    <n v="0"/>
    <s v="Nein"/>
    <n v="0"/>
    <n v="1.39"/>
    <n v="0"/>
    <n v="0"/>
    <x v="0"/>
    <x v="1"/>
  </r>
  <r>
    <s v="F001"/>
    <x v="0"/>
    <s v="A014"/>
    <s v="Kefir 500ml"/>
    <x v="0"/>
    <n v="1.39"/>
    <n v="12"/>
    <x v="11"/>
    <n v="216"/>
    <n v="216"/>
    <n v="0"/>
    <n v="0"/>
    <x v="2"/>
    <n v="0"/>
    <n v="4"/>
    <n v="1"/>
    <n v="0"/>
    <n v="0"/>
    <x v="4"/>
    <n v="0"/>
    <s v="Nein"/>
    <n v="0"/>
    <n v="1.39"/>
    <n v="0"/>
    <n v="0"/>
    <x v="0"/>
    <x v="5"/>
  </r>
  <r>
    <s v="F001"/>
    <x v="0"/>
    <s v="A015"/>
    <s v="Frischkäse 200g"/>
    <x v="2"/>
    <n v="1.49"/>
    <n v="1"/>
    <x v="0"/>
    <n v="180"/>
    <n v="186"/>
    <n v="6"/>
    <n v="3.3333333333333335"/>
    <x v="1"/>
    <n v="8.94"/>
    <n v="11"/>
    <n v="5"/>
    <n v="0"/>
    <n v="0"/>
    <x v="0"/>
    <n v="6"/>
    <s v="Nein"/>
    <n v="0"/>
    <n v="1.49"/>
    <n v="0"/>
    <n v="0"/>
    <x v="0"/>
    <x v="2"/>
  </r>
  <r>
    <s v="F001"/>
    <x v="0"/>
    <s v="A015"/>
    <s v="Frischkäse 200g"/>
    <x v="2"/>
    <n v="1.49"/>
    <n v="2"/>
    <x v="1"/>
    <n v="177"/>
    <n v="174"/>
    <n v="-3"/>
    <n v="-1.6949152542372881"/>
    <x v="0"/>
    <n v="4.47"/>
    <n v="16"/>
    <n v="6"/>
    <n v="1.1174999999999999"/>
    <n v="1.341"/>
    <x v="1"/>
    <n v="0"/>
    <s v="Nein"/>
    <n v="0"/>
    <n v="1.49"/>
    <n v="0"/>
    <n v="0"/>
    <x v="0"/>
    <x v="5"/>
  </r>
  <r>
    <s v="F001"/>
    <x v="0"/>
    <s v="A015"/>
    <s v="Frischkäse 200g"/>
    <x v="2"/>
    <n v="1.49"/>
    <n v="3"/>
    <x v="2"/>
    <n v="218"/>
    <n v="212"/>
    <n v="-6"/>
    <n v="-2.7522935779816518"/>
    <x v="0"/>
    <n v="8.94"/>
    <n v="12"/>
    <n v="6"/>
    <n v="2.2349999999999999"/>
    <n v="2.6819999999999999"/>
    <x v="0"/>
    <n v="0"/>
    <s v="Nein"/>
    <n v="0"/>
    <n v="1.49"/>
    <n v="0"/>
    <n v="0"/>
    <x v="0"/>
    <x v="0"/>
  </r>
  <r>
    <s v="F001"/>
    <x v="0"/>
    <s v="A015"/>
    <s v="Frischkäse 200g"/>
    <x v="2"/>
    <n v="1.49"/>
    <n v="4"/>
    <x v="3"/>
    <n v="253"/>
    <n v="248"/>
    <n v="-5"/>
    <n v="-1.9762845849802373"/>
    <x v="0"/>
    <n v="7.45"/>
    <n v="2"/>
    <n v="5"/>
    <n v="1.8625"/>
    <n v="2.2349999999999999"/>
    <x v="2"/>
    <n v="0"/>
    <s v="Ja - 20% Reduzierung"/>
    <n v="20"/>
    <n v="1.19"/>
    <n v="30"/>
    <n v="8.94"/>
    <x v="1"/>
    <x v="5"/>
  </r>
  <r>
    <s v="F001"/>
    <x v="0"/>
    <s v="A015"/>
    <s v="Frischkäse 200g"/>
    <x v="2"/>
    <n v="1.49"/>
    <n v="5"/>
    <x v="4"/>
    <n v="208"/>
    <n v="205"/>
    <n v="-3"/>
    <n v="-1.4423076923076923"/>
    <x v="0"/>
    <n v="4.47"/>
    <n v="20"/>
    <n v="1"/>
    <n v="1.1174999999999999"/>
    <n v="1.341"/>
    <x v="0"/>
    <n v="0"/>
    <s v="Nein"/>
    <n v="0"/>
    <n v="1.49"/>
    <n v="0"/>
    <n v="0"/>
    <x v="0"/>
    <x v="5"/>
  </r>
  <r>
    <s v="F001"/>
    <x v="0"/>
    <s v="A015"/>
    <s v="Frischkäse 200g"/>
    <x v="2"/>
    <n v="1.49"/>
    <n v="6"/>
    <x v="5"/>
    <n v="218"/>
    <n v="211"/>
    <n v="-7"/>
    <n v="-3.2110091743119269"/>
    <x v="0"/>
    <n v="10.43"/>
    <n v="8"/>
    <n v="2"/>
    <n v="2.6074999999999999"/>
    <n v="3.129"/>
    <x v="0"/>
    <n v="0"/>
    <s v="Nein"/>
    <n v="0"/>
    <n v="1.49"/>
    <n v="0"/>
    <n v="0"/>
    <x v="0"/>
    <x v="0"/>
  </r>
  <r>
    <s v="F001"/>
    <x v="0"/>
    <s v="A015"/>
    <s v="Frischkäse 200g"/>
    <x v="2"/>
    <n v="1.49"/>
    <n v="7"/>
    <x v="6"/>
    <n v="245"/>
    <n v="236"/>
    <n v="-9"/>
    <n v="-3.6734693877551026"/>
    <x v="0"/>
    <n v="13.41"/>
    <n v="19"/>
    <n v="0"/>
    <n v="3.3525"/>
    <n v="4.0229999999999997"/>
    <x v="0"/>
    <n v="0"/>
    <s v="Nein"/>
    <n v="0"/>
    <n v="1.49"/>
    <n v="0"/>
    <n v="0"/>
    <x v="0"/>
    <x v="1"/>
  </r>
  <r>
    <s v="F001"/>
    <x v="0"/>
    <s v="A015"/>
    <s v="Frischkäse 200g"/>
    <x v="2"/>
    <n v="1.49"/>
    <n v="8"/>
    <x v="7"/>
    <n v="228"/>
    <n v="221"/>
    <n v="-7"/>
    <n v="-3.070175438596491"/>
    <x v="0"/>
    <n v="10.43"/>
    <n v="1"/>
    <n v="4"/>
    <n v="2.6074999999999999"/>
    <n v="3.129"/>
    <x v="0"/>
    <n v="0"/>
    <s v="Ja - 20% Reduzierung"/>
    <n v="20"/>
    <n v="1.19"/>
    <n v="30"/>
    <n v="8.94"/>
    <x v="1"/>
    <x v="0"/>
  </r>
  <r>
    <s v="F001"/>
    <x v="0"/>
    <s v="A015"/>
    <s v="Frischkäse 200g"/>
    <x v="2"/>
    <n v="1.49"/>
    <n v="9"/>
    <x v="8"/>
    <n v="192"/>
    <n v="187"/>
    <n v="-5"/>
    <n v="-2.604166666666667"/>
    <x v="0"/>
    <n v="7.45"/>
    <n v="5"/>
    <n v="5"/>
    <n v="1.8625"/>
    <n v="2.2349999999999999"/>
    <x v="0"/>
    <n v="0"/>
    <s v="Nein"/>
    <n v="0"/>
    <n v="1.49"/>
    <n v="0"/>
    <n v="0"/>
    <x v="0"/>
    <x v="0"/>
  </r>
  <r>
    <s v="F001"/>
    <x v="0"/>
    <s v="A015"/>
    <s v="Frischkäse 200g"/>
    <x v="2"/>
    <n v="1.49"/>
    <n v="10"/>
    <x v="9"/>
    <n v="206"/>
    <n v="204"/>
    <n v="-2"/>
    <n v="-0.97087378640776689"/>
    <x v="0"/>
    <n v="2.98"/>
    <n v="9"/>
    <n v="3"/>
    <n v="0.745"/>
    <n v="0.89400000000000002"/>
    <x v="0"/>
    <n v="0"/>
    <s v="Nein"/>
    <n v="0"/>
    <n v="1.49"/>
    <n v="0"/>
    <n v="0"/>
    <x v="0"/>
    <x v="5"/>
  </r>
  <r>
    <s v="F001"/>
    <x v="0"/>
    <s v="A015"/>
    <s v="Frischkäse 200g"/>
    <x v="2"/>
    <n v="1.49"/>
    <n v="11"/>
    <x v="10"/>
    <n v="209"/>
    <n v="205"/>
    <n v="-4"/>
    <n v="-1.9138755980861244"/>
    <x v="0"/>
    <n v="5.96"/>
    <n v="21"/>
    <n v="5"/>
    <n v="1.49"/>
    <n v="1.788"/>
    <x v="3"/>
    <n v="0"/>
    <s v="Nein"/>
    <n v="0"/>
    <n v="1.49"/>
    <n v="0"/>
    <n v="0"/>
    <x v="0"/>
    <x v="5"/>
  </r>
  <r>
    <s v="F001"/>
    <x v="0"/>
    <s v="A015"/>
    <s v="Frischkäse 200g"/>
    <x v="2"/>
    <n v="1.49"/>
    <n v="12"/>
    <x v="11"/>
    <n v="288"/>
    <n v="284"/>
    <n v="-4"/>
    <n v="-1.3888888888888888"/>
    <x v="0"/>
    <n v="5.96"/>
    <n v="17"/>
    <n v="6"/>
    <n v="1.49"/>
    <n v="1.788"/>
    <x v="4"/>
    <n v="0"/>
    <s v="Nein"/>
    <n v="0"/>
    <n v="1.49"/>
    <n v="0"/>
    <n v="0"/>
    <x v="0"/>
    <x v="5"/>
  </r>
  <r>
    <s v="F002"/>
    <x v="1"/>
    <s v="A001"/>
    <s v="Vollmilch 1L"/>
    <x v="0"/>
    <n v="1.19"/>
    <n v="1"/>
    <x v="0"/>
    <n v="342"/>
    <n v="326"/>
    <n v="-16"/>
    <n v="-4.6783625730994149"/>
    <x v="0"/>
    <n v="19.04"/>
    <n v="2"/>
    <n v="1"/>
    <n v="4.76"/>
    <n v="5.7119999999999997"/>
    <x v="0"/>
    <n v="0"/>
    <s v="Ja - 20% Reduzierung"/>
    <n v="20"/>
    <n v="0.95"/>
    <n v="38"/>
    <n v="9.0399999999999991"/>
    <x v="1"/>
    <x v="1"/>
  </r>
  <r>
    <s v="F002"/>
    <x v="1"/>
    <s v="A001"/>
    <s v="Vollmilch 1L"/>
    <x v="0"/>
    <n v="1.19"/>
    <n v="2"/>
    <x v="1"/>
    <n v="330"/>
    <n v="320"/>
    <n v="-10"/>
    <n v="-3.0303030303030303"/>
    <x v="0"/>
    <n v="11.899999999999999"/>
    <n v="2"/>
    <n v="3"/>
    <n v="2.9749999999999996"/>
    <n v="3.5699999999999994"/>
    <x v="1"/>
    <n v="0"/>
    <s v="Ja - 20% Reduzierung"/>
    <n v="20"/>
    <n v="0.95"/>
    <n v="40"/>
    <n v="9.52"/>
    <x v="1"/>
    <x v="0"/>
  </r>
  <r>
    <s v="F002"/>
    <x v="1"/>
    <s v="A001"/>
    <s v="Vollmilch 1L"/>
    <x v="0"/>
    <n v="1.19"/>
    <n v="3"/>
    <x v="2"/>
    <n v="441"/>
    <n v="421"/>
    <n v="-20"/>
    <n v="-4.5351473922902494"/>
    <x v="0"/>
    <n v="23.799999999999997"/>
    <n v="6"/>
    <n v="1"/>
    <n v="5.9499999999999993"/>
    <n v="7.1399999999999988"/>
    <x v="0"/>
    <n v="0"/>
    <s v="Nein"/>
    <n v="0"/>
    <n v="1.19"/>
    <n v="0"/>
    <n v="0"/>
    <x v="0"/>
    <x v="1"/>
  </r>
  <r>
    <s v="F002"/>
    <x v="1"/>
    <s v="A001"/>
    <s v="Vollmilch 1L"/>
    <x v="0"/>
    <n v="1.19"/>
    <n v="4"/>
    <x v="3"/>
    <n v="510"/>
    <n v="491"/>
    <n v="-19"/>
    <n v="-3.7254901960784315"/>
    <x v="0"/>
    <n v="22.61"/>
    <n v="4"/>
    <n v="3"/>
    <n v="5.6524999999999999"/>
    <n v="6.7829999999999995"/>
    <x v="2"/>
    <n v="0"/>
    <s v="Nein"/>
    <n v="0"/>
    <n v="1.19"/>
    <n v="0"/>
    <n v="0"/>
    <x v="0"/>
    <x v="0"/>
  </r>
  <r>
    <s v="F002"/>
    <x v="1"/>
    <s v="A001"/>
    <s v="Vollmilch 1L"/>
    <x v="0"/>
    <n v="1.19"/>
    <n v="5"/>
    <x v="4"/>
    <n v="412"/>
    <n v="400"/>
    <n v="-12"/>
    <n v="-2.912621359223301"/>
    <x v="0"/>
    <n v="14.28"/>
    <n v="4"/>
    <n v="2"/>
    <n v="3.57"/>
    <n v="4.2839999999999998"/>
    <x v="0"/>
    <n v="0"/>
    <s v="Nein"/>
    <n v="0"/>
    <n v="1.19"/>
    <n v="0"/>
    <n v="0"/>
    <x v="0"/>
    <x v="0"/>
  </r>
  <r>
    <s v="F002"/>
    <x v="1"/>
    <s v="A001"/>
    <s v="Vollmilch 1L"/>
    <x v="0"/>
    <n v="1.19"/>
    <n v="6"/>
    <x v="5"/>
    <n v="418"/>
    <n v="393"/>
    <n v="-25"/>
    <n v="-5.9808612440191391"/>
    <x v="0"/>
    <n v="29.75"/>
    <n v="1"/>
    <n v="0"/>
    <n v="7.4375"/>
    <n v="8.9249999999999989"/>
    <x v="0"/>
    <n v="0"/>
    <s v="Ja - 20% Reduzierung"/>
    <n v="20"/>
    <n v="0.95"/>
    <n v="59"/>
    <n v="14.04"/>
    <x v="1"/>
    <x v="1"/>
  </r>
  <r>
    <s v="F002"/>
    <x v="1"/>
    <s v="A001"/>
    <s v="Vollmilch 1L"/>
    <x v="0"/>
    <n v="1.19"/>
    <n v="7"/>
    <x v="6"/>
    <n v="490"/>
    <n v="466"/>
    <n v="-24"/>
    <n v="-4.8979591836734695"/>
    <x v="0"/>
    <n v="28.56"/>
    <n v="4"/>
    <n v="3"/>
    <n v="7.14"/>
    <n v="8.5679999999999996"/>
    <x v="0"/>
    <n v="0"/>
    <s v="Nein"/>
    <n v="0"/>
    <n v="1.19"/>
    <n v="0"/>
    <n v="0"/>
    <x v="0"/>
    <x v="0"/>
  </r>
  <r>
    <s v="F002"/>
    <x v="1"/>
    <s v="A001"/>
    <s v="Vollmilch 1L"/>
    <x v="0"/>
    <n v="1.19"/>
    <n v="8"/>
    <x v="7"/>
    <n v="437"/>
    <n v="421"/>
    <n v="-16"/>
    <n v="-3.6613272311212817"/>
    <x v="0"/>
    <n v="19.04"/>
    <n v="7"/>
    <n v="0"/>
    <n v="4.76"/>
    <n v="5.7119999999999997"/>
    <x v="0"/>
    <n v="0"/>
    <s v="Nein"/>
    <n v="0"/>
    <n v="1.19"/>
    <n v="0"/>
    <n v="0"/>
    <x v="0"/>
    <x v="1"/>
  </r>
  <r>
    <s v="F002"/>
    <x v="1"/>
    <s v="A001"/>
    <s v="Vollmilch 1L"/>
    <x v="0"/>
    <n v="1.19"/>
    <n v="9"/>
    <x v="8"/>
    <n v="376"/>
    <n v="361"/>
    <n v="-15"/>
    <n v="-3.9893617021276597"/>
    <x v="0"/>
    <n v="17.849999999999998"/>
    <n v="5"/>
    <n v="0"/>
    <n v="4.4624999999999995"/>
    <n v="5.3549999999999995"/>
    <x v="0"/>
    <n v="0"/>
    <s v="Nein"/>
    <n v="0"/>
    <n v="1.19"/>
    <n v="0"/>
    <n v="0"/>
    <x v="0"/>
    <x v="1"/>
  </r>
  <r>
    <s v="F002"/>
    <x v="1"/>
    <s v="A001"/>
    <s v="Vollmilch 1L"/>
    <x v="0"/>
    <n v="1.19"/>
    <n v="10"/>
    <x v="9"/>
    <n v="408"/>
    <n v="390"/>
    <n v="-18"/>
    <n v="-4.4117647058823533"/>
    <x v="0"/>
    <n v="21.419999999999998"/>
    <n v="3"/>
    <n v="1"/>
    <n v="5.3549999999999995"/>
    <n v="6.4259999999999993"/>
    <x v="0"/>
    <n v="0"/>
    <s v="Ja - 20% Reduzierung"/>
    <n v="20"/>
    <n v="0.95"/>
    <n v="33"/>
    <n v="7.85"/>
    <x v="1"/>
    <x v="1"/>
  </r>
  <r>
    <s v="F002"/>
    <x v="1"/>
    <s v="A001"/>
    <s v="Vollmilch 1L"/>
    <x v="0"/>
    <n v="1.19"/>
    <n v="11"/>
    <x v="10"/>
    <n v="418"/>
    <n v="398"/>
    <n v="-20"/>
    <n v="-4.7846889952153111"/>
    <x v="0"/>
    <n v="23.799999999999997"/>
    <n v="6"/>
    <n v="3"/>
    <n v="5.9499999999999993"/>
    <n v="7.1399999999999988"/>
    <x v="3"/>
    <n v="0"/>
    <s v="Nein"/>
    <n v="0"/>
    <n v="1.19"/>
    <n v="0"/>
    <n v="0"/>
    <x v="0"/>
    <x v="0"/>
  </r>
  <r>
    <s v="F002"/>
    <x v="1"/>
    <s v="A001"/>
    <s v="Vollmilch 1L"/>
    <x v="0"/>
    <n v="1.19"/>
    <n v="12"/>
    <x v="11"/>
    <n v="577"/>
    <n v="579"/>
    <n v="2"/>
    <n v="0.34662045060658575"/>
    <x v="1"/>
    <n v="2.38"/>
    <n v="1"/>
    <n v="0"/>
    <n v="0"/>
    <n v="0"/>
    <x v="4"/>
    <n v="2"/>
    <s v="Ja - 20% Reduzierung"/>
    <n v="20"/>
    <n v="0.95"/>
    <n v="52"/>
    <n v="12.38"/>
    <x v="1"/>
    <x v="2"/>
  </r>
  <r>
    <s v="F002"/>
    <x v="1"/>
    <s v="A002"/>
    <s v="Fettarme Milch 1L"/>
    <x v="0"/>
    <n v="1.0900000000000001"/>
    <n v="1"/>
    <x v="0"/>
    <n v="327"/>
    <n v="330"/>
    <n v="3"/>
    <n v="0.91743119266055051"/>
    <x v="1"/>
    <n v="3.2700000000000005"/>
    <n v="0"/>
    <n v="2"/>
    <n v="0"/>
    <n v="0"/>
    <x v="0"/>
    <n v="3"/>
    <s v="Abschreibung"/>
    <n v="100"/>
    <n v="0"/>
    <n v="3"/>
    <n v="3.27"/>
    <x v="1"/>
    <x v="3"/>
  </r>
  <r>
    <s v="F002"/>
    <x v="1"/>
    <s v="A002"/>
    <s v="Fettarme Milch 1L"/>
    <x v="0"/>
    <n v="1.0900000000000001"/>
    <n v="2"/>
    <x v="1"/>
    <n v="303"/>
    <n v="293"/>
    <n v="-10"/>
    <n v="-3.3003300330032999"/>
    <x v="0"/>
    <n v="10.9"/>
    <n v="6"/>
    <n v="0"/>
    <n v="2.7250000000000001"/>
    <n v="3.27"/>
    <x v="1"/>
    <n v="0"/>
    <s v="Nein"/>
    <n v="0"/>
    <n v="1.0900000000000001"/>
    <n v="0"/>
    <n v="0"/>
    <x v="0"/>
    <x v="1"/>
  </r>
  <r>
    <s v="F002"/>
    <x v="1"/>
    <s v="A002"/>
    <s v="Fettarme Milch 1L"/>
    <x v="0"/>
    <n v="1.0900000000000001"/>
    <n v="3"/>
    <x v="2"/>
    <n v="367"/>
    <n v="353"/>
    <n v="-14"/>
    <n v="-3.8147138964577656"/>
    <x v="0"/>
    <n v="15.260000000000002"/>
    <n v="3"/>
    <n v="2"/>
    <n v="3.8150000000000004"/>
    <n v="4.5780000000000003"/>
    <x v="0"/>
    <n v="0"/>
    <s v="Ja - 20% Reduzierung"/>
    <n v="20"/>
    <n v="0.87"/>
    <n v="51"/>
    <n v="11.12"/>
    <x v="1"/>
    <x v="0"/>
  </r>
  <r>
    <s v="F002"/>
    <x v="1"/>
    <s v="A002"/>
    <s v="Fettarme Milch 1L"/>
    <x v="0"/>
    <n v="1.0900000000000001"/>
    <n v="4"/>
    <x v="3"/>
    <n v="464"/>
    <n v="438"/>
    <n v="-26"/>
    <n v="-5.6034482758620694"/>
    <x v="0"/>
    <n v="28.340000000000003"/>
    <n v="3"/>
    <n v="0"/>
    <n v="7.0850000000000009"/>
    <n v="8.5020000000000007"/>
    <x v="2"/>
    <n v="0"/>
    <s v="Ja - 20% Reduzierung"/>
    <n v="20"/>
    <n v="0.87"/>
    <n v="46"/>
    <n v="10.029999999999999"/>
    <x v="1"/>
    <x v="1"/>
  </r>
  <r>
    <s v="F002"/>
    <x v="1"/>
    <s v="A002"/>
    <s v="Fettarme Milch 1L"/>
    <x v="0"/>
    <n v="1.0900000000000001"/>
    <n v="5"/>
    <x v="4"/>
    <n v="342"/>
    <n v="329"/>
    <n v="-13"/>
    <n v="-3.8011695906432745"/>
    <x v="0"/>
    <n v="14.170000000000002"/>
    <n v="7"/>
    <n v="0"/>
    <n v="3.5425000000000004"/>
    <n v="4.2510000000000003"/>
    <x v="0"/>
    <n v="0"/>
    <s v="Nein"/>
    <n v="0"/>
    <n v="1.0900000000000001"/>
    <n v="0"/>
    <n v="0"/>
    <x v="0"/>
    <x v="1"/>
  </r>
  <r>
    <s v="F002"/>
    <x v="1"/>
    <s v="A002"/>
    <s v="Fettarme Milch 1L"/>
    <x v="0"/>
    <n v="1.0900000000000001"/>
    <n v="6"/>
    <x v="5"/>
    <n v="392"/>
    <n v="372"/>
    <n v="-20"/>
    <n v="-5.1020408163265305"/>
    <x v="0"/>
    <n v="21.8"/>
    <n v="5"/>
    <n v="3"/>
    <n v="5.45"/>
    <n v="6.54"/>
    <x v="0"/>
    <n v="0"/>
    <s v="Nein"/>
    <n v="0"/>
    <n v="1.0900000000000001"/>
    <n v="0"/>
    <n v="0"/>
    <x v="0"/>
    <x v="0"/>
  </r>
  <r>
    <s v="F002"/>
    <x v="1"/>
    <s v="A002"/>
    <s v="Fettarme Milch 1L"/>
    <x v="0"/>
    <n v="1.0900000000000001"/>
    <n v="7"/>
    <x v="6"/>
    <n v="419"/>
    <n v="402"/>
    <n v="-17"/>
    <n v="-4.0572792362768499"/>
    <x v="0"/>
    <n v="18.53"/>
    <n v="6"/>
    <n v="2"/>
    <n v="4.6325000000000003"/>
    <n v="5.5590000000000002"/>
    <x v="0"/>
    <n v="0"/>
    <s v="Nein"/>
    <n v="0"/>
    <n v="1.0900000000000001"/>
    <n v="0"/>
    <n v="0"/>
    <x v="0"/>
    <x v="0"/>
  </r>
  <r>
    <s v="F002"/>
    <x v="1"/>
    <s v="A002"/>
    <s v="Fettarme Milch 1L"/>
    <x v="0"/>
    <n v="1.0900000000000001"/>
    <n v="8"/>
    <x v="7"/>
    <n v="410"/>
    <n v="392"/>
    <n v="-18"/>
    <n v="-4.3902439024390238"/>
    <x v="0"/>
    <n v="19.62"/>
    <n v="2"/>
    <n v="2"/>
    <n v="4.9050000000000002"/>
    <n v="5.8860000000000001"/>
    <x v="0"/>
    <n v="0"/>
    <s v="Ja - 20% Reduzierung"/>
    <n v="20"/>
    <n v="0.87"/>
    <n v="41"/>
    <n v="8.94"/>
    <x v="1"/>
    <x v="0"/>
  </r>
  <r>
    <s v="F002"/>
    <x v="1"/>
    <s v="A002"/>
    <s v="Fettarme Milch 1L"/>
    <x v="0"/>
    <n v="1.0900000000000001"/>
    <n v="9"/>
    <x v="8"/>
    <n v="335"/>
    <n v="322"/>
    <n v="-13"/>
    <n v="-3.8805970149253728"/>
    <x v="0"/>
    <n v="14.170000000000002"/>
    <n v="5"/>
    <n v="0"/>
    <n v="3.5425000000000004"/>
    <n v="4.2510000000000003"/>
    <x v="0"/>
    <n v="0"/>
    <s v="Nein"/>
    <n v="0"/>
    <n v="1.0900000000000001"/>
    <n v="0"/>
    <n v="0"/>
    <x v="0"/>
    <x v="1"/>
  </r>
  <r>
    <s v="F002"/>
    <x v="1"/>
    <s v="A002"/>
    <s v="Fettarme Milch 1L"/>
    <x v="0"/>
    <n v="1.0900000000000001"/>
    <n v="10"/>
    <x v="9"/>
    <n v="353"/>
    <n v="341"/>
    <n v="-12"/>
    <n v="-3.3994334277620402"/>
    <x v="0"/>
    <n v="13.080000000000002"/>
    <n v="1"/>
    <n v="1"/>
    <n v="3.2700000000000005"/>
    <n v="3.9240000000000004"/>
    <x v="0"/>
    <n v="0"/>
    <s v="Ja - 20% Reduzierung"/>
    <n v="20"/>
    <n v="0.87"/>
    <n v="35"/>
    <n v="7.63"/>
    <x v="1"/>
    <x v="1"/>
  </r>
  <r>
    <s v="F002"/>
    <x v="1"/>
    <s v="A002"/>
    <s v="Fettarme Milch 1L"/>
    <x v="0"/>
    <n v="1.0900000000000001"/>
    <n v="11"/>
    <x v="10"/>
    <n v="384"/>
    <n v="392"/>
    <n v="8"/>
    <n v="2.083333333333333"/>
    <x v="1"/>
    <n v="8.7200000000000006"/>
    <n v="7"/>
    <n v="1"/>
    <n v="0"/>
    <n v="0"/>
    <x v="3"/>
    <n v="8"/>
    <s v="Nein"/>
    <n v="0"/>
    <n v="1.0900000000000001"/>
    <n v="0"/>
    <n v="0"/>
    <x v="0"/>
    <x v="2"/>
  </r>
  <r>
    <s v="F002"/>
    <x v="1"/>
    <s v="A002"/>
    <s v="Fettarme Milch 1L"/>
    <x v="0"/>
    <n v="1.0900000000000001"/>
    <n v="12"/>
    <x v="11"/>
    <n v="499"/>
    <n v="470"/>
    <n v="-29"/>
    <n v="-5.811623246492986"/>
    <x v="0"/>
    <n v="31.610000000000003"/>
    <n v="1"/>
    <n v="0"/>
    <n v="7.9025000000000007"/>
    <n v="9.4830000000000005"/>
    <x v="4"/>
    <n v="0"/>
    <s v="Ja - 20% Reduzierung"/>
    <n v="20"/>
    <n v="0.87"/>
    <n v="70"/>
    <n v="15.26"/>
    <x v="1"/>
    <x v="1"/>
  </r>
  <r>
    <s v="F002"/>
    <x v="1"/>
    <s v="A003"/>
    <s v="Bio-Milch 1L"/>
    <x v="0"/>
    <n v="1.59"/>
    <n v="1"/>
    <x v="0"/>
    <n v="138"/>
    <n v="139"/>
    <n v="1"/>
    <n v="0.72463768115942029"/>
    <x v="1"/>
    <n v="1.59"/>
    <n v="1"/>
    <n v="3"/>
    <n v="0"/>
    <n v="0"/>
    <x v="0"/>
    <n v="1"/>
    <s v="Ja - 20% Reduzierung"/>
    <n v="20"/>
    <n v="1.27"/>
    <n v="17"/>
    <n v="5.41"/>
    <x v="1"/>
    <x v="2"/>
  </r>
  <r>
    <s v="F002"/>
    <x v="1"/>
    <s v="A003"/>
    <s v="Bio-Milch 1L"/>
    <x v="0"/>
    <n v="1.59"/>
    <n v="2"/>
    <x v="1"/>
    <n v="131"/>
    <n v="127"/>
    <n v="-4"/>
    <n v="-3.0534351145038165"/>
    <x v="0"/>
    <n v="6.36"/>
    <n v="3"/>
    <n v="1"/>
    <n v="1.59"/>
    <n v="1.9079999999999999"/>
    <x v="1"/>
    <n v="0"/>
    <s v="Ja - 20% Reduzierung"/>
    <n v="20"/>
    <n v="1.27"/>
    <n v="14"/>
    <n v="4.45"/>
    <x v="1"/>
    <x v="1"/>
  </r>
  <r>
    <s v="F002"/>
    <x v="1"/>
    <s v="A003"/>
    <s v="Bio-Milch 1L"/>
    <x v="0"/>
    <n v="1.59"/>
    <n v="3"/>
    <x v="2"/>
    <n v="166"/>
    <n v="160"/>
    <n v="-6"/>
    <n v="-3.6144578313253009"/>
    <x v="0"/>
    <n v="9.5400000000000009"/>
    <n v="0"/>
    <n v="2"/>
    <n v="2.3850000000000002"/>
    <n v="2.8620000000000001"/>
    <x v="0"/>
    <n v="0"/>
    <s v="Abschreibung"/>
    <n v="100"/>
    <n v="0"/>
    <n v="2"/>
    <n v="3.18"/>
    <x v="1"/>
    <x v="3"/>
  </r>
  <r>
    <s v="F002"/>
    <x v="1"/>
    <s v="A003"/>
    <s v="Bio-Milch 1L"/>
    <x v="0"/>
    <n v="1.59"/>
    <n v="4"/>
    <x v="3"/>
    <n v="204"/>
    <n v="197"/>
    <n v="-7"/>
    <n v="-3.4313725490196081"/>
    <x v="0"/>
    <n v="11.13"/>
    <n v="6"/>
    <n v="3"/>
    <n v="2.7825000000000002"/>
    <n v="3.339"/>
    <x v="2"/>
    <n v="0"/>
    <s v="Nein"/>
    <n v="0"/>
    <n v="1.59"/>
    <n v="0"/>
    <n v="0"/>
    <x v="0"/>
    <x v="0"/>
  </r>
  <r>
    <s v="F002"/>
    <x v="1"/>
    <s v="A003"/>
    <s v="Bio-Milch 1L"/>
    <x v="0"/>
    <n v="1.59"/>
    <n v="5"/>
    <x v="4"/>
    <n v="155"/>
    <n v="148"/>
    <n v="-7"/>
    <n v="-4.5161290322580641"/>
    <x v="0"/>
    <n v="11.13"/>
    <n v="4"/>
    <n v="2"/>
    <n v="2.7825000000000002"/>
    <n v="3.339"/>
    <x v="0"/>
    <n v="0"/>
    <s v="Nein"/>
    <n v="0"/>
    <n v="1.59"/>
    <n v="0"/>
    <n v="0"/>
    <x v="0"/>
    <x v="0"/>
  </r>
  <r>
    <s v="F002"/>
    <x v="1"/>
    <s v="A003"/>
    <s v="Bio-Milch 1L"/>
    <x v="0"/>
    <n v="1.59"/>
    <n v="6"/>
    <x v="5"/>
    <n v="174"/>
    <n v="165"/>
    <n v="-9"/>
    <n v="-5.1724137931034484"/>
    <x v="0"/>
    <n v="14.31"/>
    <n v="4"/>
    <n v="2"/>
    <n v="3.5775000000000001"/>
    <n v="4.2930000000000001"/>
    <x v="0"/>
    <n v="0"/>
    <s v="Nein"/>
    <n v="0"/>
    <n v="1.59"/>
    <n v="0"/>
    <n v="0"/>
    <x v="0"/>
    <x v="0"/>
  </r>
  <r>
    <s v="F002"/>
    <x v="1"/>
    <s v="A003"/>
    <s v="Bio-Milch 1L"/>
    <x v="0"/>
    <n v="1.59"/>
    <n v="7"/>
    <x v="6"/>
    <n v="200"/>
    <n v="193"/>
    <n v="-7"/>
    <n v="-3.5000000000000004"/>
    <x v="0"/>
    <n v="11.13"/>
    <n v="7"/>
    <n v="1"/>
    <n v="2.7825000000000002"/>
    <n v="3.339"/>
    <x v="0"/>
    <n v="0"/>
    <s v="Nein"/>
    <n v="0"/>
    <n v="1.59"/>
    <n v="0"/>
    <n v="0"/>
    <x v="0"/>
    <x v="1"/>
  </r>
  <r>
    <s v="F002"/>
    <x v="1"/>
    <s v="A003"/>
    <s v="Bio-Milch 1L"/>
    <x v="0"/>
    <n v="1.59"/>
    <n v="8"/>
    <x v="7"/>
    <n v="177"/>
    <n v="185"/>
    <n v="8"/>
    <n v="4.5197740112994351"/>
    <x v="1"/>
    <n v="12.72"/>
    <n v="5"/>
    <n v="0"/>
    <n v="0"/>
    <n v="0"/>
    <x v="0"/>
    <n v="8"/>
    <s v="Nein"/>
    <n v="0"/>
    <n v="1.59"/>
    <n v="0"/>
    <n v="0"/>
    <x v="0"/>
    <x v="2"/>
  </r>
  <r>
    <s v="F002"/>
    <x v="1"/>
    <s v="A003"/>
    <s v="Bio-Milch 1L"/>
    <x v="0"/>
    <n v="1.59"/>
    <n v="9"/>
    <x v="8"/>
    <n v="157"/>
    <n v="157"/>
    <n v="0"/>
    <n v="0"/>
    <x v="2"/>
    <n v="0"/>
    <n v="5"/>
    <n v="3"/>
    <n v="0"/>
    <n v="0"/>
    <x v="0"/>
    <n v="0"/>
    <s v="Nein"/>
    <n v="0"/>
    <n v="1.59"/>
    <n v="0"/>
    <n v="0"/>
    <x v="0"/>
    <x v="5"/>
  </r>
  <r>
    <s v="F002"/>
    <x v="1"/>
    <s v="A003"/>
    <s v="Bio-Milch 1L"/>
    <x v="0"/>
    <n v="1.59"/>
    <n v="10"/>
    <x v="9"/>
    <n v="155"/>
    <n v="149"/>
    <n v="-6"/>
    <n v="-3.870967741935484"/>
    <x v="0"/>
    <n v="9.5400000000000009"/>
    <n v="3"/>
    <n v="2"/>
    <n v="2.3850000000000002"/>
    <n v="2.8620000000000001"/>
    <x v="0"/>
    <n v="0"/>
    <s v="Ja - 20% Reduzierung"/>
    <n v="20"/>
    <n v="1.27"/>
    <n v="9"/>
    <n v="2.86"/>
    <x v="1"/>
    <x v="0"/>
  </r>
  <r>
    <s v="F002"/>
    <x v="1"/>
    <s v="A003"/>
    <s v="Bio-Milch 1L"/>
    <x v="0"/>
    <n v="1.59"/>
    <n v="11"/>
    <x v="10"/>
    <n v="180"/>
    <n v="188"/>
    <n v="8"/>
    <n v="4.4444444444444446"/>
    <x v="1"/>
    <n v="12.72"/>
    <n v="4"/>
    <n v="0"/>
    <n v="0"/>
    <n v="0"/>
    <x v="3"/>
    <n v="8"/>
    <s v="Nein"/>
    <n v="0"/>
    <n v="1.59"/>
    <n v="0"/>
    <n v="0"/>
    <x v="0"/>
    <x v="2"/>
  </r>
  <r>
    <s v="F002"/>
    <x v="1"/>
    <s v="A003"/>
    <s v="Bio-Milch 1L"/>
    <x v="0"/>
    <n v="1.59"/>
    <n v="12"/>
    <x v="11"/>
    <n v="217"/>
    <n v="222"/>
    <n v="5"/>
    <n v="2.3041474654377883"/>
    <x v="1"/>
    <n v="7.95"/>
    <n v="7"/>
    <n v="1"/>
    <n v="0"/>
    <n v="0"/>
    <x v="4"/>
    <n v="5"/>
    <s v="Nein"/>
    <n v="0"/>
    <n v="1.59"/>
    <n v="0"/>
    <n v="0"/>
    <x v="0"/>
    <x v="2"/>
  </r>
  <r>
    <s v="F002"/>
    <x v="1"/>
    <s v="A004"/>
    <s v="Butter 250g"/>
    <x v="1"/>
    <n v="2.29"/>
    <n v="1"/>
    <x v="0"/>
    <n v="291"/>
    <n v="286"/>
    <n v="-5"/>
    <n v="-1.7182130584192441"/>
    <x v="0"/>
    <n v="11.45"/>
    <n v="18"/>
    <n v="7"/>
    <n v="2.8624999999999998"/>
    <n v="3.4349999999999996"/>
    <x v="0"/>
    <n v="0"/>
    <s v="Nein"/>
    <n v="0"/>
    <n v="2.29"/>
    <n v="0"/>
    <n v="0"/>
    <x v="0"/>
    <x v="5"/>
  </r>
  <r>
    <s v="F002"/>
    <x v="1"/>
    <s v="A004"/>
    <s v="Butter 250g"/>
    <x v="1"/>
    <n v="2.29"/>
    <n v="2"/>
    <x v="1"/>
    <n v="275"/>
    <n v="273"/>
    <n v="-2"/>
    <n v="-0.72727272727272729"/>
    <x v="0"/>
    <n v="4.58"/>
    <n v="1"/>
    <n v="0"/>
    <n v="1.145"/>
    <n v="1.3739999999999999"/>
    <x v="1"/>
    <n v="0"/>
    <s v="Ja - 20% Reduzierung"/>
    <n v="20"/>
    <n v="1.83"/>
    <n v="41"/>
    <n v="18.78"/>
    <x v="1"/>
    <x v="5"/>
  </r>
  <r>
    <s v="F002"/>
    <x v="1"/>
    <s v="A004"/>
    <s v="Butter 250g"/>
    <x v="1"/>
    <n v="2.29"/>
    <n v="3"/>
    <x v="2"/>
    <n v="343"/>
    <n v="337"/>
    <n v="-6"/>
    <n v="-1.749271137026239"/>
    <x v="0"/>
    <n v="13.74"/>
    <n v="18"/>
    <n v="3"/>
    <n v="3.4350000000000001"/>
    <n v="4.1219999999999999"/>
    <x v="0"/>
    <n v="0"/>
    <s v="Nein"/>
    <n v="0"/>
    <n v="2.29"/>
    <n v="0"/>
    <n v="0"/>
    <x v="0"/>
    <x v="5"/>
  </r>
  <r>
    <s v="F002"/>
    <x v="1"/>
    <s v="A004"/>
    <s v="Butter 250g"/>
    <x v="1"/>
    <n v="2.29"/>
    <n v="4"/>
    <x v="3"/>
    <n v="388"/>
    <n v="383"/>
    <n v="-5"/>
    <n v="-1.2886597938144329"/>
    <x v="0"/>
    <n v="11.45"/>
    <n v="24"/>
    <n v="2"/>
    <n v="2.8624999999999998"/>
    <n v="3.4349999999999996"/>
    <x v="2"/>
    <n v="0"/>
    <s v="Nein"/>
    <n v="0"/>
    <n v="2.29"/>
    <n v="0"/>
    <n v="0"/>
    <x v="0"/>
    <x v="5"/>
  </r>
  <r>
    <s v="F002"/>
    <x v="1"/>
    <s v="A004"/>
    <s v="Butter 250g"/>
    <x v="1"/>
    <n v="2.29"/>
    <n v="5"/>
    <x v="4"/>
    <n v="330"/>
    <n v="328"/>
    <n v="-2"/>
    <n v="-0.60606060606060608"/>
    <x v="0"/>
    <n v="4.58"/>
    <n v="17"/>
    <n v="2"/>
    <n v="1.145"/>
    <n v="1.3739999999999999"/>
    <x v="0"/>
    <n v="0"/>
    <s v="Nein"/>
    <n v="0"/>
    <n v="2.29"/>
    <n v="0"/>
    <n v="0"/>
    <x v="0"/>
    <x v="5"/>
  </r>
  <r>
    <s v="F002"/>
    <x v="1"/>
    <s v="A004"/>
    <s v="Butter 250g"/>
    <x v="1"/>
    <n v="2.29"/>
    <n v="6"/>
    <x v="5"/>
    <n v="338"/>
    <n v="333"/>
    <n v="-5"/>
    <n v="-1.4792899408284024"/>
    <x v="0"/>
    <n v="11.45"/>
    <n v="21"/>
    <n v="10"/>
    <n v="2.8624999999999998"/>
    <n v="3.4349999999999996"/>
    <x v="0"/>
    <n v="0"/>
    <s v="Nein"/>
    <n v="0"/>
    <n v="2.29"/>
    <n v="0"/>
    <n v="0"/>
    <x v="0"/>
    <x v="5"/>
  </r>
  <r>
    <s v="F002"/>
    <x v="1"/>
    <s v="A004"/>
    <s v="Butter 250g"/>
    <x v="1"/>
    <n v="2.29"/>
    <n v="7"/>
    <x v="6"/>
    <n v="396"/>
    <n v="396"/>
    <n v="0"/>
    <n v="0"/>
    <x v="2"/>
    <n v="0"/>
    <n v="10"/>
    <n v="0"/>
    <n v="0"/>
    <n v="0"/>
    <x v="0"/>
    <n v="0"/>
    <s v="Nein"/>
    <n v="0"/>
    <n v="2.29"/>
    <n v="0"/>
    <n v="0"/>
    <x v="0"/>
    <x v="5"/>
  </r>
  <r>
    <s v="F002"/>
    <x v="1"/>
    <s v="A004"/>
    <s v="Butter 250g"/>
    <x v="1"/>
    <n v="2.29"/>
    <n v="8"/>
    <x v="7"/>
    <n v="368"/>
    <n v="370"/>
    <n v="2"/>
    <n v="0.54347826086956519"/>
    <x v="1"/>
    <n v="4.58"/>
    <n v="5"/>
    <n v="8"/>
    <n v="0"/>
    <n v="0"/>
    <x v="0"/>
    <n v="2"/>
    <s v="Nein"/>
    <n v="0"/>
    <n v="2.29"/>
    <n v="0"/>
    <n v="0"/>
    <x v="0"/>
    <x v="2"/>
  </r>
  <r>
    <s v="F002"/>
    <x v="1"/>
    <s v="A004"/>
    <s v="Butter 250g"/>
    <x v="1"/>
    <n v="2.29"/>
    <n v="9"/>
    <x v="8"/>
    <n v="316"/>
    <n v="311"/>
    <n v="-5"/>
    <n v="-1.5822784810126582"/>
    <x v="0"/>
    <n v="11.45"/>
    <n v="23"/>
    <n v="5"/>
    <n v="2.8624999999999998"/>
    <n v="3.4349999999999996"/>
    <x v="0"/>
    <n v="0"/>
    <s v="Nein"/>
    <n v="0"/>
    <n v="2.29"/>
    <n v="0"/>
    <n v="0"/>
    <x v="0"/>
    <x v="5"/>
  </r>
  <r>
    <s v="F002"/>
    <x v="1"/>
    <s v="A004"/>
    <s v="Butter 250g"/>
    <x v="1"/>
    <n v="2.29"/>
    <n v="10"/>
    <x v="9"/>
    <n v="336"/>
    <n v="340"/>
    <n v="4"/>
    <n v="1.1904761904761905"/>
    <x v="1"/>
    <n v="9.16"/>
    <n v="28"/>
    <n v="4"/>
    <n v="0"/>
    <n v="0"/>
    <x v="0"/>
    <n v="4"/>
    <s v="Nein"/>
    <n v="0"/>
    <n v="2.29"/>
    <n v="0"/>
    <n v="0"/>
    <x v="0"/>
    <x v="2"/>
  </r>
  <r>
    <s v="F002"/>
    <x v="1"/>
    <s v="A004"/>
    <s v="Butter 250g"/>
    <x v="1"/>
    <n v="2.29"/>
    <n v="11"/>
    <x v="10"/>
    <n v="352"/>
    <n v="349"/>
    <n v="-3"/>
    <n v="-0.85227272727272718"/>
    <x v="0"/>
    <n v="6.87"/>
    <n v="22"/>
    <n v="1"/>
    <n v="1.7175"/>
    <n v="2.0609999999999999"/>
    <x v="3"/>
    <n v="0"/>
    <s v="Nein"/>
    <n v="0"/>
    <n v="2.29"/>
    <n v="0"/>
    <n v="0"/>
    <x v="0"/>
    <x v="5"/>
  </r>
  <r>
    <s v="F002"/>
    <x v="1"/>
    <s v="A004"/>
    <s v="Butter 250g"/>
    <x v="1"/>
    <n v="2.29"/>
    <n v="12"/>
    <x v="11"/>
    <n v="466"/>
    <n v="456"/>
    <n v="-10"/>
    <n v="-2.1459227467811157"/>
    <x v="0"/>
    <n v="22.9"/>
    <n v="23"/>
    <n v="9"/>
    <n v="5.7249999999999996"/>
    <n v="6.8699999999999992"/>
    <x v="4"/>
    <n v="0"/>
    <s v="Nein"/>
    <n v="0"/>
    <n v="2.29"/>
    <n v="0"/>
    <n v="0"/>
    <x v="0"/>
    <x v="0"/>
  </r>
  <r>
    <s v="F002"/>
    <x v="1"/>
    <s v="A005"/>
    <s v="Gouda 200g"/>
    <x v="2"/>
    <n v="1.99"/>
    <n v="1"/>
    <x v="0"/>
    <n v="222"/>
    <n v="220"/>
    <n v="-2"/>
    <n v="-0.90090090090090091"/>
    <x v="0"/>
    <n v="3.98"/>
    <n v="10"/>
    <n v="5"/>
    <n v="0.995"/>
    <n v="1.194"/>
    <x v="0"/>
    <n v="0"/>
    <s v="Nein"/>
    <n v="0"/>
    <n v="1.99"/>
    <n v="0"/>
    <n v="0"/>
    <x v="0"/>
    <x v="5"/>
  </r>
  <r>
    <s v="F002"/>
    <x v="1"/>
    <s v="A005"/>
    <s v="Gouda 200g"/>
    <x v="2"/>
    <n v="1.99"/>
    <n v="2"/>
    <x v="1"/>
    <n v="212"/>
    <n v="212"/>
    <n v="0"/>
    <n v="0"/>
    <x v="2"/>
    <n v="0"/>
    <n v="15"/>
    <n v="3"/>
    <n v="0"/>
    <n v="0"/>
    <x v="1"/>
    <n v="0"/>
    <s v="Nein"/>
    <n v="0"/>
    <n v="1.99"/>
    <n v="0"/>
    <n v="0"/>
    <x v="0"/>
    <x v="5"/>
  </r>
  <r>
    <s v="F002"/>
    <x v="1"/>
    <s v="A005"/>
    <s v="Gouda 200g"/>
    <x v="2"/>
    <n v="1.99"/>
    <n v="3"/>
    <x v="2"/>
    <n v="255"/>
    <n v="249"/>
    <n v="-6"/>
    <n v="-2.3529411764705883"/>
    <x v="0"/>
    <n v="11.94"/>
    <n v="7"/>
    <n v="3"/>
    <n v="2.9849999999999999"/>
    <n v="3.5819999999999999"/>
    <x v="0"/>
    <n v="0"/>
    <s v="Nein"/>
    <n v="0"/>
    <n v="1.99"/>
    <n v="0"/>
    <n v="0"/>
    <x v="0"/>
    <x v="0"/>
  </r>
  <r>
    <s v="F002"/>
    <x v="1"/>
    <s v="A005"/>
    <s v="Gouda 200g"/>
    <x v="2"/>
    <n v="1.99"/>
    <n v="4"/>
    <x v="3"/>
    <n v="297"/>
    <n v="289"/>
    <n v="-8"/>
    <n v="-2.6936026936026933"/>
    <x v="0"/>
    <n v="15.92"/>
    <n v="10"/>
    <n v="7"/>
    <n v="3.98"/>
    <n v="4.7759999999999998"/>
    <x v="2"/>
    <n v="0"/>
    <s v="Nein"/>
    <n v="0"/>
    <n v="1.99"/>
    <n v="0"/>
    <n v="0"/>
    <x v="0"/>
    <x v="0"/>
  </r>
  <r>
    <s v="F002"/>
    <x v="1"/>
    <s v="A005"/>
    <s v="Gouda 200g"/>
    <x v="2"/>
    <n v="1.99"/>
    <n v="5"/>
    <x v="4"/>
    <n v="230"/>
    <n v="225"/>
    <n v="-5"/>
    <n v="-2.1739130434782608"/>
    <x v="0"/>
    <n v="9.9499999999999993"/>
    <n v="13"/>
    <n v="0"/>
    <n v="2.4874999999999998"/>
    <n v="2.9849999999999999"/>
    <x v="0"/>
    <n v="0"/>
    <s v="Nein"/>
    <n v="0"/>
    <n v="1.99"/>
    <n v="0"/>
    <n v="0"/>
    <x v="0"/>
    <x v="1"/>
  </r>
  <r>
    <s v="F002"/>
    <x v="1"/>
    <s v="A005"/>
    <s v="Gouda 200g"/>
    <x v="2"/>
    <n v="1.99"/>
    <n v="6"/>
    <x v="5"/>
    <n v="277"/>
    <n v="272"/>
    <n v="-5"/>
    <n v="-1.8050541516245486"/>
    <x v="0"/>
    <n v="9.9499999999999993"/>
    <n v="17"/>
    <n v="7"/>
    <n v="2.4874999999999998"/>
    <n v="2.9849999999999999"/>
    <x v="0"/>
    <n v="0"/>
    <s v="Nein"/>
    <n v="0"/>
    <n v="1.99"/>
    <n v="0"/>
    <n v="0"/>
    <x v="0"/>
    <x v="5"/>
  </r>
  <r>
    <s v="F002"/>
    <x v="1"/>
    <s v="A005"/>
    <s v="Gouda 200g"/>
    <x v="2"/>
    <n v="1.99"/>
    <n v="7"/>
    <x v="6"/>
    <n v="300"/>
    <n v="294"/>
    <n v="-6"/>
    <n v="-2"/>
    <x v="0"/>
    <n v="11.94"/>
    <n v="1"/>
    <n v="7"/>
    <n v="2.9849999999999999"/>
    <n v="3.5819999999999999"/>
    <x v="0"/>
    <n v="0"/>
    <s v="Ja - 20% Reduzierung"/>
    <n v="20"/>
    <n v="1.59"/>
    <n v="30"/>
    <n v="11.94"/>
    <x v="1"/>
    <x v="5"/>
  </r>
  <r>
    <s v="F002"/>
    <x v="1"/>
    <s v="A005"/>
    <s v="Gouda 200g"/>
    <x v="2"/>
    <n v="1.99"/>
    <n v="8"/>
    <x v="7"/>
    <n v="270"/>
    <n v="270"/>
    <n v="0"/>
    <n v="0"/>
    <x v="2"/>
    <n v="0"/>
    <n v="10"/>
    <n v="3"/>
    <n v="0"/>
    <n v="0"/>
    <x v="0"/>
    <n v="0"/>
    <s v="Nein"/>
    <n v="0"/>
    <n v="1.99"/>
    <n v="0"/>
    <n v="0"/>
    <x v="0"/>
    <x v="5"/>
  </r>
  <r>
    <s v="F002"/>
    <x v="1"/>
    <s v="A005"/>
    <s v="Gouda 200g"/>
    <x v="2"/>
    <n v="1.99"/>
    <n v="9"/>
    <x v="8"/>
    <n v="223"/>
    <n v="224"/>
    <n v="1"/>
    <n v="0.44843049327354262"/>
    <x v="1"/>
    <n v="1.99"/>
    <n v="16"/>
    <n v="1"/>
    <n v="0"/>
    <n v="0"/>
    <x v="0"/>
    <n v="1"/>
    <s v="Nein"/>
    <n v="0"/>
    <n v="1.99"/>
    <n v="0"/>
    <n v="0"/>
    <x v="0"/>
    <x v="2"/>
  </r>
  <r>
    <s v="F002"/>
    <x v="1"/>
    <s v="A005"/>
    <s v="Gouda 200g"/>
    <x v="2"/>
    <n v="1.99"/>
    <n v="10"/>
    <x v="9"/>
    <n v="242"/>
    <n v="250"/>
    <n v="8"/>
    <n v="3.3057851239669422"/>
    <x v="1"/>
    <n v="15.92"/>
    <n v="8"/>
    <n v="4"/>
    <n v="0"/>
    <n v="0"/>
    <x v="0"/>
    <n v="8"/>
    <s v="Nein"/>
    <n v="0"/>
    <n v="1.99"/>
    <n v="0"/>
    <n v="0"/>
    <x v="0"/>
    <x v="2"/>
  </r>
  <r>
    <s v="F002"/>
    <x v="1"/>
    <s v="A005"/>
    <s v="Gouda 200g"/>
    <x v="2"/>
    <n v="1.99"/>
    <n v="11"/>
    <x v="10"/>
    <n v="253"/>
    <n v="245"/>
    <n v="-8"/>
    <n v="-3.1620553359683794"/>
    <x v="0"/>
    <n v="15.92"/>
    <n v="4"/>
    <n v="0"/>
    <n v="3.98"/>
    <n v="4.7759999999999998"/>
    <x v="3"/>
    <n v="0"/>
    <s v="Nein"/>
    <n v="0"/>
    <n v="1.99"/>
    <n v="0"/>
    <n v="0"/>
    <x v="0"/>
    <x v="1"/>
  </r>
  <r>
    <s v="F002"/>
    <x v="1"/>
    <s v="A005"/>
    <s v="Gouda 200g"/>
    <x v="2"/>
    <n v="1.99"/>
    <n v="12"/>
    <x v="11"/>
    <n v="323"/>
    <n v="324"/>
    <n v="1"/>
    <n v="0.30959752321981426"/>
    <x v="1"/>
    <n v="1.99"/>
    <n v="8"/>
    <n v="1"/>
    <n v="0"/>
    <n v="0"/>
    <x v="4"/>
    <n v="1"/>
    <s v="Nein"/>
    <n v="0"/>
    <n v="1.99"/>
    <n v="0"/>
    <n v="0"/>
    <x v="0"/>
    <x v="2"/>
  </r>
  <r>
    <s v="F002"/>
    <x v="1"/>
    <s v="A006"/>
    <s v="Emmentaler 200g"/>
    <x v="2"/>
    <n v="2.4900000000000002"/>
    <n v="1"/>
    <x v="0"/>
    <n v="180"/>
    <n v="184"/>
    <n v="4"/>
    <n v="2.2222222222222223"/>
    <x v="1"/>
    <n v="9.9600000000000009"/>
    <n v="1"/>
    <n v="6"/>
    <n v="0"/>
    <n v="0"/>
    <x v="0"/>
    <n v="4"/>
    <s v="Ja - 20% Reduzierung"/>
    <n v="20"/>
    <n v="1.99"/>
    <n v="25"/>
    <n v="12.45"/>
    <x v="3"/>
    <x v="4"/>
  </r>
  <r>
    <s v="F002"/>
    <x v="1"/>
    <s v="A006"/>
    <s v="Emmentaler 200g"/>
    <x v="2"/>
    <n v="2.4900000000000002"/>
    <n v="2"/>
    <x v="1"/>
    <n v="175"/>
    <n v="171"/>
    <n v="-4"/>
    <n v="-2.2857142857142856"/>
    <x v="0"/>
    <n v="9.9600000000000009"/>
    <n v="11"/>
    <n v="7"/>
    <n v="2.4900000000000002"/>
    <n v="2.988"/>
    <x v="1"/>
    <n v="0"/>
    <s v="Nein"/>
    <n v="0"/>
    <n v="2.4900000000000002"/>
    <n v="0"/>
    <n v="0"/>
    <x v="0"/>
    <x v="0"/>
  </r>
  <r>
    <s v="F002"/>
    <x v="1"/>
    <s v="A006"/>
    <s v="Emmentaler 200g"/>
    <x v="2"/>
    <n v="2.4900000000000002"/>
    <n v="3"/>
    <x v="2"/>
    <n v="204"/>
    <n v="200"/>
    <n v="-4"/>
    <n v="-1.9607843137254901"/>
    <x v="0"/>
    <n v="9.9600000000000009"/>
    <n v="20"/>
    <n v="4"/>
    <n v="2.4900000000000002"/>
    <n v="2.988"/>
    <x v="0"/>
    <n v="0"/>
    <s v="Nein"/>
    <n v="0"/>
    <n v="2.4900000000000002"/>
    <n v="0"/>
    <n v="0"/>
    <x v="0"/>
    <x v="5"/>
  </r>
  <r>
    <s v="F002"/>
    <x v="1"/>
    <s v="A006"/>
    <s v="Emmentaler 200g"/>
    <x v="2"/>
    <n v="2.4900000000000002"/>
    <n v="4"/>
    <x v="3"/>
    <n v="243"/>
    <n v="249"/>
    <n v="6"/>
    <n v="2.4691358024691357"/>
    <x v="1"/>
    <n v="14.940000000000001"/>
    <n v="0"/>
    <n v="5"/>
    <n v="0"/>
    <n v="0"/>
    <x v="2"/>
    <n v="6"/>
    <s v="Abschreibung"/>
    <n v="100"/>
    <n v="0"/>
    <n v="2"/>
    <n v="4.9800000000000004"/>
    <x v="1"/>
    <x v="3"/>
  </r>
  <r>
    <s v="F002"/>
    <x v="1"/>
    <s v="A006"/>
    <s v="Emmentaler 200g"/>
    <x v="2"/>
    <n v="2.4900000000000002"/>
    <n v="5"/>
    <x v="4"/>
    <n v="194"/>
    <n v="191"/>
    <n v="-3"/>
    <n v="-1.5463917525773196"/>
    <x v="0"/>
    <n v="7.4700000000000006"/>
    <n v="19"/>
    <n v="2"/>
    <n v="1.8675000000000002"/>
    <n v="2.2410000000000001"/>
    <x v="0"/>
    <n v="0"/>
    <s v="Nein"/>
    <n v="0"/>
    <n v="2.4900000000000002"/>
    <n v="0"/>
    <n v="0"/>
    <x v="0"/>
    <x v="5"/>
  </r>
  <r>
    <s v="F002"/>
    <x v="1"/>
    <s v="A006"/>
    <s v="Emmentaler 200g"/>
    <x v="2"/>
    <n v="2.4900000000000002"/>
    <n v="6"/>
    <x v="5"/>
    <n v="231"/>
    <n v="236"/>
    <n v="5"/>
    <n v="2.1645021645021645"/>
    <x v="1"/>
    <n v="12.450000000000001"/>
    <n v="21"/>
    <n v="0"/>
    <n v="0"/>
    <n v="0"/>
    <x v="0"/>
    <n v="5"/>
    <s v="Nein"/>
    <n v="0"/>
    <n v="2.4900000000000002"/>
    <n v="0"/>
    <n v="0"/>
    <x v="0"/>
    <x v="2"/>
  </r>
  <r>
    <s v="F002"/>
    <x v="1"/>
    <s v="A006"/>
    <s v="Emmentaler 200g"/>
    <x v="2"/>
    <n v="2.4900000000000002"/>
    <n v="7"/>
    <x v="6"/>
    <n v="233"/>
    <n v="229"/>
    <n v="-4"/>
    <n v="-1.7167381974248928"/>
    <x v="0"/>
    <n v="9.9600000000000009"/>
    <n v="0"/>
    <n v="5"/>
    <n v="2.4900000000000002"/>
    <n v="2.988"/>
    <x v="0"/>
    <n v="0"/>
    <s v="Abschreibung"/>
    <n v="100"/>
    <n v="0"/>
    <n v="2"/>
    <n v="4.9800000000000004"/>
    <x v="1"/>
    <x v="3"/>
  </r>
  <r>
    <s v="F002"/>
    <x v="1"/>
    <s v="A006"/>
    <s v="Emmentaler 200g"/>
    <x v="2"/>
    <n v="2.4900000000000002"/>
    <n v="8"/>
    <x v="7"/>
    <n v="230"/>
    <n v="227"/>
    <n v="-3"/>
    <n v="-1.3043478260869565"/>
    <x v="0"/>
    <n v="7.4700000000000006"/>
    <n v="17"/>
    <n v="7"/>
    <n v="1.8675000000000002"/>
    <n v="2.2410000000000001"/>
    <x v="0"/>
    <n v="0"/>
    <s v="Nein"/>
    <n v="0"/>
    <n v="2.4900000000000002"/>
    <n v="0"/>
    <n v="0"/>
    <x v="0"/>
    <x v="5"/>
  </r>
  <r>
    <s v="F002"/>
    <x v="1"/>
    <s v="A006"/>
    <s v="Emmentaler 200g"/>
    <x v="2"/>
    <n v="2.4900000000000002"/>
    <n v="9"/>
    <x v="8"/>
    <n v="194"/>
    <n v="189"/>
    <n v="-5"/>
    <n v="-2.5773195876288657"/>
    <x v="0"/>
    <n v="12.450000000000001"/>
    <n v="20"/>
    <n v="4"/>
    <n v="3.1125000000000003"/>
    <n v="3.7350000000000003"/>
    <x v="0"/>
    <n v="0"/>
    <s v="Nein"/>
    <n v="0"/>
    <n v="2.4900000000000002"/>
    <n v="0"/>
    <n v="0"/>
    <x v="0"/>
    <x v="0"/>
  </r>
  <r>
    <s v="F002"/>
    <x v="1"/>
    <s v="A006"/>
    <s v="Emmentaler 200g"/>
    <x v="2"/>
    <n v="2.4900000000000002"/>
    <n v="10"/>
    <x v="9"/>
    <n v="208"/>
    <n v="205"/>
    <n v="-3"/>
    <n v="-1.4423076923076923"/>
    <x v="0"/>
    <n v="7.4700000000000006"/>
    <n v="1"/>
    <n v="5"/>
    <n v="1.8675000000000002"/>
    <n v="2.2410000000000001"/>
    <x v="0"/>
    <n v="0"/>
    <s v="Ja - 20% Reduzierung"/>
    <n v="20"/>
    <n v="1.99"/>
    <n v="19"/>
    <n v="9.4600000000000009"/>
    <x v="1"/>
    <x v="5"/>
  </r>
  <r>
    <s v="F002"/>
    <x v="1"/>
    <s v="A006"/>
    <s v="Emmentaler 200g"/>
    <x v="2"/>
    <n v="2.4900000000000002"/>
    <n v="11"/>
    <x v="10"/>
    <n v="231"/>
    <n v="227"/>
    <n v="-4"/>
    <n v="-1.7316017316017316"/>
    <x v="0"/>
    <n v="9.9600000000000009"/>
    <n v="5"/>
    <n v="1"/>
    <n v="2.4900000000000002"/>
    <n v="2.988"/>
    <x v="3"/>
    <n v="0"/>
    <s v="Nein"/>
    <n v="0"/>
    <n v="2.4900000000000002"/>
    <n v="0"/>
    <n v="0"/>
    <x v="0"/>
    <x v="5"/>
  </r>
  <r>
    <s v="F002"/>
    <x v="1"/>
    <s v="A006"/>
    <s v="Emmentaler 200g"/>
    <x v="2"/>
    <n v="2.4900000000000002"/>
    <n v="12"/>
    <x v="11"/>
    <n v="274"/>
    <n v="269"/>
    <n v="-5"/>
    <n v="-1.824817518248175"/>
    <x v="0"/>
    <n v="12.450000000000001"/>
    <n v="4"/>
    <n v="7"/>
    <n v="3.1125000000000003"/>
    <n v="3.7350000000000003"/>
    <x v="4"/>
    <n v="0"/>
    <s v="Nein"/>
    <n v="0"/>
    <n v="2.4900000000000002"/>
    <n v="0"/>
    <n v="0"/>
    <x v="0"/>
    <x v="5"/>
  </r>
  <r>
    <s v="F002"/>
    <x v="1"/>
    <s v="A007"/>
    <s v="Naturjoghurt 500g"/>
    <x v="3"/>
    <n v="0.89"/>
    <n v="1"/>
    <x v="0"/>
    <n v="388"/>
    <n v="372"/>
    <n v="-16"/>
    <n v="-4.1237113402061851"/>
    <x v="0"/>
    <n v="14.24"/>
    <n v="3"/>
    <n v="2"/>
    <n v="3.56"/>
    <n v="4.2720000000000002"/>
    <x v="0"/>
    <n v="0"/>
    <s v="Ja - 20% Reduzierung"/>
    <n v="20"/>
    <n v="0.71"/>
    <n v="35"/>
    <n v="6.23"/>
    <x v="2"/>
    <x v="4"/>
  </r>
  <r>
    <s v="F002"/>
    <x v="1"/>
    <s v="A007"/>
    <s v="Naturjoghurt 500g"/>
    <x v="3"/>
    <n v="0.89"/>
    <n v="2"/>
    <x v="1"/>
    <n v="355"/>
    <n v="345"/>
    <n v="-10"/>
    <n v="-2.8169014084507045"/>
    <x v="0"/>
    <n v="8.9"/>
    <n v="0"/>
    <n v="5"/>
    <n v="2.2250000000000001"/>
    <n v="2.67"/>
    <x v="1"/>
    <n v="0"/>
    <s v="Abschreibung"/>
    <n v="100"/>
    <n v="0"/>
    <n v="4"/>
    <n v="3.56"/>
    <x v="1"/>
    <x v="3"/>
  </r>
  <r>
    <s v="F002"/>
    <x v="1"/>
    <s v="A007"/>
    <s v="Naturjoghurt 500g"/>
    <x v="3"/>
    <n v="0.89"/>
    <n v="3"/>
    <x v="2"/>
    <n v="476"/>
    <n v="465"/>
    <n v="-11"/>
    <n v="-2.3109243697478994"/>
    <x v="0"/>
    <n v="9.7900000000000009"/>
    <n v="0"/>
    <n v="3"/>
    <n v="2.4475000000000002"/>
    <n v="2.9370000000000003"/>
    <x v="0"/>
    <n v="0"/>
    <s v="Abschreibung"/>
    <n v="100"/>
    <n v="0"/>
    <n v="10"/>
    <n v="8.9"/>
    <x v="1"/>
    <x v="3"/>
  </r>
  <r>
    <s v="F002"/>
    <x v="1"/>
    <s v="A007"/>
    <s v="Naturjoghurt 500g"/>
    <x v="3"/>
    <n v="0.89"/>
    <n v="4"/>
    <x v="3"/>
    <n v="572"/>
    <n v="542"/>
    <n v="-30"/>
    <n v="-5.244755244755245"/>
    <x v="0"/>
    <n v="26.7"/>
    <n v="4"/>
    <n v="1"/>
    <n v="6.6749999999999998"/>
    <n v="8.01"/>
    <x v="2"/>
    <n v="0"/>
    <s v="Nein"/>
    <n v="0"/>
    <n v="0.89"/>
    <n v="0"/>
    <n v="0"/>
    <x v="0"/>
    <x v="1"/>
  </r>
  <r>
    <s v="F002"/>
    <x v="1"/>
    <s v="A007"/>
    <s v="Naturjoghurt 500g"/>
    <x v="3"/>
    <n v="0.89"/>
    <n v="5"/>
    <x v="4"/>
    <n v="462"/>
    <n v="468"/>
    <n v="6"/>
    <n v="1.2987012987012987"/>
    <x v="1"/>
    <n v="5.34"/>
    <n v="0"/>
    <n v="0"/>
    <n v="0"/>
    <n v="0"/>
    <x v="0"/>
    <n v="6"/>
    <s v="Abschreibung"/>
    <n v="100"/>
    <n v="0"/>
    <n v="14"/>
    <n v="12.46"/>
    <x v="1"/>
    <x v="3"/>
  </r>
  <r>
    <s v="F002"/>
    <x v="1"/>
    <s v="A007"/>
    <s v="Naturjoghurt 500g"/>
    <x v="3"/>
    <n v="0.89"/>
    <n v="6"/>
    <x v="5"/>
    <n v="508"/>
    <n v="485"/>
    <n v="-23"/>
    <n v="-4.5275590551181102"/>
    <x v="0"/>
    <n v="20.47"/>
    <n v="0"/>
    <n v="0"/>
    <n v="5.1174999999999997"/>
    <n v="6.1409999999999991"/>
    <x v="0"/>
    <n v="0"/>
    <s v="Abschreibung"/>
    <n v="100"/>
    <n v="0"/>
    <n v="5"/>
    <n v="4.45"/>
    <x v="3"/>
    <x v="3"/>
  </r>
  <r>
    <s v="F002"/>
    <x v="1"/>
    <s v="A007"/>
    <s v="Naturjoghurt 500g"/>
    <x v="3"/>
    <n v="0.89"/>
    <n v="7"/>
    <x v="6"/>
    <n v="502"/>
    <n v="477"/>
    <n v="-25"/>
    <n v="-4.9800796812749004"/>
    <x v="0"/>
    <n v="22.25"/>
    <n v="14"/>
    <n v="0"/>
    <n v="5.5625"/>
    <n v="6.6749999999999998"/>
    <x v="0"/>
    <n v="0"/>
    <s v="Nein"/>
    <n v="0"/>
    <n v="0.89"/>
    <n v="0"/>
    <n v="0"/>
    <x v="0"/>
    <x v="1"/>
  </r>
  <r>
    <s v="F002"/>
    <x v="1"/>
    <s v="A007"/>
    <s v="Naturjoghurt 500g"/>
    <x v="3"/>
    <n v="0.89"/>
    <n v="8"/>
    <x v="7"/>
    <n v="511"/>
    <n v="499"/>
    <n v="-12"/>
    <n v="-2.3483365949119372"/>
    <x v="0"/>
    <n v="10.68"/>
    <n v="1"/>
    <n v="4"/>
    <n v="2.67"/>
    <n v="3.2039999999999997"/>
    <x v="0"/>
    <n v="0"/>
    <s v="Ja - 20% Reduzierung"/>
    <n v="20"/>
    <n v="0.71"/>
    <n v="66"/>
    <n v="11.75"/>
    <x v="1"/>
    <x v="0"/>
  </r>
  <r>
    <s v="F002"/>
    <x v="1"/>
    <s v="A007"/>
    <s v="Naturjoghurt 500g"/>
    <x v="3"/>
    <n v="0.89"/>
    <n v="9"/>
    <x v="8"/>
    <n v="418"/>
    <n v="409"/>
    <n v="-9"/>
    <n v="-2.1531100478468899"/>
    <x v="0"/>
    <n v="8.01"/>
    <n v="2"/>
    <n v="0"/>
    <n v="2.0024999999999999"/>
    <n v="2.403"/>
    <x v="0"/>
    <n v="0"/>
    <s v="Ja - 20% Reduzierung"/>
    <n v="20"/>
    <n v="0.71"/>
    <n v="21"/>
    <n v="3.74"/>
    <x v="1"/>
    <x v="1"/>
  </r>
  <r>
    <s v="F002"/>
    <x v="1"/>
    <s v="A007"/>
    <s v="Naturjoghurt 500g"/>
    <x v="3"/>
    <n v="0.89"/>
    <n v="10"/>
    <x v="9"/>
    <n v="444"/>
    <n v="424"/>
    <n v="-20"/>
    <n v="-4.5045045045045047"/>
    <x v="0"/>
    <n v="17.8"/>
    <n v="1"/>
    <n v="5"/>
    <n v="4.45"/>
    <n v="5.34"/>
    <x v="0"/>
    <n v="0"/>
    <s v="Ja - 20% Reduzierung"/>
    <n v="20"/>
    <n v="0.71"/>
    <n v="58"/>
    <n v="10.32"/>
    <x v="1"/>
    <x v="0"/>
  </r>
  <r>
    <s v="F002"/>
    <x v="1"/>
    <s v="A007"/>
    <s v="Naturjoghurt 500g"/>
    <x v="3"/>
    <n v="0.89"/>
    <n v="11"/>
    <x v="10"/>
    <n v="479"/>
    <n v="485"/>
    <n v="6"/>
    <n v="1.2526096033402923"/>
    <x v="1"/>
    <n v="5.34"/>
    <n v="14"/>
    <n v="4"/>
    <n v="0"/>
    <n v="0"/>
    <x v="3"/>
    <n v="6"/>
    <s v="Nein"/>
    <n v="0"/>
    <n v="0.89"/>
    <n v="0"/>
    <n v="0"/>
    <x v="0"/>
    <x v="2"/>
  </r>
  <r>
    <s v="F002"/>
    <x v="1"/>
    <s v="A007"/>
    <s v="Naturjoghurt 500g"/>
    <x v="3"/>
    <n v="0.89"/>
    <n v="12"/>
    <x v="11"/>
    <n v="604"/>
    <n v="574"/>
    <n v="-30"/>
    <n v="-4.9668874172185431"/>
    <x v="0"/>
    <n v="26.7"/>
    <n v="1"/>
    <n v="3"/>
    <n v="6.6749999999999998"/>
    <n v="8.01"/>
    <x v="4"/>
    <n v="0"/>
    <s v="Ja - 20% Reduzierung"/>
    <n v="20"/>
    <n v="0.71"/>
    <n v="72"/>
    <n v="12.82"/>
    <x v="1"/>
    <x v="0"/>
  </r>
  <r>
    <s v="F002"/>
    <x v="1"/>
    <s v="A008"/>
    <s v="Fruchtjoghurt 4er"/>
    <x v="3"/>
    <n v="1.89"/>
    <n v="1"/>
    <x v="0"/>
    <n v="255"/>
    <n v="248"/>
    <n v="-7"/>
    <n v="-2.7450980392156863"/>
    <x v="0"/>
    <n v="13.229999999999999"/>
    <n v="12"/>
    <n v="3"/>
    <n v="3.3074999999999997"/>
    <n v="3.9689999999999994"/>
    <x v="0"/>
    <n v="0"/>
    <s v="Nein"/>
    <n v="0"/>
    <n v="1.89"/>
    <n v="0"/>
    <n v="0"/>
    <x v="0"/>
    <x v="0"/>
  </r>
  <r>
    <s v="F002"/>
    <x v="1"/>
    <s v="A008"/>
    <s v="Fruchtjoghurt 4er"/>
    <x v="3"/>
    <n v="1.89"/>
    <n v="2"/>
    <x v="1"/>
    <n v="231"/>
    <n v="225"/>
    <n v="-6"/>
    <n v="-2.5974025974025974"/>
    <x v="0"/>
    <n v="11.34"/>
    <n v="9"/>
    <n v="2"/>
    <n v="2.835"/>
    <n v="3.4019999999999997"/>
    <x v="1"/>
    <n v="0"/>
    <s v="Nein"/>
    <n v="0"/>
    <n v="1.89"/>
    <n v="0"/>
    <n v="0"/>
    <x v="0"/>
    <x v="0"/>
  </r>
  <r>
    <s v="F002"/>
    <x v="1"/>
    <s v="A008"/>
    <s v="Fruchtjoghurt 4er"/>
    <x v="3"/>
    <n v="1.89"/>
    <n v="3"/>
    <x v="2"/>
    <n v="294"/>
    <n v="297"/>
    <n v="3"/>
    <n v="1.0204081632653061"/>
    <x v="1"/>
    <n v="5.67"/>
    <n v="8"/>
    <n v="1"/>
    <n v="0"/>
    <n v="0"/>
    <x v="0"/>
    <n v="3"/>
    <s v="Nein"/>
    <n v="0"/>
    <n v="1.89"/>
    <n v="0"/>
    <n v="0"/>
    <x v="0"/>
    <x v="2"/>
  </r>
  <r>
    <s v="F002"/>
    <x v="1"/>
    <s v="A008"/>
    <s v="Fruchtjoghurt 4er"/>
    <x v="3"/>
    <n v="1.89"/>
    <n v="4"/>
    <x v="3"/>
    <n v="361"/>
    <n v="343"/>
    <n v="-18"/>
    <n v="-4.986149584487535"/>
    <x v="0"/>
    <n v="34.019999999999996"/>
    <n v="14"/>
    <n v="3"/>
    <n v="8.504999999999999"/>
    <n v="10.205999999999998"/>
    <x v="2"/>
    <n v="0"/>
    <s v="Nein"/>
    <n v="0"/>
    <n v="1.89"/>
    <n v="0"/>
    <n v="0"/>
    <x v="0"/>
    <x v="0"/>
  </r>
  <r>
    <s v="F002"/>
    <x v="1"/>
    <s v="A008"/>
    <s v="Fruchtjoghurt 4er"/>
    <x v="3"/>
    <n v="1.89"/>
    <n v="5"/>
    <x v="4"/>
    <n v="288"/>
    <n v="276"/>
    <n v="-12"/>
    <n v="-4.1666666666666661"/>
    <x v="0"/>
    <n v="22.68"/>
    <n v="9"/>
    <n v="1"/>
    <n v="5.67"/>
    <n v="6.8039999999999994"/>
    <x v="0"/>
    <n v="0"/>
    <s v="Nein"/>
    <n v="0"/>
    <n v="1.89"/>
    <n v="0"/>
    <n v="0"/>
    <x v="0"/>
    <x v="1"/>
  </r>
  <r>
    <s v="F002"/>
    <x v="1"/>
    <s v="A008"/>
    <s v="Fruchtjoghurt 4er"/>
    <x v="3"/>
    <n v="1.89"/>
    <n v="6"/>
    <x v="5"/>
    <n v="320"/>
    <n v="303"/>
    <n v="-17"/>
    <n v="-5.3125"/>
    <x v="0"/>
    <n v="32.129999999999995"/>
    <n v="7"/>
    <n v="4"/>
    <n v="8.0324999999999989"/>
    <n v="9.6389999999999976"/>
    <x v="0"/>
    <n v="0"/>
    <s v="Nein"/>
    <n v="0"/>
    <n v="1.89"/>
    <n v="0"/>
    <n v="0"/>
    <x v="0"/>
    <x v="0"/>
  </r>
  <r>
    <s v="F002"/>
    <x v="1"/>
    <s v="A008"/>
    <s v="Fruchtjoghurt 4er"/>
    <x v="3"/>
    <n v="1.89"/>
    <n v="7"/>
    <x v="6"/>
    <n v="353"/>
    <n v="341"/>
    <n v="-12"/>
    <n v="-3.3994334277620402"/>
    <x v="0"/>
    <n v="22.68"/>
    <n v="9"/>
    <n v="4"/>
    <n v="5.67"/>
    <n v="6.8039999999999994"/>
    <x v="0"/>
    <n v="0"/>
    <s v="Nein"/>
    <n v="0"/>
    <n v="1.89"/>
    <n v="0"/>
    <n v="0"/>
    <x v="0"/>
    <x v="0"/>
  </r>
  <r>
    <s v="F002"/>
    <x v="1"/>
    <s v="A008"/>
    <s v="Fruchtjoghurt 4er"/>
    <x v="3"/>
    <n v="1.89"/>
    <n v="8"/>
    <x v="7"/>
    <n v="309"/>
    <n v="296"/>
    <n v="-13"/>
    <n v="-4.2071197411003238"/>
    <x v="0"/>
    <n v="24.57"/>
    <n v="9"/>
    <n v="0"/>
    <n v="6.1425000000000001"/>
    <n v="7.3709999999999996"/>
    <x v="0"/>
    <n v="0"/>
    <s v="Nein"/>
    <n v="0"/>
    <n v="1.89"/>
    <n v="0"/>
    <n v="0"/>
    <x v="0"/>
    <x v="1"/>
  </r>
  <r>
    <s v="F002"/>
    <x v="1"/>
    <s v="A008"/>
    <s v="Fruchtjoghurt 4er"/>
    <x v="3"/>
    <n v="1.89"/>
    <n v="9"/>
    <x v="8"/>
    <n v="279"/>
    <n v="267"/>
    <n v="-12"/>
    <n v="-4.3010752688172049"/>
    <x v="0"/>
    <n v="22.68"/>
    <n v="12"/>
    <n v="2"/>
    <n v="5.67"/>
    <n v="6.8039999999999994"/>
    <x v="0"/>
    <n v="0"/>
    <s v="Nein"/>
    <n v="0"/>
    <n v="1.89"/>
    <n v="0"/>
    <n v="0"/>
    <x v="0"/>
    <x v="0"/>
  </r>
  <r>
    <s v="F002"/>
    <x v="1"/>
    <s v="A008"/>
    <s v="Fruchtjoghurt 4er"/>
    <x v="3"/>
    <n v="1.89"/>
    <n v="10"/>
    <x v="9"/>
    <n v="266"/>
    <n v="274"/>
    <n v="8"/>
    <n v="3.007518796992481"/>
    <x v="1"/>
    <n v="15.12"/>
    <n v="6"/>
    <n v="0"/>
    <n v="0"/>
    <n v="0"/>
    <x v="0"/>
    <n v="8"/>
    <s v="Nein"/>
    <n v="0"/>
    <n v="1.89"/>
    <n v="0"/>
    <n v="0"/>
    <x v="0"/>
    <x v="2"/>
  </r>
  <r>
    <s v="F002"/>
    <x v="1"/>
    <s v="A008"/>
    <s v="Fruchtjoghurt 4er"/>
    <x v="3"/>
    <n v="1.89"/>
    <n v="11"/>
    <x v="10"/>
    <n v="311"/>
    <n v="298"/>
    <n v="-13"/>
    <n v="-4.180064308681672"/>
    <x v="0"/>
    <n v="24.57"/>
    <n v="14"/>
    <n v="5"/>
    <n v="6.1425000000000001"/>
    <n v="7.3709999999999996"/>
    <x v="3"/>
    <n v="0"/>
    <s v="Nein"/>
    <n v="0"/>
    <n v="1.89"/>
    <n v="0"/>
    <n v="0"/>
    <x v="0"/>
    <x v="0"/>
  </r>
  <r>
    <s v="F002"/>
    <x v="1"/>
    <s v="A008"/>
    <s v="Fruchtjoghurt 4er"/>
    <x v="3"/>
    <n v="1.89"/>
    <n v="12"/>
    <x v="11"/>
    <n v="388"/>
    <n v="388"/>
    <n v="0"/>
    <n v="0"/>
    <x v="2"/>
    <n v="0"/>
    <n v="4"/>
    <n v="1"/>
    <n v="0"/>
    <n v="0"/>
    <x v="4"/>
    <n v="0"/>
    <s v="Nein"/>
    <n v="0"/>
    <n v="1.89"/>
    <n v="0"/>
    <n v="0"/>
    <x v="0"/>
    <x v="5"/>
  </r>
  <r>
    <s v="F002"/>
    <x v="1"/>
    <s v="A009"/>
    <s v="Sahne 200ml"/>
    <x v="4"/>
    <n v="0.79"/>
    <n v="1"/>
    <x v="0"/>
    <n v="145"/>
    <n v="141"/>
    <n v="-4"/>
    <n v="-2.7586206896551726"/>
    <x v="0"/>
    <n v="3.16"/>
    <n v="1"/>
    <n v="3"/>
    <n v="0.79"/>
    <n v="0.94799999999999995"/>
    <x v="0"/>
    <n v="0"/>
    <s v="Ja - 20% Reduzierung"/>
    <n v="20"/>
    <n v="0.63"/>
    <n v="9"/>
    <n v="1.42"/>
    <x v="2"/>
    <x v="4"/>
  </r>
  <r>
    <s v="F002"/>
    <x v="1"/>
    <s v="A009"/>
    <s v="Sahne 200ml"/>
    <x v="4"/>
    <n v="0.79"/>
    <n v="2"/>
    <x v="1"/>
    <n v="136"/>
    <n v="134"/>
    <n v="-2"/>
    <n v="-1.4705882352941175"/>
    <x v="0"/>
    <n v="1.58"/>
    <n v="3"/>
    <n v="2"/>
    <n v="0.39500000000000002"/>
    <n v="0.47399999999999998"/>
    <x v="1"/>
    <n v="0"/>
    <s v="Ja - 20% Reduzierung"/>
    <n v="20"/>
    <n v="0.63"/>
    <n v="12"/>
    <n v="1.9"/>
    <x v="3"/>
    <x v="4"/>
  </r>
  <r>
    <s v="F002"/>
    <x v="1"/>
    <s v="A009"/>
    <s v="Sahne 200ml"/>
    <x v="4"/>
    <n v="0.79"/>
    <n v="3"/>
    <x v="2"/>
    <n v="170"/>
    <n v="165"/>
    <n v="-5"/>
    <n v="-2.9411764705882351"/>
    <x v="0"/>
    <n v="3.95"/>
    <n v="9"/>
    <n v="0"/>
    <n v="0.98750000000000004"/>
    <n v="1.1850000000000001"/>
    <x v="0"/>
    <n v="0"/>
    <s v="Nein"/>
    <n v="0"/>
    <n v="0.79"/>
    <n v="0"/>
    <n v="0"/>
    <x v="0"/>
    <x v="1"/>
  </r>
  <r>
    <s v="F002"/>
    <x v="1"/>
    <s v="A009"/>
    <s v="Sahne 200ml"/>
    <x v="4"/>
    <n v="0.79"/>
    <n v="4"/>
    <x v="3"/>
    <n v="190"/>
    <n v="184"/>
    <n v="-6"/>
    <n v="-3.1578947368421053"/>
    <x v="0"/>
    <n v="4.74"/>
    <n v="8"/>
    <n v="2"/>
    <n v="1.1850000000000001"/>
    <n v="1.4219999999999999"/>
    <x v="2"/>
    <n v="0"/>
    <s v="Nein"/>
    <n v="0"/>
    <n v="0.79"/>
    <n v="0"/>
    <n v="0"/>
    <x v="0"/>
    <x v="0"/>
  </r>
  <r>
    <s v="F002"/>
    <x v="1"/>
    <s v="A009"/>
    <s v="Sahne 200ml"/>
    <x v="4"/>
    <n v="0.79"/>
    <n v="5"/>
    <x v="4"/>
    <n v="165"/>
    <n v="161"/>
    <n v="-4"/>
    <n v="-2.4242424242424243"/>
    <x v="0"/>
    <n v="3.16"/>
    <n v="0"/>
    <n v="3"/>
    <n v="0.79"/>
    <n v="0.94799999999999995"/>
    <x v="0"/>
    <n v="0"/>
    <s v="Abschreibung"/>
    <n v="100"/>
    <n v="0"/>
    <n v="5"/>
    <n v="3.95"/>
    <x v="1"/>
    <x v="3"/>
  </r>
  <r>
    <s v="F002"/>
    <x v="1"/>
    <s v="A009"/>
    <s v="Sahne 200ml"/>
    <x v="4"/>
    <n v="0.79"/>
    <n v="6"/>
    <x v="5"/>
    <n v="176"/>
    <n v="170"/>
    <n v="-6"/>
    <n v="-3.4090909090909087"/>
    <x v="0"/>
    <n v="4.74"/>
    <n v="10"/>
    <n v="4"/>
    <n v="1.1850000000000001"/>
    <n v="1.4219999999999999"/>
    <x v="0"/>
    <n v="0"/>
    <s v="Nein"/>
    <n v="0"/>
    <n v="0.79"/>
    <n v="0"/>
    <n v="0"/>
    <x v="0"/>
    <x v="0"/>
  </r>
  <r>
    <s v="F002"/>
    <x v="1"/>
    <s v="A009"/>
    <s v="Sahne 200ml"/>
    <x v="4"/>
    <n v="0.79"/>
    <n v="7"/>
    <x v="6"/>
    <n v="182"/>
    <n v="179"/>
    <n v="-3"/>
    <n v="-1.6483516483516485"/>
    <x v="0"/>
    <n v="2.37"/>
    <n v="1"/>
    <n v="0"/>
    <n v="0.59250000000000003"/>
    <n v="0.71099999999999997"/>
    <x v="0"/>
    <n v="0"/>
    <s v="Ja - 20% Reduzierung"/>
    <n v="20"/>
    <n v="0.63"/>
    <n v="16"/>
    <n v="2.5299999999999998"/>
    <x v="1"/>
    <x v="5"/>
  </r>
  <r>
    <s v="F002"/>
    <x v="1"/>
    <s v="A009"/>
    <s v="Sahne 200ml"/>
    <x v="4"/>
    <n v="0.79"/>
    <n v="8"/>
    <x v="7"/>
    <n v="177"/>
    <n v="172"/>
    <n v="-5"/>
    <n v="-2.8248587570621471"/>
    <x v="0"/>
    <n v="3.95"/>
    <n v="8"/>
    <n v="1"/>
    <n v="0.98750000000000004"/>
    <n v="1.1850000000000001"/>
    <x v="0"/>
    <n v="0"/>
    <s v="Nein"/>
    <n v="0"/>
    <n v="0.79"/>
    <n v="0"/>
    <n v="0"/>
    <x v="0"/>
    <x v="1"/>
  </r>
  <r>
    <s v="F002"/>
    <x v="1"/>
    <s v="A009"/>
    <s v="Sahne 200ml"/>
    <x v="4"/>
    <n v="0.79"/>
    <n v="9"/>
    <x v="8"/>
    <n v="154"/>
    <n v="162"/>
    <n v="8"/>
    <n v="5.1948051948051948"/>
    <x v="1"/>
    <n v="6.32"/>
    <n v="8"/>
    <n v="3"/>
    <n v="0"/>
    <n v="0"/>
    <x v="0"/>
    <n v="8"/>
    <s v="Nein"/>
    <n v="0"/>
    <n v="0.79"/>
    <n v="0"/>
    <n v="0"/>
    <x v="0"/>
    <x v="2"/>
  </r>
  <r>
    <s v="F002"/>
    <x v="1"/>
    <s v="A009"/>
    <s v="Sahne 200ml"/>
    <x v="4"/>
    <n v="0.79"/>
    <n v="10"/>
    <x v="9"/>
    <n v="160"/>
    <n v="162"/>
    <n v="2"/>
    <n v="1.25"/>
    <x v="1"/>
    <n v="1.58"/>
    <n v="6"/>
    <n v="3"/>
    <n v="0"/>
    <n v="0"/>
    <x v="0"/>
    <n v="2"/>
    <s v="Nein"/>
    <n v="0"/>
    <n v="0.79"/>
    <n v="0"/>
    <n v="0"/>
    <x v="0"/>
    <x v="2"/>
  </r>
  <r>
    <s v="F002"/>
    <x v="1"/>
    <s v="A009"/>
    <s v="Sahne 200ml"/>
    <x v="4"/>
    <n v="0.79"/>
    <n v="11"/>
    <x v="10"/>
    <n v="172"/>
    <n v="167"/>
    <n v="-5"/>
    <n v="-2.9069767441860463"/>
    <x v="0"/>
    <n v="3.95"/>
    <n v="4"/>
    <n v="4"/>
    <n v="0.98750000000000004"/>
    <n v="1.1850000000000001"/>
    <x v="3"/>
    <n v="0"/>
    <s v="Nein"/>
    <n v="0"/>
    <n v="0.79"/>
    <n v="0"/>
    <n v="0"/>
    <x v="0"/>
    <x v="0"/>
  </r>
  <r>
    <s v="F002"/>
    <x v="1"/>
    <s v="A009"/>
    <s v="Sahne 200ml"/>
    <x v="4"/>
    <n v="0.79"/>
    <n v="12"/>
    <x v="11"/>
    <n v="213"/>
    <n v="213"/>
    <n v="0"/>
    <n v="0"/>
    <x v="2"/>
    <n v="0"/>
    <n v="3"/>
    <n v="2"/>
    <n v="0"/>
    <n v="0"/>
    <x v="4"/>
    <n v="0"/>
    <s v="Ja - 20% Reduzierung"/>
    <n v="20"/>
    <n v="0.63"/>
    <n v="21"/>
    <n v="3.32"/>
    <x v="4"/>
    <x v="4"/>
  </r>
  <r>
    <s v="F002"/>
    <x v="1"/>
    <s v="A010"/>
    <s v="Schmand 200g"/>
    <x v="4"/>
    <n v="0.89"/>
    <n v="1"/>
    <x v="0"/>
    <n v="135"/>
    <n v="134"/>
    <n v="-1"/>
    <n v="-0.74074074074074081"/>
    <x v="0"/>
    <n v="0.89"/>
    <n v="13"/>
    <n v="0"/>
    <n v="0.2225"/>
    <n v="0.26700000000000002"/>
    <x v="0"/>
    <n v="0"/>
    <s v="Nein"/>
    <n v="0"/>
    <n v="0.89"/>
    <n v="0"/>
    <n v="0"/>
    <x v="0"/>
    <x v="5"/>
  </r>
  <r>
    <s v="F002"/>
    <x v="1"/>
    <s v="A010"/>
    <s v="Schmand 200g"/>
    <x v="4"/>
    <n v="0.89"/>
    <n v="2"/>
    <x v="1"/>
    <n v="127"/>
    <n v="126"/>
    <n v="-1"/>
    <n v="-0.78740157480314954"/>
    <x v="0"/>
    <n v="0.89"/>
    <n v="5"/>
    <n v="1"/>
    <n v="0.2225"/>
    <n v="0.26700000000000002"/>
    <x v="1"/>
    <n v="0"/>
    <s v="Nein"/>
    <n v="0"/>
    <n v="0.89"/>
    <n v="0"/>
    <n v="0"/>
    <x v="0"/>
    <x v="5"/>
  </r>
  <r>
    <s v="F002"/>
    <x v="1"/>
    <s v="A010"/>
    <s v="Schmand 200g"/>
    <x v="4"/>
    <n v="0.89"/>
    <n v="3"/>
    <x v="2"/>
    <n v="145"/>
    <n v="142"/>
    <n v="-3"/>
    <n v="-2.0689655172413794"/>
    <x v="0"/>
    <n v="2.67"/>
    <n v="7"/>
    <n v="3"/>
    <n v="0.66749999999999998"/>
    <n v="0.80099999999999993"/>
    <x v="0"/>
    <n v="0"/>
    <s v="Nein"/>
    <n v="0"/>
    <n v="0.89"/>
    <n v="0"/>
    <n v="0"/>
    <x v="0"/>
    <x v="0"/>
  </r>
  <r>
    <s v="F002"/>
    <x v="1"/>
    <s v="A010"/>
    <s v="Schmand 200g"/>
    <x v="4"/>
    <n v="0.89"/>
    <n v="4"/>
    <x v="3"/>
    <n v="173"/>
    <n v="169"/>
    <n v="-4"/>
    <n v="-2.3121387283236992"/>
    <x v="0"/>
    <n v="3.56"/>
    <n v="3"/>
    <n v="0"/>
    <n v="0.89"/>
    <n v="1.0680000000000001"/>
    <x v="2"/>
    <n v="0"/>
    <s v="Ja - 20% Reduzierung"/>
    <n v="20"/>
    <n v="0.71"/>
    <n v="17"/>
    <n v="3.03"/>
    <x v="1"/>
    <x v="1"/>
  </r>
  <r>
    <s v="F002"/>
    <x v="1"/>
    <s v="A010"/>
    <s v="Schmand 200g"/>
    <x v="4"/>
    <n v="0.89"/>
    <n v="5"/>
    <x v="4"/>
    <n v="151"/>
    <n v="149"/>
    <n v="-2"/>
    <n v="-1.3245033112582782"/>
    <x v="0"/>
    <n v="1.78"/>
    <n v="7"/>
    <n v="5"/>
    <n v="0.44500000000000001"/>
    <n v="0.53400000000000003"/>
    <x v="0"/>
    <n v="0"/>
    <s v="Nein"/>
    <n v="0"/>
    <n v="0.89"/>
    <n v="0"/>
    <n v="0"/>
    <x v="0"/>
    <x v="5"/>
  </r>
  <r>
    <s v="F002"/>
    <x v="1"/>
    <s v="A010"/>
    <s v="Schmand 200g"/>
    <x v="4"/>
    <n v="0.89"/>
    <n v="6"/>
    <x v="5"/>
    <n v="157"/>
    <n v="157"/>
    <n v="0"/>
    <n v="0"/>
    <x v="2"/>
    <n v="0"/>
    <n v="8"/>
    <n v="5"/>
    <n v="0"/>
    <n v="0"/>
    <x v="0"/>
    <n v="0"/>
    <s v="Nein"/>
    <n v="0"/>
    <n v="0.89"/>
    <n v="0"/>
    <n v="0"/>
    <x v="0"/>
    <x v="5"/>
  </r>
  <r>
    <s v="F002"/>
    <x v="1"/>
    <s v="A010"/>
    <s v="Schmand 200g"/>
    <x v="4"/>
    <n v="0.89"/>
    <n v="7"/>
    <x v="6"/>
    <n v="168"/>
    <n v="164"/>
    <n v="-4"/>
    <n v="-2.3809523809523809"/>
    <x v="0"/>
    <n v="3.56"/>
    <n v="13"/>
    <n v="5"/>
    <n v="0.89"/>
    <n v="1.0680000000000001"/>
    <x v="0"/>
    <n v="0"/>
    <s v="Nein"/>
    <n v="0"/>
    <n v="0.89"/>
    <n v="0"/>
    <n v="0"/>
    <x v="0"/>
    <x v="0"/>
  </r>
  <r>
    <s v="F002"/>
    <x v="1"/>
    <s v="A010"/>
    <s v="Schmand 200g"/>
    <x v="4"/>
    <n v="0.89"/>
    <n v="8"/>
    <x v="7"/>
    <n v="171"/>
    <n v="176"/>
    <n v="5"/>
    <n v="2.9239766081871341"/>
    <x v="1"/>
    <n v="4.45"/>
    <n v="7"/>
    <n v="3"/>
    <n v="0"/>
    <n v="0"/>
    <x v="0"/>
    <n v="5"/>
    <s v="Nein"/>
    <n v="0"/>
    <n v="0.89"/>
    <n v="0"/>
    <n v="0"/>
    <x v="0"/>
    <x v="2"/>
  </r>
  <r>
    <s v="F002"/>
    <x v="1"/>
    <s v="A010"/>
    <s v="Schmand 200g"/>
    <x v="4"/>
    <n v="0.89"/>
    <n v="9"/>
    <x v="8"/>
    <n v="140"/>
    <n v="138"/>
    <n v="-2"/>
    <n v="-1.4285714285714286"/>
    <x v="0"/>
    <n v="1.78"/>
    <n v="5"/>
    <n v="1"/>
    <n v="0.44500000000000001"/>
    <n v="0.53400000000000003"/>
    <x v="0"/>
    <n v="0"/>
    <s v="Nein"/>
    <n v="0"/>
    <n v="0.89"/>
    <n v="0"/>
    <n v="0"/>
    <x v="0"/>
    <x v="5"/>
  </r>
  <r>
    <s v="F002"/>
    <x v="1"/>
    <s v="A010"/>
    <s v="Schmand 200g"/>
    <x v="4"/>
    <n v="0.89"/>
    <n v="10"/>
    <x v="9"/>
    <n v="151"/>
    <n v="149"/>
    <n v="-2"/>
    <n v="-1.3245033112582782"/>
    <x v="0"/>
    <n v="1.78"/>
    <n v="3"/>
    <n v="4"/>
    <n v="0.44500000000000001"/>
    <n v="0.53400000000000003"/>
    <x v="0"/>
    <n v="0"/>
    <s v="Ja - 20% Reduzierung"/>
    <n v="20"/>
    <n v="0.71"/>
    <n v="21"/>
    <n v="3.74"/>
    <x v="5"/>
    <x v="4"/>
  </r>
  <r>
    <s v="F002"/>
    <x v="1"/>
    <s v="A010"/>
    <s v="Schmand 200g"/>
    <x v="4"/>
    <n v="0.89"/>
    <n v="11"/>
    <x v="10"/>
    <n v="158"/>
    <n v="158"/>
    <n v="0"/>
    <n v="0"/>
    <x v="2"/>
    <n v="0"/>
    <n v="5"/>
    <n v="5"/>
    <n v="0"/>
    <n v="0"/>
    <x v="3"/>
    <n v="0"/>
    <s v="Nein"/>
    <n v="0"/>
    <n v="0.89"/>
    <n v="0"/>
    <n v="0"/>
    <x v="0"/>
    <x v="5"/>
  </r>
  <r>
    <s v="F002"/>
    <x v="1"/>
    <s v="A010"/>
    <s v="Schmand 200g"/>
    <x v="4"/>
    <n v="0.89"/>
    <n v="12"/>
    <x v="11"/>
    <n v="208"/>
    <n v="205"/>
    <n v="-3"/>
    <n v="-1.4423076923076923"/>
    <x v="0"/>
    <n v="2.67"/>
    <n v="1"/>
    <n v="4"/>
    <n v="0.66749999999999998"/>
    <n v="0.80099999999999993"/>
    <x v="4"/>
    <n v="0"/>
    <s v="Ja - 20% Reduzierung"/>
    <n v="20"/>
    <n v="0.71"/>
    <n v="29"/>
    <n v="5.16"/>
    <x v="1"/>
    <x v="5"/>
  </r>
  <r>
    <s v="F002"/>
    <x v="1"/>
    <s v="A011"/>
    <s v="Mozzarella 125g"/>
    <x v="2"/>
    <n v="1.19"/>
    <n v="1"/>
    <x v="0"/>
    <n v="216"/>
    <n v="211"/>
    <n v="-5"/>
    <n v="-2.3148148148148149"/>
    <x v="0"/>
    <n v="5.9499999999999993"/>
    <n v="1"/>
    <n v="4"/>
    <n v="1.4874999999999998"/>
    <n v="1.7849999999999997"/>
    <x v="0"/>
    <n v="0"/>
    <s v="Ja - 20% Reduzierung"/>
    <n v="20"/>
    <n v="0.95"/>
    <n v="32"/>
    <n v="7.62"/>
    <x v="1"/>
    <x v="0"/>
  </r>
  <r>
    <s v="F002"/>
    <x v="1"/>
    <s v="A011"/>
    <s v="Mozzarella 125g"/>
    <x v="2"/>
    <n v="1.19"/>
    <n v="2"/>
    <x v="1"/>
    <n v="200"/>
    <n v="197"/>
    <n v="-3"/>
    <n v="-1.5"/>
    <x v="0"/>
    <n v="3.57"/>
    <n v="5"/>
    <n v="4"/>
    <n v="0.89249999999999996"/>
    <n v="1.071"/>
    <x v="1"/>
    <n v="0"/>
    <s v="Nein"/>
    <n v="0"/>
    <n v="1.19"/>
    <n v="0"/>
    <n v="0"/>
    <x v="0"/>
    <x v="5"/>
  </r>
  <r>
    <s v="F002"/>
    <x v="1"/>
    <s v="A011"/>
    <s v="Mozzarella 125g"/>
    <x v="2"/>
    <n v="1.19"/>
    <n v="3"/>
    <x v="2"/>
    <n v="244"/>
    <n v="237"/>
    <n v="-7"/>
    <n v="-2.8688524590163933"/>
    <x v="0"/>
    <n v="8.33"/>
    <n v="3"/>
    <n v="0"/>
    <n v="2.0825"/>
    <n v="2.4990000000000001"/>
    <x v="0"/>
    <n v="0"/>
    <s v="Ja - 20% Reduzierung"/>
    <n v="20"/>
    <n v="0.95"/>
    <n v="20"/>
    <n v="4.76"/>
    <x v="1"/>
    <x v="1"/>
  </r>
  <r>
    <s v="F002"/>
    <x v="1"/>
    <s v="A011"/>
    <s v="Mozzarella 125g"/>
    <x v="2"/>
    <n v="1.19"/>
    <n v="4"/>
    <x v="3"/>
    <n v="303"/>
    <n v="287"/>
    <n v="-16"/>
    <n v="-5.2805280528052805"/>
    <x v="0"/>
    <n v="19.04"/>
    <n v="9"/>
    <n v="3"/>
    <n v="4.76"/>
    <n v="5.7119999999999997"/>
    <x v="2"/>
    <n v="0"/>
    <s v="Nein"/>
    <n v="0"/>
    <n v="1.19"/>
    <n v="0"/>
    <n v="0"/>
    <x v="0"/>
    <x v="0"/>
  </r>
  <r>
    <s v="F002"/>
    <x v="1"/>
    <s v="A011"/>
    <s v="Mozzarella 125g"/>
    <x v="2"/>
    <n v="1.19"/>
    <n v="5"/>
    <x v="4"/>
    <n v="242"/>
    <n v="236"/>
    <n v="-6"/>
    <n v="-2.4793388429752068"/>
    <x v="0"/>
    <n v="7.14"/>
    <n v="1"/>
    <n v="4"/>
    <n v="1.7849999999999999"/>
    <n v="2.1419999999999999"/>
    <x v="0"/>
    <n v="0"/>
    <s v="Ja - 20% Reduzierung"/>
    <n v="20"/>
    <n v="0.95"/>
    <n v="22"/>
    <n v="5.24"/>
    <x v="1"/>
    <x v="0"/>
  </r>
  <r>
    <s v="F002"/>
    <x v="1"/>
    <s v="A011"/>
    <s v="Mozzarella 125g"/>
    <x v="2"/>
    <n v="1.19"/>
    <n v="6"/>
    <x v="5"/>
    <n v="256"/>
    <n v="247"/>
    <n v="-9"/>
    <n v="-3.515625"/>
    <x v="0"/>
    <n v="10.709999999999999"/>
    <n v="7"/>
    <n v="0"/>
    <n v="2.6774999999999998"/>
    <n v="3.2129999999999996"/>
    <x v="0"/>
    <n v="0"/>
    <s v="Nein"/>
    <n v="0"/>
    <n v="1.19"/>
    <n v="0"/>
    <n v="0"/>
    <x v="0"/>
    <x v="1"/>
  </r>
  <r>
    <s v="F002"/>
    <x v="1"/>
    <s v="A011"/>
    <s v="Mozzarella 125g"/>
    <x v="2"/>
    <n v="1.19"/>
    <n v="7"/>
    <x v="6"/>
    <n v="279"/>
    <n v="263"/>
    <n v="-16"/>
    <n v="-5.7347670250896057"/>
    <x v="0"/>
    <n v="19.04"/>
    <n v="5"/>
    <n v="2"/>
    <n v="4.76"/>
    <n v="5.7119999999999997"/>
    <x v="0"/>
    <n v="0"/>
    <s v="Nein"/>
    <n v="0"/>
    <n v="1.19"/>
    <n v="0"/>
    <n v="0"/>
    <x v="0"/>
    <x v="0"/>
  </r>
  <r>
    <s v="F002"/>
    <x v="1"/>
    <s v="A011"/>
    <s v="Mozzarella 125g"/>
    <x v="2"/>
    <n v="1.19"/>
    <n v="8"/>
    <x v="7"/>
    <n v="287"/>
    <n v="280"/>
    <n v="-7"/>
    <n v="-2.4390243902439024"/>
    <x v="0"/>
    <n v="8.33"/>
    <n v="1"/>
    <n v="3"/>
    <n v="2.0825"/>
    <n v="2.4990000000000001"/>
    <x v="0"/>
    <n v="0"/>
    <s v="Ja - 20% Reduzierung"/>
    <n v="20"/>
    <n v="0.95"/>
    <n v="34"/>
    <n v="8.09"/>
    <x v="1"/>
    <x v="0"/>
  </r>
  <r>
    <s v="F002"/>
    <x v="1"/>
    <s v="A011"/>
    <s v="Mozzarella 125g"/>
    <x v="2"/>
    <n v="1.19"/>
    <n v="9"/>
    <x v="8"/>
    <n v="217"/>
    <n v="222"/>
    <n v="5"/>
    <n v="2.3041474654377883"/>
    <x v="1"/>
    <n v="5.9499999999999993"/>
    <n v="9"/>
    <n v="4"/>
    <n v="0"/>
    <n v="0"/>
    <x v="0"/>
    <n v="5"/>
    <s v="Nein"/>
    <n v="0"/>
    <n v="1.19"/>
    <n v="0"/>
    <n v="0"/>
    <x v="0"/>
    <x v="2"/>
  </r>
  <r>
    <s v="F002"/>
    <x v="1"/>
    <s v="A011"/>
    <s v="Mozzarella 125g"/>
    <x v="2"/>
    <n v="1.19"/>
    <n v="10"/>
    <x v="9"/>
    <n v="230"/>
    <n v="223"/>
    <n v="-7"/>
    <n v="-3.0434782608695654"/>
    <x v="0"/>
    <n v="8.33"/>
    <n v="0"/>
    <n v="0"/>
    <n v="2.0825"/>
    <n v="2.4990000000000001"/>
    <x v="0"/>
    <n v="0"/>
    <s v="Abschreibung"/>
    <n v="100"/>
    <n v="0"/>
    <n v="7"/>
    <n v="8.33"/>
    <x v="1"/>
    <x v="3"/>
  </r>
  <r>
    <s v="F002"/>
    <x v="1"/>
    <s v="A011"/>
    <s v="Mozzarella 125g"/>
    <x v="2"/>
    <n v="1.19"/>
    <n v="11"/>
    <x v="10"/>
    <n v="272"/>
    <n v="262"/>
    <n v="-10"/>
    <n v="-3.6764705882352944"/>
    <x v="0"/>
    <n v="11.899999999999999"/>
    <n v="10"/>
    <n v="0"/>
    <n v="2.9749999999999996"/>
    <n v="3.5699999999999994"/>
    <x v="3"/>
    <n v="0"/>
    <s v="Nein"/>
    <n v="0"/>
    <n v="1.19"/>
    <n v="0"/>
    <n v="0"/>
    <x v="0"/>
    <x v="1"/>
  </r>
  <r>
    <s v="F002"/>
    <x v="1"/>
    <s v="A011"/>
    <s v="Mozzarella 125g"/>
    <x v="2"/>
    <n v="1.19"/>
    <n v="12"/>
    <x v="11"/>
    <n v="329"/>
    <n v="318"/>
    <n v="-11"/>
    <n v="-3.3434650455927049"/>
    <x v="0"/>
    <n v="13.09"/>
    <n v="8"/>
    <n v="1"/>
    <n v="3.2725"/>
    <n v="3.9269999999999996"/>
    <x v="4"/>
    <n v="0"/>
    <s v="Nein"/>
    <n v="0"/>
    <n v="1.19"/>
    <n v="0"/>
    <n v="0"/>
    <x v="0"/>
    <x v="1"/>
  </r>
  <r>
    <s v="F002"/>
    <x v="1"/>
    <s v="A012"/>
    <s v="Quark 500g"/>
    <x v="5"/>
    <n v="1.39"/>
    <n v="1"/>
    <x v="0"/>
    <n v="274"/>
    <n v="274"/>
    <n v="0"/>
    <n v="0"/>
    <x v="2"/>
    <n v="0"/>
    <n v="13"/>
    <n v="1"/>
    <n v="0"/>
    <n v="0"/>
    <x v="0"/>
    <n v="0"/>
    <s v="Nein"/>
    <n v="0"/>
    <n v="1.39"/>
    <n v="0"/>
    <n v="0"/>
    <x v="0"/>
    <x v="5"/>
  </r>
  <r>
    <s v="F002"/>
    <x v="1"/>
    <s v="A012"/>
    <s v="Quark 500g"/>
    <x v="5"/>
    <n v="1.39"/>
    <n v="2"/>
    <x v="1"/>
    <n v="261"/>
    <n v="257"/>
    <n v="-4"/>
    <n v="-1.5325670498084289"/>
    <x v="0"/>
    <n v="5.56"/>
    <n v="0"/>
    <n v="3"/>
    <n v="1.39"/>
    <n v="1.6679999999999999"/>
    <x v="1"/>
    <n v="0"/>
    <s v="Abschreibung"/>
    <n v="100"/>
    <n v="0"/>
    <n v="8"/>
    <n v="11.12"/>
    <x v="2"/>
    <x v="3"/>
  </r>
  <r>
    <s v="F002"/>
    <x v="1"/>
    <s v="A012"/>
    <s v="Quark 500g"/>
    <x v="5"/>
    <n v="1.39"/>
    <n v="3"/>
    <x v="2"/>
    <n v="339"/>
    <n v="328"/>
    <n v="-11"/>
    <n v="-3.2448377581120944"/>
    <x v="0"/>
    <n v="15.29"/>
    <n v="2"/>
    <n v="0"/>
    <n v="3.8224999999999998"/>
    <n v="4.5869999999999997"/>
    <x v="0"/>
    <n v="0"/>
    <s v="Ja - 20% Reduzierung"/>
    <n v="20"/>
    <n v="1.1100000000000001"/>
    <n v="20"/>
    <n v="5.56"/>
    <x v="1"/>
    <x v="1"/>
  </r>
  <r>
    <s v="F002"/>
    <x v="1"/>
    <s v="A012"/>
    <s v="Quark 500g"/>
    <x v="5"/>
    <n v="1.39"/>
    <n v="4"/>
    <x v="3"/>
    <n v="396"/>
    <n v="396"/>
    <n v="0"/>
    <n v="0"/>
    <x v="2"/>
    <n v="0"/>
    <n v="2"/>
    <n v="5"/>
    <n v="0"/>
    <n v="0"/>
    <x v="2"/>
    <n v="0"/>
    <s v="Ja - 20% Reduzierung"/>
    <n v="20"/>
    <n v="1.1100000000000001"/>
    <n v="40"/>
    <n v="11.12"/>
    <x v="1"/>
    <x v="5"/>
  </r>
  <r>
    <s v="F002"/>
    <x v="1"/>
    <s v="A012"/>
    <s v="Quark 500g"/>
    <x v="5"/>
    <n v="1.39"/>
    <n v="5"/>
    <x v="4"/>
    <n v="314"/>
    <n v="314"/>
    <n v="0"/>
    <n v="0"/>
    <x v="2"/>
    <n v="0"/>
    <n v="4"/>
    <n v="0"/>
    <n v="0"/>
    <n v="0"/>
    <x v="0"/>
    <n v="0"/>
    <s v="Nein"/>
    <n v="0"/>
    <n v="1.39"/>
    <n v="0"/>
    <n v="0"/>
    <x v="0"/>
    <x v="5"/>
  </r>
  <r>
    <s v="F002"/>
    <x v="1"/>
    <s v="A012"/>
    <s v="Quark 500g"/>
    <x v="5"/>
    <n v="1.39"/>
    <n v="6"/>
    <x v="5"/>
    <n v="338"/>
    <n v="327"/>
    <n v="-11"/>
    <n v="-3.2544378698224854"/>
    <x v="0"/>
    <n v="15.29"/>
    <n v="11"/>
    <n v="3"/>
    <n v="3.8224999999999998"/>
    <n v="4.5869999999999997"/>
    <x v="0"/>
    <n v="0"/>
    <s v="Nein"/>
    <n v="0"/>
    <n v="1.39"/>
    <n v="0"/>
    <n v="0"/>
    <x v="0"/>
    <x v="0"/>
  </r>
  <r>
    <s v="F002"/>
    <x v="1"/>
    <s v="A012"/>
    <s v="Quark 500g"/>
    <x v="5"/>
    <n v="1.39"/>
    <n v="7"/>
    <x v="6"/>
    <n v="399"/>
    <n v="391"/>
    <n v="-8"/>
    <n v="-2.0050125313283207"/>
    <x v="0"/>
    <n v="11.12"/>
    <n v="11"/>
    <n v="2"/>
    <n v="2.78"/>
    <n v="3.3359999999999999"/>
    <x v="0"/>
    <n v="0"/>
    <s v="Nein"/>
    <n v="0"/>
    <n v="1.39"/>
    <n v="0"/>
    <n v="0"/>
    <x v="0"/>
    <x v="0"/>
  </r>
  <r>
    <s v="F002"/>
    <x v="1"/>
    <s v="A012"/>
    <s v="Quark 500g"/>
    <x v="5"/>
    <n v="1.39"/>
    <n v="8"/>
    <x v="7"/>
    <n v="379"/>
    <n v="381"/>
    <n v="2"/>
    <n v="0.52770448548812665"/>
    <x v="1"/>
    <n v="2.78"/>
    <n v="1"/>
    <n v="5"/>
    <n v="0"/>
    <n v="0"/>
    <x v="0"/>
    <n v="2"/>
    <s v="Ja - 20% Reduzierung"/>
    <n v="20"/>
    <n v="1.1100000000000001"/>
    <n v="49"/>
    <n v="13.62"/>
    <x v="1"/>
    <x v="2"/>
  </r>
  <r>
    <s v="F002"/>
    <x v="1"/>
    <s v="A012"/>
    <s v="Quark 500g"/>
    <x v="5"/>
    <n v="1.39"/>
    <n v="9"/>
    <x v="8"/>
    <n v="289"/>
    <n v="279"/>
    <n v="-10"/>
    <n v="-3.4602076124567476"/>
    <x v="0"/>
    <n v="13.899999999999999"/>
    <n v="8"/>
    <n v="5"/>
    <n v="3.4749999999999996"/>
    <n v="4.169999999999999"/>
    <x v="0"/>
    <n v="0"/>
    <s v="Nein"/>
    <n v="0"/>
    <n v="1.39"/>
    <n v="0"/>
    <n v="0"/>
    <x v="0"/>
    <x v="0"/>
  </r>
  <r>
    <s v="F002"/>
    <x v="1"/>
    <s v="A012"/>
    <s v="Quark 500g"/>
    <x v="5"/>
    <n v="1.39"/>
    <n v="10"/>
    <x v="9"/>
    <n v="330"/>
    <n v="337"/>
    <n v="7"/>
    <n v="2.1212121212121215"/>
    <x v="1"/>
    <n v="9.7299999999999986"/>
    <n v="12"/>
    <n v="0"/>
    <n v="0"/>
    <n v="0"/>
    <x v="0"/>
    <n v="7"/>
    <s v="Nein"/>
    <n v="0"/>
    <n v="1.39"/>
    <n v="0"/>
    <n v="0"/>
    <x v="0"/>
    <x v="2"/>
  </r>
  <r>
    <s v="F002"/>
    <x v="1"/>
    <s v="A012"/>
    <s v="Quark 500g"/>
    <x v="5"/>
    <n v="1.39"/>
    <n v="11"/>
    <x v="10"/>
    <n v="370"/>
    <n v="357"/>
    <n v="-13"/>
    <n v="-3.5135135135135136"/>
    <x v="0"/>
    <n v="18.07"/>
    <n v="9"/>
    <n v="5"/>
    <n v="4.5175000000000001"/>
    <n v="5.4210000000000003"/>
    <x v="3"/>
    <n v="0"/>
    <s v="Nein"/>
    <n v="0"/>
    <n v="1.39"/>
    <n v="0"/>
    <n v="0"/>
    <x v="0"/>
    <x v="0"/>
  </r>
  <r>
    <s v="F002"/>
    <x v="1"/>
    <s v="A012"/>
    <s v="Quark 500g"/>
    <x v="5"/>
    <n v="1.39"/>
    <n v="12"/>
    <x v="11"/>
    <n v="439"/>
    <n v="417"/>
    <n v="-22"/>
    <n v="-5.0113895216400905"/>
    <x v="0"/>
    <n v="30.58"/>
    <n v="10"/>
    <n v="0"/>
    <n v="7.6449999999999996"/>
    <n v="9.1739999999999995"/>
    <x v="4"/>
    <n v="0"/>
    <s v="Nein"/>
    <n v="0"/>
    <n v="1.39"/>
    <n v="0"/>
    <n v="0"/>
    <x v="0"/>
    <x v="1"/>
  </r>
  <r>
    <s v="F002"/>
    <x v="1"/>
    <s v="A013"/>
    <s v="Skyr 450g"/>
    <x v="3"/>
    <n v="1.99"/>
    <n v="1"/>
    <x v="0"/>
    <n v="184"/>
    <n v="181"/>
    <n v="-3"/>
    <n v="-1.6304347826086956"/>
    <x v="0"/>
    <n v="5.97"/>
    <n v="13"/>
    <n v="6"/>
    <n v="1.4924999999999999"/>
    <n v="1.7909999999999999"/>
    <x v="0"/>
    <n v="0"/>
    <s v="Nein"/>
    <n v="0"/>
    <n v="1.99"/>
    <n v="0"/>
    <n v="0"/>
    <x v="0"/>
    <x v="5"/>
  </r>
  <r>
    <s v="F002"/>
    <x v="1"/>
    <s v="A013"/>
    <s v="Skyr 450g"/>
    <x v="3"/>
    <n v="1.99"/>
    <n v="2"/>
    <x v="1"/>
    <n v="162"/>
    <n v="164"/>
    <n v="2"/>
    <n v="1.2345679012345678"/>
    <x v="1"/>
    <n v="3.98"/>
    <n v="4"/>
    <n v="3"/>
    <n v="0"/>
    <n v="0"/>
    <x v="1"/>
    <n v="2"/>
    <s v="Nein"/>
    <n v="0"/>
    <n v="1.99"/>
    <n v="0"/>
    <n v="0"/>
    <x v="0"/>
    <x v="2"/>
  </r>
  <r>
    <s v="F002"/>
    <x v="1"/>
    <s v="A013"/>
    <s v="Skyr 450g"/>
    <x v="3"/>
    <n v="1.99"/>
    <n v="3"/>
    <x v="2"/>
    <n v="212"/>
    <n v="214"/>
    <n v="2"/>
    <n v="0.94339622641509435"/>
    <x v="1"/>
    <n v="3.98"/>
    <n v="20"/>
    <n v="0"/>
    <n v="0"/>
    <n v="0"/>
    <x v="0"/>
    <n v="2"/>
    <s v="Nein"/>
    <n v="0"/>
    <n v="1.99"/>
    <n v="0"/>
    <n v="0"/>
    <x v="0"/>
    <x v="2"/>
  </r>
  <r>
    <s v="F002"/>
    <x v="1"/>
    <s v="A013"/>
    <s v="Skyr 450g"/>
    <x v="3"/>
    <n v="1.99"/>
    <n v="4"/>
    <x v="3"/>
    <n v="248"/>
    <n v="239"/>
    <n v="-9"/>
    <n v="-3.6290322580645165"/>
    <x v="0"/>
    <n v="17.91"/>
    <n v="16"/>
    <n v="6"/>
    <n v="4.4775"/>
    <n v="5.3730000000000002"/>
    <x v="2"/>
    <n v="0"/>
    <s v="Nein"/>
    <n v="0"/>
    <n v="1.99"/>
    <n v="0"/>
    <n v="0"/>
    <x v="0"/>
    <x v="0"/>
  </r>
  <r>
    <s v="F002"/>
    <x v="1"/>
    <s v="A013"/>
    <s v="Skyr 450g"/>
    <x v="3"/>
    <n v="1.99"/>
    <n v="5"/>
    <x v="4"/>
    <n v="194"/>
    <n v="187"/>
    <n v="-7"/>
    <n v="-3.608247422680412"/>
    <x v="0"/>
    <n v="13.93"/>
    <n v="11"/>
    <n v="6"/>
    <n v="3.4824999999999999"/>
    <n v="4.1789999999999994"/>
    <x v="0"/>
    <n v="0"/>
    <s v="Nein"/>
    <n v="0"/>
    <n v="1.99"/>
    <n v="0"/>
    <n v="0"/>
    <x v="0"/>
    <x v="0"/>
  </r>
  <r>
    <s v="F002"/>
    <x v="1"/>
    <s v="A013"/>
    <s v="Skyr 450g"/>
    <x v="3"/>
    <n v="1.99"/>
    <n v="6"/>
    <x v="5"/>
    <n v="216"/>
    <n v="217"/>
    <n v="1"/>
    <n v="0.46296296296296291"/>
    <x v="1"/>
    <n v="1.99"/>
    <n v="13"/>
    <n v="6"/>
    <n v="0"/>
    <n v="0"/>
    <x v="0"/>
    <n v="1"/>
    <s v="Nein"/>
    <n v="0"/>
    <n v="1.99"/>
    <n v="0"/>
    <n v="0"/>
    <x v="0"/>
    <x v="2"/>
  </r>
  <r>
    <s v="F002"/>
    <x v="1"/>
    <s v="A013"/>
    <s v="Skyr 450g"/>
    <x v="3"/>
    <n v="1.99"/>
    <n v="7"/>
    <x v="6"/>
    <n v="247"/>
    <n v="242"/>
    <n v="-5"/>
    <n v="-2.0242914979757085"/>
    <x v="0"/>
    <n v="9.9499999999999993"/>
    <n v="3"/>
    <n v="7"/>
    <n v="2.4874999999999998"/>
    <n v="2.9849999999999999"/>
    <x v="0"/>
    <n v="0"/>
    <s v="Ja - 20% Reduzierung"/>
    <n v="20"/>
    <n v="1.59"/>
    <n v="25"/>
    <n v="9.9499999999999993"/>
    <x v="1"/>
    <x v="0"/>
  </r>
  <r>
    <s v="F002"/>
    <x v="1"/>
    <s v="A013"/>
    <s v="Skyr 450g"/>
    <x v="3"/>
    <n v="1.99"/>
    <n v="8"/>
    <x v="7"/>
    <n v="219"/>
    <n v="215"/>
    <n v="-4"/>
    <n v="-1.8264840182648401"/>
    <x v="0"/>
    <n v="7.96"/>
    <n v="21"/>
    <n v="4"/>
    <n v="1.99"/>
    <n v="2.3879999999999999"/>
    <x v="0"/>
    <n v="0"/>
    <s v="Nein"/>
    <n v="0"/>
    <n v="1.99"/>
    <n v="0"/>
    <n v="0"/>
    <x v="0"/>
    <x v="5"/>
  </r>
  <r>
    <s v="F002"/>
    <x v="1"/>
    <s v="A013"/>
    <s v="Skyr 450g"/>
    <x v="3"/>
    <n v="1.99"/>
    <n v="9"/>
    <x v="8"/>
    <n v="200"/>
    <n v="195"/>
    <n v="-5"/>
    <n v="-2.5"/>
    <x v="0"/>
    <n v="9.9499999999999993"/>
    <n v="21"/>
    <n v="1"/>
    <n v="2.4874999999999998"/>
    <n v="2.9849999999999999"/>
    <x v="0"/>
    <n v="0"/>
    <s v="Nein"/>
    <n v="0"/>
    <n v="1.99"/>
    <n v="0"/>
    <n v="0"/>
    <x v="0"/>
    <x v="1"/>
  </r>
  <r>
    <s v="F002"/>
    <x v="1"/>
    <s v="A013"/>
    <s v="Skyr 450g"/>
    <x v="3"/>
    <n v="1.99"/>
    <n v="10"/>
    <x v="9"/>
    <n v="204"/>
    <n v="204"/>
    <n v="0"/>
    <n v="0"/>
    <x v="2"/>
    <n v="0"/>
    <n v="18"/>
    <n v="5"/>
    <n v="0"/>
    <n v="0"/>
    <x v="0"/>
    <n v="0"/>
    <s v="Nein"/>
    <n v="0"/>
    <n v="1.99"/>
    <n v="0"/>
    <n v="0"/>
    <x v="0"/>
    <x v="5"/>
  </r>
  <r>
    <s v="F002"/>
    <x v="1"/>
    <s v="A013"/>
    <s v="Skyr 450g"/>
    <x v="3"/>
    <n v="1.99"/>
    <n v="11"/>
    <x v="10"/>
    <n v="224"/>
    <n v="218"/>
    <n v="-6"/>
    <n v="-2.6785714285714284"/>
    <x v="0"/>
    <n v="11.94"/>
    <n v="11"/>
    <n v="6"/>
    <n v="2.9849999999999999"/>
    <n v="3.5819999999999999"/>
    <x v="3"/>
    <n v="0"/>
    <s v="Nein"/>
    <n v="0"/>
    <n v="1.99"/>
    <n v="0"/>
    <n v="0"/>
    <x v="0"/>
    <x v="0"/>
  </r>
  <r>
    <s v="F002"/>
    <x v="1"/>
    <s v="A013"/>
    <s v="Skyr 450g"/>
    <x v="3"/>
    <n v="1.99"/>
    <n v="12"/>
    <x v="11"/>
    <n v="274"/>
    <n v="266"/>
    <n v="-8"/>
    <n v="-2.9197080291970803"/>
    <x v="0"/>
    <n v="15.92"/>
    <n v="19"/>
    <n v="3"/>
    <n v="3.98"/>
    <n v="4.7759999999999998"/>
    <x v="4"/>
    <n v="0"/>
    <s v="Nein"/>
    <n v="0"/>
    <n v="1.99"/>
    <n v="0"/>
    <n v="0"/>
    <x v="0"/>
    <x v="0"/>
  </r>
  <r>
    <s v="F002"/>
    <x v="1"/>
    <s v="A014"/>
    <s v="Kefir 500ml"/>
    <x v="0"/>
    <n v="1.39"/>
    <n v="1"/>
    <x v="0"/>
    <n v="107"/>
    <n v="104"/>
    <n v="-3"/>
    <n v="-2.8037383177570092"/>
    <x v="0"/>
    <n v="4.17"/>
    <n v="4"/>
    <n v="0"/>
    <n v="1.0425"/>
    <n v="1.2509999999999999"/>
    <x v="0"/>
    <n v="0"/>
    <s v="Nein"/>
    <n v="0"/>
    <n v="1.39"/>
    <n v="0"/>
    <n v="0"/>
    <x v="0"/>
    <x v="1"/>
  </r>
  <r>
    <s v="F002"/>
    <x v="1"/>
    <s v="A014"/>
    <s v="Kefir 500ml"/>
    <x v="0"/>
    <n v="1.39"/>
    <n v="2"/>
    <x v="1"/>
    <n v="99"/>
    <n v="96"/>
    <n v="-3"/>
    <n v="-3.0303030303030303"/>
    <x v="0"/>
    <n v="4.17"/>
    <n v="10"/>
    <n v="3"/>
    <n v="1.0425"/>
    <n v="1.2509999999999999"/>
    <x v="1"/>
    <n v="0"/>
    <s v="Nein"/>
    <n v="0"/>
    <n v="1.39"/>
    <n v="0"/>
    <n v="0"/>
    <x v="0"/>
    <x v="0"/>
  </r>
  <r>
    <s v="F002"/>
    <x v="1"/>
    <s v="A014"/>
    <s v="Kefir 500ml"/>
    <x v="0"/>
    <n v="1.39"/>
    <n v="3"/>
    <x v="2"/>
    <n v="125"/>
    <n v="121"/>
    <n v="-4"/>
    <n v="-3.2"/>
    <x v="0"/>
    <n v="5.56"/>
    <n v="3"/>
    <n v="3"/>
    <n v="1.39"/>
    <n v="1.6679999999999999"/>
    <x v="0"/>
    <n v="0"/>
    <s v="Ja - 20% Reduzierung"/>
    <n v="20"/>
    <n v="1.1100000000000001"/>
    <n v="11"/>
    <n v="3.06"/>
    <x v="1"/>
    <x v="0"/>
  </r>
  <r>
    <s v="F002"/>
    <x v="1"/>
    <s v="A014"/>
    <s v="Kefir 500ml"/>
    <x v="0"/>
    <n v="1.39"/>
    <n v="4"/>
    <x v="3"/>
    <n v="155"/>
    <n v="148"/>
    <n v="-7"/>
    <n v="-4.5161290322580641"/>
    <x v="0"/>
    <n v="9.7299999999999986"/>
    <n v="2"/>
    <n v="1"/>
    <n v="2.4324999999999997"/>
    <n v="2.9189999999999996"/>
    <x v="2"/>
    <n v="0"/>
    <s v="Ja - 20% Reduzierung"/>
    <n v="20"/>
    <n v="1.1100000000000001"/>
    <n v="9"/>
    <n v="2.5"/>
    <x v="1"/>
    <x v="1"/>
  </r>
  <r>
    <s v="F002"/>
    <x v="1"/>
    <s v="A014"/>
    <s v="Kefir 500ml"/>
    <x v="0"/>
    <n v="1.39"/>
    <n v="5"/>
    <x v="4"/>
    <n v="120"/>
    <n v="125"/>
    <n v="5"/>
    <n v="4.1666666666666661"/>
    <x v="1"/>
    <n v="6.9499999999999993"/>
    <n v="8"/>
    <n v="3"/>
    <n v="0"/>
    <n v="0"/>
    <x v="0"/>
    <n v="5"/>
    <s v="Nein"/>
    <n v="0"/>
    <n v="1.39"/>
    <n v="0"/>
    <n v="0"/>
    <x v="0"/>
    <x v="2"/>
  </r>
  <r>
    <s v="F002"/>
    <x v="1"/>
    <s v="A014"/>
    <s v="Kefir 500ml"/>
    <x v="0"/>
    <n v="1.39"/>
    <n v="6"/>
    <x v="5"/>
    <n v="139"/>
    <n v="134"/>
    <n v="-5"/>
    <n v="-3.5971223021582732"/>
    <x v="0"/>
    <n v="6.9499999999999993"/>
    <n v="5"/>
    <n v="0"/>
    <n v="1.7374999999999998"/>
    <n v="2.0849999999999995"/>
    <x v="0"/>
    <n v="0"/>
    <s v="Nein"/>
    <n v="0"/>
    <n v="1.39"/>
    <n v="0"/>
    <n v="0"/>
    <x v="0"/>
    <x v="1"/>
  </r>
  <r>
    <s v="F002"/>
    <x v="1"/>
    <s v="A014"/>
    <s v="Kefir 500ml"/>
    <x v="0"/>
    <n v="1.39"/>
    <n v="7"/>
    <x v="6"/>
    <n v="141"/>
    <n v="136"/>
    <n v="-5"/>
    <n v="-3.5460992907801421"/>
    <x v="0"/>
    <n v="6.9499999999999993"/>
    <n v="10"/>
    <n v="0"/>
    <n v="1.7374999999999998"/>
    <n v="2.0849999999999995"/>
    <x v="0"/>
    <n v="0"/>
    <s v="Nein"/>
    <n v="0"/>
    <n v="1.39"/>
    <n v="0"/>
    <n v="0"/>
    <x v="0"/>
    <x v="1"/>
  </r>
  <r>
    <s v="F002"/>
    <x v="1"/>
    <s v="A014"/>
    <s v="Kefir 500ml"/>
    <x v="0"/>
    <n v="1.39"/>
    <n v="8"/>
    <x v="7"/>
    <n v="137"/>
    <n v="137"/>
    <n v="0"/>
    <n v="0"/>
    <x v="2"/>
    <n v="0"/>
    <n v="3"/>
    <n v="1"/>
    <n v="0"/>
    <n v="0"/>
    <x v="0"/>
    <n v="0"/>
    <s v="Ja - 20% Reduzierung"/>
    <n v="20"/>
    <n v="1.1100000000000001"/>
    <n v="7"/>
    <n v="1.95"/>
    <x v="1"/>
    <x v="5"/>
  </r>
  <r>
    <s v="F002"/>
    <x v="1"/>
    <s v="A014"/>
    <s v="Kefir 500ml"/>
    <x v="0"/>
    <n v="1.39"/>
    <n v="9"/>
    <x v="8"/>
    <n v="113"/>
    <n v="113"/>
    <n v="0"/>
    <n v="0"/>
    <x v="2"/>
    <n v="0"/>
    <n v="5"/>
    <n v="1"/>
    <n v="0"/>
    <n v="0"/>
    <x v="0"/>
    <n v="0"/>
    <s v="Nein"/>
    <n v="0"/>
    <n v="1.39"/>
    <n v="0"/>
    <n v="0"/>
    <x v="0"/>
    <x v="5"/>
  </r>
  <r>
    <s v="F002"/>
    <x v="1"/>
    <s v="A014"/>
    <s v="Kefir 500ml"/>
    <x v="0"/>
    <n v="1.39"/>
    <n v="10"/>
    <x v="9"/>
    <n v="114"/>
    <n v="111"/>
    <n v="-3"/>
    <n v="-2.6315789473684208"/>
    <x v="0"/>
    <n v="4.17"/>
    <n v="10"/>
    <n v="0"/>
    <n v="1.0425"/>
    <n v="1.2509999999999999"/>
    <x v="0"/>
    <n v="0"/>
    <s v="Nein"/>
    <n v="0"/>
    <n v="1.39"/>
    <n v="0"/>
    <n v="0"/>
    <x v="0"/>
    <x v="1"/>
  </r>
  <r>
    <s v="F002"/>
    <x v="1"/>
    <s v="A014"/>
    <s v="Kefir 500ml"/>
    <x v="0"/>
    <n v="1.39"/>
    <n v="11"/>
    <x v="10"/>
    <n v="128"/>
    <n v="124"/>
    <n v="-4"/>
    <n v="-3.125"/>
    <x v="0"/>
    <n v="5.56"/>
    <n v="3"/>
    <n v="3"/>
    <n v="1.39"/>
    <n v="1.6679999999999999"/>
    <x v="3"/>
    <n v="0"/>
    <s v="Ja - 20% Reduzierung"/>
    <n v="20"/>
    <n v="1.1100000000000001"/>
    <n v="19"/>
    <n v="5.28"/>
    <x v="1"/>
    <x v="0"/>
  </r>
  <r>
    <s v="F002"/>
    <x v="1"/>
    <s v="A014"/>
    <s v="Kefir 500ml"/>
    <x v="0"/>
    <n v="1.39"/>
    <n v="12"/>
    <x v="11"/>
    <n v="160"/>
    <n v="155"/>
    <n v="-5"/>
    <n v="-3.125"/>
    <x v="0"/>
    <n v="6.9499999999999993"/>
    <n v="9"/>
    <n v="4"/>
    <n v="1.7374999999999998"/>
    <n v="2.0849999999999995"/>
    <x v="4"/>
    <n v="0"/>
    <s v="Nein"/>
    <n v="0"/>
    <n v="1.39"/>
    <n v="0"/>
    <n v="0"/>
    <x v="0"/>
    <x v="0"/>
  </r>
  <r>
    <s v="F002"/>
    <x v="1"/>
    <s v="A015"/>
    <s v="Frischkäse 200g"/>
    <x v="2"/>
    <n v="1.49"/>
    <n v="1"/>
    <x v="0"/>
    <n v="141"/>
    <n v="139"/>
    <n v="-2"/>
    <n v="-1.4184397163120568"/>
    <x v="0"/>
    <n v="2.98"/>
    <n v="4"/>
    <n v="5"/>
    <n v="0.745"/>
    <n v="0.89400000000000002"/>
    <x v="0"/>
    <n v="0"/>
    <s v="Nein"/>
    <n v="0"/>
    <n v="1.49"/>
    <n v="0"/>
    <n v="0"/>
    <x v="0"/>
    <x v="5"/>
  </r>
  <r>
    <s v="F002"/>
    <x v="1"/>
    <s v="A015"/>
    <s v="Frischkäse 200g"/>
    <x v="2"/>
    <n v="1.49"/>
    <n v="2"/>
    <x v="1"/>
    <n v="140"/>
    <n v="143"/>
    <n v="3"/>
    <n v="2.1428571428571428"/>
    <x v="1"/>
    <n v="4.47"/>
    <n v="17"/>
    <n v="7"/>
    <n v="0"/>
    <n v="0"/>
    <x v="1"/>
    <n v="3"/>
    <s v="Nein"/>
    <n v="0"/>
    <n v="1.49"/>
    <n v="0"/>
    <n v="0"/>
    <x v="0"/>
    <x v="2"/>
  </r>
  <r>
    <s v="F002"/>
    <x v="1"/>
    <s v="A015"/>
    <s v="Frischkäse 200g"/>
    <x v="2"/>
    <n v="1.49"/>
    <n v="3"/>
    <x v="2"/>
    <n v="166"/>
    <n v="161"/>
    <n v="-5"/>
    <n v="-3.0120481927710845"/>
    <x v="0"/>
    <n v="7.45"/>
    <n v="12"/>
    <n v="4"/>
    <n v="1.8625"/>
    <n v="2.2349999999999999"/>
    <x v="0"/>
    <n v="0"/>
    <s v="Nein"/>
    <n v="0"/>
    <n v="1.49"/>
    <n v="0"/>
    <n v="0"/>
    <x v="0"/>
    <x v="0"/>
  </r>
  <r>
    <s v="F002"/>
    <x v="1"/>
    <s v="A015"/>
    <s v="Frischkäse 200g"/>
    <x v="2"/>
    <n v="1.49"/>
    <n v="4"/>
    <x v="3"/>
    <n v="210"/>
    <n v="206"/>
    <n v="-4"/>
    <n v="-1.9047619047619049"/>
    <x v="0"/>
    <n v="5.96"/>
    <n v="1"/>
    <n v="4"/>
    <n v="1.49"/>
    <n v="1.788"/>
    <x v="2"/>
    <n v="0"/>
    <s v="Ja - 20% Reduzierung"/>
    <n v="20"/>
    <n v="1.19"/>
    <n v="23"/>
    <n v="6.85"/>
    <x v="1"/>
    <x v="5"/>
  </r>
  <r>
    <s v="F002"/>
    <x v="1"/>
    <s v="A015"/>
    <s v="Frischkäse 200g"/>
    <x v="2"/>
    <n v="1.49"/>
    <n v="5"/>
    <x v="4"/>
    <n v="155"/>
    <n v="155"/>
    <n v="0"/>
    <n v="0"/>
    <x v="2"/>
    <n v="0"/>
    <n v="18"/>
    <n v="2"/>
    <n v="0"/>
    <n v="0"/>
    <x v="0"/>
    <n v="0"/>
    <s v="Nein"/>
    <n v="0"/>
    <n v="1.49"/>
    <n v="0"/>
    <n v="0"/>
    <x v="0"/>
    <x v="5"/>
  </r>
  <r>
    <s v="F002"/>
    <x v="1"/>
    <s v="A015"/>
    <s v="Frischkäse 200g"/>
    <x v="2"/>
    <n v="1.49"/>
    <n v="6"/>
    <x v="5"/>
    <n v="171"/>
    <n v="168"/>
    <n v="-3"/>
    <n v="-1.7543859649122806"/>
    <x v="0"/>
    <n v="4.47"/>
    <n v="15"/>
    <n v="3"/>
    <n v="1.1174999999999999"/>
    <n v="1.341"/>
    <x v="0"/>
    <n v="0"/>
    <s v="Nein"/>
    <n v="0"/>
    <n v="1.49"/>
    <n v="0"/>
    <n v="0"/>
    <x v="0"/>
    <x v="5"/>
  </r>
  <r>
    <s v="F002"/>
    <x v="1"/>
    <s v="A015"/>
    <s v="Frischkäse 200g"/>
    <x v="2"/>
    <n v="1.49"/>
    <n v="7"/>
    <x v="6"/>
    <n v="202"/>
    <n v="197"/>
    <n v="-5"/>
    <n v="-2.4752475247524752"/>
    <x v="0"/>
    <n v="7.45"/>
    <n v="17"/>
    <n v="7"/>
    <n v="1.8625"/>
    <n v="2.2349999999999999"/>
    <x v="0"/>
    <n v="0"/>
    <s v="Nein"/>
    <n v="0"/>
    <n v="1.49"/>
    <n v="0"/>
    <n v="0"/>
    <x v="0"/>
    <x v="0"/>
  </r>
  <r>
    <s v="F002"/>
    <x v="1"/>
    <s v="A015"/>
    <s v="Frischkäse 200g"/>
    <x v="2"/>
    <n v="1.49"/>
    <n v="8"/>
    <x v="7"/>
    <n v="178"/>
    <n v="178"/>
    <n v="0"/>
    <n v="0"/>
    <x v="2"/>
    <n v="0"/>
    <n v="6"/>
    <n v="7"/>
    <n v="0"/>
    <n v="0"/>
    <x v="0"/>
    <n v="0"/>
    <s v="Nein"/>
    <n v="0"/>
    <n v="1.49"/>
    <n v="0"/>
    <n v="0"/>
    <x v="0"/>
    <x v="5"/>
  </r>
  <r>
    <s v="F002"/>
    <x v="1"/>
    <s v="A015"/>
    <s v="Frischkäse 200g"/>
    <x v="2"/>
    <n v="1.49"/>
    <n v="9"/>
    <x v="8"/>
    <n v="144"/>
    <n v="140"/>
    <n v="-4"/>
    <n v="-2.7777777777777777"/>
    <x v="0"/>
    <n v="5.96"/>
    <n v="2"/>
    <n v="3"/>
    <n v="1.49"/>
    <n v="1.788"/>
    <x v="0"/>
    <n v="0"/>
    <s v="Ja - 20% Reduzierung"/>
    <n v="20"/>
    <n v="1.19"/>
    <n v="10"/>
    <n v="2.98"/>
    <x v="1"/>
    <x v="0"/>
  </r>
  <r>
    <s v="F002"/>
    <x v="1"/>
    <s v="A015"/>
    <s v="Frischkäse 200g"/>
    <x v="2"/>
    <n v="1.49"/>
    <n v="10"/>
    <x v="9"/>
    <n v="168"/>
    <n v="170"/>
    <n v="2"/>
    <n v="1.1904761904761905"/>
    <x v="1"/>
    <n v="2.98"/>
    <n v="13"/>
    <n v="2"/>
    <n v="0"/>
    <n v="0"/>
    <x v="0"/>
    <n v="2"/>
    <s v="Nein"/>
    <n v="0"/>
    <n v="1.49"/>
    <n v="0"/>
    <n v="0"/>
    <x v="0"/>
    <x v="2"/>
  </r>
  <r>
    <s v="F002"/>
    <x v="1"/>
    <s v="A015"/>
    <s v="Frischkäse 200g"/>
    <x v="2"/>
    <n v="1.49"/>
    <n v="11"/>
    <x v="10"/>
    <n v="181"/>
    <n v="188"/>
    <n v="7"/>
    <n v="3.867403314917127"/>
    <x v="1"/>
    <n v="10.43"/>
    <n v="12"/>
    <n v="5"/>
    <n v="0"/>
    <n v="0"/>
    <x v="3"/>
    <n v="7"/>
    <s v="Nein"/>
    <n v="0"/>
    <n v="1.49"/>
    <n v="0"/>
    <n v="0"/>
    <x v="0"/>
    <x v="2"/>
  </r>
  <r>
    <s v="F002"/>
    <x v="1"/>
    <s v="A015"/>
    <s v="Frischkäse 200g"/>
    <x v="2"/>
    <n v="1.49"/>
    <n v="12"/>
    <x v="11"/>
    <n v="231"/>
    <n v="226"/>
    <n v="-5"/>
    <n v="-2.1645021645021645"/>
    <x v="0"/>
    <n v="7.45"/>
    <n v="1"/>
    <n v="0"/>
    <n v="1.8625"/>
    <n v="2.2349999999999999"/>
    <x v="4"/>
    <n v="0"/>
    <s v="Ja - 20% Reduzierung"/>
    <n v="20"/>
    <n v="1.19"/>
    <n v="14"/>
    <n v="4.17"/>
    <x v="1"/>
    <x v="1"/>
  </r>
  <r>
    <s v="F003"/>
    <x v="2"/>
    <s v="A001"/>
    <s v="Vollmilch 1L"/>
    <x v="0"/>
    <n v="1.19"/>
    <n v="1"/>
    <x v="0"/>
    <n v="397"/>
    <n v="378"/>
    <n v="-19"/>
    <n v="-4.7858942065491181"/>
    <x v="0"/>
    <n v="22.61"/>
    <n v="1"/>
    <n v="3"/>
    <n v="5.6524999999999999"/>
    <n v="6.7829999999999995"/>
    <x v="0"/>
    <n v="0"/>
    <s v="Ja - 20% Reduzierung"/>
    <n v="20"/>
    <n v="0.95"/>
    <n v="60"/>
    <n v="14.28"/>
    <x v="1"/>
    <x v="0"/>
  </r>
  <r>
    <s v="F003"/>
    <x v="2"/>
    <s v="A001"/>
    <s v="Vollmilch 1L"/>
    <x v="0"/>
    <n v="1.19"/>
    <n v="2"/>
    <x v="1"/>
    <n v="371"/>
    <n v="356"/>
    <n v="-15"/>
    <n v="-4.0431266846361185"/>
    <x v="0"/>
    <n v="17.849999999999998"/>
    <n v="3"/>
    <n v="3"/>
    <n v="4.4624999999999995"/>
    <n v="5.3549999999999995"/>
    <x v="1"/>
    <n v="0"/>
    <s v="Ja - 20% Reduzierung"/>
    <n v="20"/>
    <n v="0.95"/>
    <n v="19"/>
    <n v="4.5199999999999996"/>
    <x v="3"/>
    <x v="4"/>
  </r>
  <r>
    <s v="F003"/>
    <x v="2"/>
    <s v="A001"/>
    <s v="Vollmilch 1L"/>
    <x v="0"/>
    <n v="1.19"/>
    <n v="3"/>
    <x v="2"/>
    <n v="482"/>
    <n v="483"/>
    <n v="1"/>
    <n v="0.2074688796680498"/>
    <x v="1"/>
    <n v="1.19"/>
    <n v="6"/>
    <n v="2"/>
    <n v="0"/>
    <n v="0"/>
    <x v="0"/>
    <n v="1"/>
    <s v="Nein"/>
    <n v="0"/>
    <n v="1.19"/>
    <n v="0"/>
    <n v="0"/>
    <x v="0"/>
    <x v="2"/>
  </r>
  <r>
    <s v="F003"/>
    <x v="2"/>
    <s v="A001"/>
    <s v="Vollmilch 1L"/>
    <x v="0"/>
    <n v="1.19"/>
    <n v="4"/>
    <x v="3"/>
    <n v="557"/>
    <n v="529"/>
    <n v="-28"/>
    <n v="-5.0269299820466786"/>
    <x v="0"/>
    <n v="33.32"/>
    <n v="6"/>
    <n v="3"/>
    <n v="8.33"/>
    <n v="9.9960000000000004"/>
    <x v="2"/>
    <n v="0"/>
    <s v="Nein"/>
    <n v="0"/>
    <n v="1.19"/>
    <n v="0"/>
    <n v="0"/>
    <x v="0"/>
    <x v="0"/>
  </r>
  <r>
    <s v="F003"/>
    <x v="2"/>
    <s v="A001"/>
    <s v="Vollmilch 1L"/>
    <x v="0"/>
    <n v="1.19"/>
    <n v="5"/>
    <x v="4"/>
    <n v="437"/>
    <n v="418"/>
    <n v="-19"/>
    <n v="-4.3478260869565215"/>
    <x v="0"/>
    <n v="22.61"/>
    <n v="4"/>
    <n v="0"/>
    <n v="5.6524999999999999"/>
    <n v="6.7829999999999995"/>
    <x v="0"/>
    <n v="0"/>
    <s v="Nein"/>
    <n v="0"/>
    <n v="1.19"/>
    <n v="0"/>
    <n v="0"/>
    <x v="0"/>
    <x v="1"/>
  </r>
  <r>
    <s v="F003"/>
    <x v="2"/>
    <s v="A001"/>
    <s v="Vollmilch 1L"/>
    <x v="0"/>
    <n v="1.19"/>
    <n v="6"/>
    <x v="5"/>
    <n v="505"/>
    <n v="510"/>
    <n v="5"/>
    <n v="0.99009900990099009"/>
    <x v="1"/>
    <n v="5.9499999999999993"/>
    <n v="1"/>
    <n v="1"/>
    <n v="0"/>
    <n v="0"/>
    <x v="0"/>
    <n v="5"/>
    <s v="Ja - 20% Reduzierung"/>
    <n v="20"/>
    <n v="0.95"/>
    <n v="61"/>
    <n v="14.52"/>
    <x v="1"/>
    <x v="2"/>
  </r>
  <r>
    <s v="F003"/>
    <x v="2"/>
    <s v="A001"/>
    <s v="Vollmilch 1L"/>
    <x v="0"/>
    <n v="1.19"/>
    <n v="7"/>
    <x v="6"/>
    <n v="535"/>
    <n v="515"/>
    <n v="-20"/>
    <n v="-3.7383177570093453"/>
    <x v="0"/>
    <n v="23.799999999999997"/>
    <n v="7"/>
    <n v="0"/>
    <n v="5.9499999999999993"/>
    <n v="7.1399999999999988"/>
    <x v="0"/>
    <n v="0"/>
    <s v="Nein"/>
    <n v="0"/>
    <n v="1.19"/>
    <n v="0"/>
    <n v="0"/>
    <x v="0"/>
    <x v="1"/>
  </r>
  <r>
    <s v="F003"/>
    <x v="2"/>
    <s v="A001"/>
    <s v="Vollmilch 1L"/>
    <x v="0"/>
    <n v="1.19"/>
    <n v="8"/>
    <x v="7"/>
    <n v="507"/>
    <n v="476"/>
    <n v="-31"/>
    <n v="-6.1143984220907299"/>
    <x v="0"/>
    <n v="36.89"/>
    <n v="5"/>
    <n v="1"/>
    <n v="9.2225000000000001"/>
    <n v="11.067"/>
    <x v="0"/>
    <n v="0"/>
    <s v="Nein"/>
    <n v="0"/>
    <n v="1.19"/>
    <n v="0"/>
    <n v="0"/>
    <x v="0"/>
    <x v="1"/>
  </r>
  <r>
    <s v="F003"/>
    <x v="2"/>
    <s v="A001"/>
    <s v="Vollmilch 1L"/>
    <x v="0"/>
    <n v="1.19"/>
    <n v="9"/>
    <x v="8"/>
    <n v="428"/>
    <n v="405"/>
    <n v="-23"/>
    <n v="-5.3738317757009346"/>
    <x v="0"/>
    <n v="27.369999999999997"/>
    <n v="6"/>
    <n v="3"/>
    <n v="6.8424999999999994"/>
    <n v="8.2109999999999985"/>
    <x v="0"/>
    <n v="0"/>
    <s v="Nein"/>
    <n v="0"/>
    <n v="1.19"/>
    <n v="0"/>
    <n v="0"/>
    <x v="0"/>
    <x v="0"/>
  </r>
  <r>
    <s v="F003"/>
    <x v="2"/>
    <s v="A001"/>
    <s v="Vollmilch 1L"/>
    <x v="0"/>
    <n v="1.19"/>
    <n v="10"/>
    <x v="9"/>
    <n v="428"/>
    <n v="428"/>
    <n v="0"/>
    <n v="0"/>
    <x v="2"/>
    <n v="0"/>
    <n v="5"/>
    <n v="1"/>
    <n v="0"/>
    <n v="0"/>
    <x v="0"/>
    <n v="0"/>
    <s v="Nein"/>
    <n v="0"/>
    <n v="1.19"/>
    <n v="0"/>
    <n v="0"/>
    <x v="0"/>
    <x v="5"/>
  </r>
  <r>
    <s v="F003"/>
    <x v="2"/>
    <s v="A001"/>
    <s v="Vollmilch 1L"/>
    <x v="0"/>
    <n v="1.19"/>
    <n v="11"/>
    <x v="10"/>
    <n v="500"/>
    <n v="477"/>
    <n v="-23"/>
    <n v="-4.5999999999999996"/>
    <x v="0"/>
    <n v="27.369999999999997"/>
    <n v="4"/>
    <n v="1"/>
    <n v="6.8424999999999994"/>
    <n v="8.2109999999999985"/>
    <x v="3"/>
    <n v="0"/>
    <s v="Nein"/>
    <n v="0"/>
    <n v="1.19"/>
    <n v="0"/>
    <n v="0"/>
    <x v="0"/>
    <x v="1"/>
  </r>
  <r>
    <s v="F003"/>
    <x v="2"/>
    <s v="A001"/>
    <s v="Vollmilch 1L"/>
    <x v="0"/>
    <n v="1.19"/>
    <n v="12"/>
    <x v="11"/>
    <n v="636"/>
    <n v="588"/>
    <n v="-48"/>
    <n v="-7.5471698113207548"/>
    <x v="0"/>
    <n v="57.12"/>
    <n v="7"/>
    <n v="2"/>
    <n v="14.28"/>
    <n v="17.135999999999999"/>
    <x v="4"/>
    <n v="0"/>
    <s v="Nein"/>
    <n v="0"/>
    <n v="1.19"/>
    <n v="0"/>
    <n v="0"/>
    <x v="0"/>
    <x v="0"/>
  </r>
  <r>
    <s v="F003"/>
    <x v="2"/>
    <s v="A002"/>
    <s v="Fettarme Milch 1L"/>
    <x v="0"/>
    <n v="1.0900000000000001"/>
    <n v="1"/>
    <x v="0"/>
    <n v="379"/>
    <n v="379"/>
    <n v="0"/>
    <n v="0"/>
    <x v="2"/>
    <n v="0"/>
    <n v="3"/>
    <n v="0"/>
    <n v="0"/>
    <n v="0"/>
    <x v="0"/>
    <n v="0"/>
    <s v="Ja - 20% Reduzierung"/>
    <n v="20"/>
    <n v="0.87"/>
    <n v="53"/>
    <n v="11.55"/>
    <x v="1"/>
    <x v="5"/>
  </r>
  <r>
    <s v="F003"/>
    <x v="2"/>
    <s v="A002"/>
    <s v="Fettarme Milch 1L"/>
    <x v="0"/>
    <n v="1.0900000000000001"/>
    <n v="2"/>
    <x v="1"/>
    <n v="344"/>
    <n v="345"/>
    <n v="1"/>
    <n v="0.29069767441860467"/>
    <x v="1"/>
    <n v="1.0900000000000001"/>
    <n v="4"/>
    <n v="1"/>
    <n v="0"/>
    <n v="0"/>
    <x v="1"/>
    <n v="1"/>
    <s v="Nein"/>
    <n v="0"/>
    <n v="1.0900000000000001"/>
    <n v="0"/>
    <n v="0"/>
    <x v="0"/>
    <x v="2"/>
  </r>
  <r>
    <s v="F003"/>
    <x v="2"/>
    <s v="A002"/>
    <s v="Fettarme Milch 1L"/>
    <x v="0"/>
    <n v="1.0900000000000001"/>
    <n v="3"/>
    <x v="2"/>
    <n v="442"/>
    <n v="424"/>
    <n v="-18"/>
    <n v="-4.0723981900452486"/>
    <x v="0"/>
    <n v="19.62"/>
    <n v="1"/>
    <n v="1"/>
    <n v="4.9050000000000002"/>
    <n v="5.8860000000000001"/>
    <x v="0"/>
    <n v="0"/>
    <s v="Ja - 20% Reduzierung"/>
    <n v="20"/>
    <n v="0.87"/>
    <n v="44"/>
    <n v="9.59"/>
    <x v="1"/>
    <x v="1"/>
  </r>
  <r>
    <s v="F003"/>
    <x v="2"/>
    <s v="A002"/>
    <s v="Fettarme Milch 1L"/>
    <x v="0"/>
    <n v="1.0900000000000001"/>
    <n v="4"/>
    <x v="3"/>
    <n v="527"/>
    <n v="493"/>
    <n v="-34"/>
    <n v="-6.4516129032258061"/>
    <x v="0"/>
    <n v="37.06"/>
    <n v="2"/>
    <n v="2"/>
    <n v="9.2650000000000006"/>
    <n v="11.118"/>
    <x v="2"/>
    <n v="0"/>
    <s v="Ja - 20% Reduzierung"/>
    <n v="20"/>
    <n v="0.87"/>
    <n v="47"/>
    <n v="10.25"/>
    <x v="3"/>
    <x v="4"/>
  </r>
  <r>
    <s v="F003"/>
    <x v="2"/>
    <s v="A002"/>
    <s v="Fettarme Milch 1L"/>
    <x v="0"/>
    <n v="1.0900000000000001"/>
    <n v="5"/>
    <x v="4"/>
    <n v="389"/>
    <n v="376"/>
    <n v="-13"/>
    <n v="-3.3419023136246784"/>
    <x v="0"/>
    <n v="14.170000000000002"/>
    <n v="6"/>
    <n v="0"/>
    <n v="3.5425000000000004"/>
    <n v="4.2510000000000003"/>
    <x v="0"/>
    <n v="0"/>
    <s v="Nein"/>
    <n v="0"/>
    <n v="1.0900000000000001"/>
    <n v="0"/>
    <n v="0"/>
    <x v="0"/>
    <x v="1"/>
  </r>
  <r>
    <s v="F003"/>
    <x v="2"/>
    <s v="A002"/>
    <s v="Fettarme Milch 1L"/>
    <x v="0"/>
    <n v="1.0900000000000001"/>
    <n v="6"/>
    <x v="5"/>
    <n v="437"/>
    <n v="437"/>
    <n v="0"/>
    <n v="0"/>
    <x v="2"/>
    <n v="0"/>
    <n v="6"/>
    <n v="0"/>
    <n v="0"/>
    <n v="0"/>
    <x v="0"/>
    <n v="0"/>
    <s v="Nein"/>
    <n v="0"/>
    <n v="1.0900000000000001"/>
    <n v="0"/>
    <n v="0"/>
    <x v="0"/>
    <x v="5"/>
  </r>
  <r>
    <s v="F003"/>
    <x v="2"/>
    <s v="A002"/>
    <s v="Fettarme Milch 1L"/>
    <x v="0"/>
    <n v="1.0900000000000001"/>
    <n v="7"/>
    <x v="6"/>
    <n v="462"/>
    <n v="470"/>
    <n v="8"/>
    <n v="1.7316017316017316"/>
    <x v="1"/>
    <n v="8.7200000000000006"/>
    <n v="5"/>
    <n v="3"/>
    <n v="0"/>
    <n v="0"/>
    <x v="0"/>
    <n v="8"/>
    <s v="Nein"/>
    <n v="0"/>
    <n v="1.0900000000000001"/>
    <n v="0"/>
    <n v="0"/>
    <x v="0"/>
    <x v="2"/>
  </r>
  <r>
    <s v="F003"/>
    <x v="2"/>
    <s v="A002"/>
    <s v="Fettarme Milch 1L"/>
    <x v="0"/>
    <n v="1.0900000000000001"/>
    <n v="8"/>
    <x v="7"/>
    <n v="470"/>
    <n v="447"/>
    <n v="-23"/>
    <n v="-4.8936170212765955"/>
    <x v="0"/>
    <n v="25.07"/>
    <n v="3"/>
    <n v="3"/>
    <n v="6.2675000000000001"/>
    <n v="7.5209999999999999"/>
    <x v="0"/>
    <n v="0"/>
    <s v="Ja - 20% Reduzierung"/>
    <n v="20"/>
    <n v="0.87"/>
    <n v="28"/>
    <n v="6.1"/>
    <x v="1"/>
    <x v="0"/>
  </r>
  <r>
    <s v="F003"/>
    <x v="2"/>
    <s v="A002"/>
    <s v="Fettarme Milch 1L"/>
    <x v="0"/>
    <n v="1.0900000000000001"/>
    <n v="9"/>
    <x v="8"/>
    <n v="381"/>
    <n v="363"/>
    <n v="-18"/>
    <n v="-4.7244094488188972"/>
    <x v="0"/>
    <n v="19.62"/>
    <n v="7"/>
    <n v="3"/>
    <n v="4.9050000000000002"/>
    <n v="5.8860000000000001"/>
    <x v="0"/>
    <n v="0"/>
    <s v="Nein"/>
    <n v="0"/>
    <n v="1.0900000000000001"/>
    <n v="0"/>
    <n v="0"/>
    <x v="0"/>
    <x v="0"/>
  </r>
  <r>
    <s v="F003"/>
    <x v="2"/>
    <s v="A002"/>
    <s v="Fettarme Milch 1L"/>
    <x v="0"/>
    <n v="1.0900000000000001"/>
    <n v="10"/>
    <x v="9"/>
    <n v="425"/>
    <n v="410"/>
    <n v="-15"/>
    <n v="-3.5294117647058822"/>
    <x v="0"/>
    <n v="16.350000000000001"/>
    <n v="5"/>
    <n v="1"/>
    <n v="4.0875000000000004"/>
    <n v="4.9050000000000002"/>
    <x v="0"/>
    <n v="0"/>
    <s v="Nein"/>
    <n v="0"/>
    <n v="1.0900000000000001"/>
    <n v="0"/>
    <n v="0"/>
    <x v="0"/>
    <x v="1"/>
  </r>
  <r>
    <s v="F003"/>
    <x v="2"/>
    <s v="A002"/>
    <s v="Fettarme Milch 1L"/>
    <x v="0"/>
    <n v="1.0900000000000001"/>
    <n v="11"/>
    <x v="10"/>
    <n v="432"/>
    <n v="418"/>
    <n v="-14"/>
    <n v="-3.2407407407407405"/>
    <x v="0"/>
    <n v="15.260000000000002"/>
    <n v="4"/>
    <n v="0"/>
    <n v="3.8150000000000004"/>
    <n v="4.5780000000000003"/>
    <x v="3"/>
    <n v="0"/>
    <s v="Nein"/>
    <n v="0"/>
    <n v="1.0900000000000001"/>
    <n v="0"/>
    <n v="0"/>
    <x v="0"/>
    <x v="1"/>
  </r>
  <r>
    <s v="F003"/>
    <x v="2"/>
    <s v="A002"/>
    <s v="Fettarme Milch 1L"/>
    <x v="0"/>
    <n v="1.0900000000000001"/>
    <n v="12"/>
    <x v="11"/>
    <n v="573"/>
    <n v="544"/>
    <n v="-29"/>
    <n v="-5.0610820244328103"/>
    <x v="0"/>
    <n v="31.610000000000003"/>
    <n v="6"/>
    <n v="2"/>
    <n v="7.9025000000000007"/>
    <n v="9.4830000000000005"/>
    <x v="4"/>
    <n v="0"/>
    <s v="Nein"/>
    <n v="0"/>
    <n v="1.0900000000000001"/>
    <n v="0"/>
    <n v="0"/>
    <x v="0"/>
    <x v="0"/>
  </r>
  <r>
    <s v="F003"/>
    <x v="2"/>
    <s v="A003"/>
    <s v="Bio-Milch 1L"/>
    <x v="0"/>
    <n v="1.59"/>
    <n v="1"/>
    <x v="0"/>
    <n v="156"/>
    <n v="152"/>
    <n v="-4"/>
    <n v="-2.5641025641025639"/>
    <x v="0"/>
    <n v="6.36"/>
    <n v="1"/>
    <n v="0"/>
    <n v="1.59"/>
    <n v="1.9079999999999999"/>
    <x v="0"/>
    <n v="0"/>
    <s v="Ja - 20% Reduzierung"/>
    <n v="20"/>
    <n v="1.27"/>
    <n v="20"/>
    <n v="6.36"/>
    <x v="2"/>
    <x v="4"/>
  </r>
  <r>
    <s v="F003"/>
    <x v="2"/>
    <s v="A003"/>
    <s v="Bio-Milch 1L"/>
    <x v="0"/>
    <n v="1.59"/>
    <n v="2"/>
    <x v="1"/>
    <n v="145"/>
    <n v="150"/>
    <n v="5"/>
    <n v="3.4482758620689653"/>
    <x v="1"/>
    <n v="7.95"/>
    <n v="5"/>
    <n v="3"/>
    <n v="0"/>
    <n v="0"/>
    <x v="1"/>
    <n v="5"/>
    <s v="Nein"/>
    <n v="0"/>
    <n v="1.59"/>
    <n v="0"/>
    <n v="0"/>
    <x v="0"/>
    <x v="2"/>
  </r>
  <r>
    <s v="F003"/>
    <x v="2"/>
    <s v="A003"/>
    <s v="Bio-Milch 1L"/>
    <x v="0"/>
    <n v="1.59"/>
    <n v="3"/>
    <x v="2"/>
    <n v="198"/>
    <n v="189"/>
    <n v="-9"/>
    <n v="-4.5454545454545459"/>
    <x v="0"/>
    <n v="14.31"/>
    <n v="5"/>
    <n v="0"/>
    <n v="3.5775000000000001"/>
    <n v="4.2930000000000001"/>
    <x v="0"/>
    <n v="0"/>
    <s v="Nein"/>
    <n v="0"/>
    <n v="1.59"/>
    <n v="0"/>
    <n v="0"/>
    <x v="0"/>
    <x v="1"/>
  </r>
  <r>
    <s v="F003"/>
    <x v="2"/>
    <s v="A003"/>
    <s v="Bio-Milch 1L"/>
    <x v="0"/>
    <n v="1.59"/>
    <n v="4"/>
    <x v="3"/>
    <n v="230"/>
    <n v="221"/>
    <n v="-9"/>
    <n v="-3.9130434782608701"/>
    <x v="0"/>
    <n v="14.31"/>
    <n v="7"/>
    <n v="3"/>
    <n v="3.5775000000000001"/>
    <n v="4.2930000000000001"/>
    <x v="2"/>
    <n v="0"/>
    <s v="Nein"/>
    <n v="0"/>
    <n v="1.59"/>
    <n v="0"/>
    <n v="0"/>
    <x v="0"/>
    <x v="0"/>
  </r>
  <r>
    <s v="F003"/>
    <x v="2"/>
    <s v="A003"/>
    <s v="Bio-Milch 1L"/>
    <x v="0"/>
    <n v="1.59"/>
    <n v="5"/>
    <x v="4"/>
    <n v="178"/>
    <n v="169"/>
    <n v="-9"/>
    <n v="-5.0561797752808983"/>
    <x v="0"/>
    <n v="14.31"/>
    <n v="1"/>
    <n v="1"/>
    <n v="3.5775000000000001"/>
    <n v="4.2930000000000001"/>
    <x v="0"/>
    <n v="0"/>
    <s v="Ja - 20% Reduzierung"/>
    <n v="20"/>
    <n v="1.27"/>
    <n v="25"/>
    <n v="7.95"/>
    <x v="1"/>
    <x v="1"/>
  </r>
  <r>
    <s v="F003"/>
    <x v="2"/>
    <s v="A003"/>
    <s v="Bio-Milch 1L"/>
    <x v="0"/>
    <n v="1.59"/>
    <n v="6"/>
    <x v="5"/>
    <n v="192"/>
    <n v="197"/>
    <n v="5"/>
    <n v="2.604166666666667"/>
    <x v="1"/>
    <n v="7.95"/>
    <n v="5"/>
    <n v="3"/>
    <n v="0"/>
    <n v="0"/>
    <x v="0"/>
    <n v="5"/>
    <s v="Nein"/>
    <n v="0"/>
    <n v="1.59"/>
    <n v="0"/>
    <n v="0"/>
    <x v="0"/>
    <x v="2"/>
  </r>
  <r>
    <s v="F003"/>
    <x v="2"/>
    <s v="A003"/>
    <s v="Bio-Milch 1L"/>
    <x v="0"/>
    <n v="1.59"/>
    <n v="7"/>
    <x v="6"/>
    <n v="220"/>
    <n v="211"/>
    <n v="-9"/>
    <n v="-4.0909090909090908"/>
    <x v="0"/>
    <n v="14.31"/>
    <n v="4"/>
    <n v="0"/>
    <n v="3.5775000000000001"/>
    <n v="4.2930000000000001"/>
    <x v="0"/>
    <n v="0"/>
    <s v="Nein"/>
    <n v="0"/>
    <n v="1.59"/>
    <n v="0"/>
    <n v="0"/>
    <x v="0"/>
    <x v="1"/>
  </r>
  <r>
    <s v="F003"/>
    <x v="2"/>
    <s v="A003"/>
    <s v="Bio-Milch 1L"/>
    <x v="0"/>
    <n v="1.59"/>
    <n v="8"/>
    <x v="7"/>
    <n v="213"/>
    <n v="221"/>
    <n v="8"/>
    <n v="3.755868544600939"/>
    <x v="1"/>
    <n v="12.72"/>
    <n v="3"/>
    <n v="2"/>
    <n v="0"/>
    <n v="0"/>
    <x v="0"/>
    <n v="8"/>
    <s v="Ja - 20% Reduzierung"/>
    <n v="20"/>
    <n v="1.27"/>
    <n v="17"/>
    <n v="5.41"/>
    <x v="1"/>
    <x v="2"/>
  </r>
  <r>
    <s v="F003"/>
    <x v="2"/>
    <s v="A003"/>
    <s v="Bio-Milch 1L"/>
    <x v="0"/>
    <n v="1.59"/>
    <n v="9"/>
    <x v="8"/>
    <n v="169"/>
    <n v="177"/>
    <n v="8"/>
    <n v="4.7337278106508878"/>
    <x v="1"/>
    <n v="12.72"/>
    <n v="5"/>
    <n v="0"/>
    <n v="0"/>
    <n v="0"/>
    <x v="0"/>
    <n v="8"/>
    <s v="Nein"/>
    <n v="0"/>
    <n v="1.59"/>
    <n v="0"/>
    <n v="0"/>
    <x v="0"/>
    <x v="2"/>
  </r>
  <r>
    <s v="F003"/>
    <x v="2"/>
    <s v="A003"/>
    <s v="Bio-Milch 1L"/>
    <x v="0"/>
    <n v="1.59"/>
    <n v="10"/>
    <x v="9"/>
    <n v="182"/>
    <n v="177"/>
    <n v="-5"/>
    <n v="-2.7472527472527473"/>
    <x v="0"/>
    <n v="7.95"/>
    <n v="2"/>
    <n v="2"/>
    <n v="1.9875"/>
    <n v="2.3849999999999998"/>
    <x v="0"/>
    <n v="0"/>
    <s v="Ja - 20% Reduzierung"/>
    <n v="20"/>
    <n v="1.27"/>
    <n v="20"/>
    <n v="6.36"/>
    <x v="1"/>
    <x v="0"/>
  </r>
  <r>
    <s v="F003"/>
    <x v="2"/>
    <s v="A003"/>
    <s v="Bio-Milch 1L"/>
    <x v="0"/>
    <n v="1.59"/>
    <n v="11"/>
    <x v="10"/>
    <n v="204"/>
    <n v="193"/>
    <n v="-11"/>
    <n v="-5.3921568627450984"/>
    <x v="0"/>
    <n v="17.490000000000002"/>
    <n v="5"/>
    <n v="1"/>
    <n v="4.3725000000000005"/>
    <n v="5.2470000000000008"/>
    <x v="3"/>
    <n v="0"/>
    <s v="Nein"/>
    <n v="0"/>
    <n v="1.59"/>
    <n v="0"/>
    <n v="0"/>
    <x v="0"/>
    <x v="1"/>
  </r>
  <r>
    <s v="F003"/>
    <x v="2"/>
    <s v="A003"/>
    <s v="Bio-Milch 1L"/>
    <x v="0"/>
    <n v="1.59"/>
    <n v="12"/>
    <x v="11"/>
    <n v="244"/>
    <n v="244"/>
    <n v="0"/>
    <n v="0"/>
    <x v="2"/>
    <n v="0"/>
    <n v="3"/>
    <n v="0"/>
    <n v="0"/>
    <n v="0"/>
    <x v="4"/>
    <n v="0"/>
    <s v="Ja - 20% Reduzierung"/>
    <n v="20"/>
    <n v="1.27"/>
    <n v="34"/>
    <n v="10.81"/>
    <x v="1"/>
    <x v="5"/>
  </r>
  <r>
    <s v="F003"/>
    <x v="2"/>
    <s v="A004"/>
    <s v="Butter 250g"/>
    <x v="1"/>
    <n v="2.29"/>
    <n v="1"/>
    <x v="0"/>
    <n v="327"/>
    <n v="333"/>
    <n v="6"/>
    <n v="1.834862385321101"/>
    <x v="1"/>
    <n v="13.74"/>
    <n v="19"/>
    <n v="2"/>
    <n v="0"/>
    <n v="0"/>
    <x v="0"/>
    <n v="6"/>
    <s v="Nein"/>
    <n v="0"/>
    <n v="2.29"/>
    <n v="0"/>
    <n v="0"/>
    <x v="0"/>
    <x v="2"/>
  </r>
  <r>
    <s v="F003"/>
    <x v="2"/>
    <s v="A004"/>
    <s v="Butter 250g"/>
    <x v="1"/>
    <n v="2.29"/>
    <n v="2"/>
    <x v="1"/>
    <n v="294"/>
    <n v="291"/>
    <n v="-3"/>
    <n v="-1.0204081632653061"/>
    <x v="0"/>
    <n v="6.87"/>
    <n v="24"/>
    <n v="8"/>
    <n v="1.7175"/>
    <n v="2.0609999999999999"/>
    <x v="1"/>
    <n v="0"/>
    <s v="Nein"/>
    <n v="0"/>
    <n v="2.29"/>
    <n v="0"/>
    <n v="0"/>
    <x v="0"/>
    <x v="5"/>
  </r>
  <r>
    <s v="F003"/>
    <x v="2"/>
    <s v="A004"/>
    <s v="Butter 250g"/>
    <x v="1"/>
    <n v="2.29"/>
    <n v="3"/>
    <x v="2"/>
    <n v="359"/>
    <n v="355"/>
    <n v="-4"/>
    <n v="-1.1142061281337048"/>
    <x v="0"/>
    <n v="9.16"/>
    <n v="18"/>
    <n v="0"/>
    <n v="2.29"/>
    <n v="2.7479999999999998"/>
    <x v="0"/>
    <n v="0"/>
    <s v="Nein"/>
    <n v="0"/>
    <n v="2.29"/>
    <n v="0"/>
    <n v="0"/>
    <x v="0"/>
    <x v="5"/>
  </r>
  <r>
    <s v="F003"/>
    <x v="2"/>
    <s v="A004"/>
    <s v="Butter 250g"/>
    <x v="1"/>
    <n v="2.29"/>
    <n v="4"/>
    <x v="3"/>
    <n v="437"/>
    <n v="432"/>
    <n v="-5"/>
    <n v="-1.1441647597254003"/>
    <x v="0"/>
    <n v="11.45"/>
    <n v="16"/>
    <n v="0"/>
    <n v="2.8624999999999998"/>
    <n v="3.4349999999999996"/>
    <x v="2"/>
    <n v="0"/>
    <s v="Nein"/>
    <n v="0"/>
    <n v="2.29"/>
    <n v="0"/>
    <n v="0"/>
    <x v="0"/>
    <x v="5"/>
  </r>
  <r>
    <s v="F003"/>
    <x v="2"/>
    <s v="A004"/>
    <s v="Butter 250g"/>
    <x v="1"/>
    <n v="2.29"/>
    <n v="5"/>
    <x v="4"/>
    <n v="367"/>
    <n v="363"/>
    <n v="-4"/>
    <n v="-1.0899182561307901"/>
    <x v="0"/>
    <n v="9.16"/>
    <n v="27"/>
    <n v="0"/>
    <n v="2.29"/>
    <n v="2.7479999999999998"/>
    <x v="0"/>
    <n v="0"/>
    <s v="Nein"/>
    <n v="0"/>
    <n v="2.29"/>
    <n v="0"/>
    <n v="0"/>
    <x v="0"/>
    <x v="5"/>
  </r>
  <r>
    <s v="F003"/>
    <x v="2"/>
    <s v="A004"/>
    <s v="Butter 250g"/>
    <x v="1"/>
    <n v="2.29"/>
    <n v="6"/>
    <x v="5"/>
    <n v="388"/>
    <n v="380"/>
    <n v="-8"/>
    <n v="-2.0618556701030926"/>
    <x v="0"/>
    <n v="18.32"/>
    <n v="2"/>
    <n v="8"/>
    <n v="4.58"/>
    <n v="5.4959999999999996"/>
    <x v="0"/>
    <n v="0"/>
    <s v="Ja - 20% Reduzierung"/>
    <n v="20"/>
    <n v="1.83"/>
    <n v="58"/>
    <n v="26.56"/>
    <x v="1"/>
    <x v="0"/>
  </r>
  <r>
    <s v="F003"/>
    <x v="2"/>
    <s v="A004"/>
    <s v="Butter 250g"/>
    <x v="1"/>
    <n v="2.29"/>
    <n v="7"/>
    <x v="6"/>
    <n v="410"/>
    <n v="402"/>
    <n v="-8"/>
    <n v="-1.9512195121951219"/>
    <x v="0"/>
    <n v="18.32"/>
    <n v="14"/>
    <n v="2"/>
    <n v="4.58"/>
    <n v="5.4959999999999996"/>
    <x v="0"/>
    <n v="0"/>
    <s v="Nein"/>
    <n v="0"/>
    <n v="2.29"/>
    <n v="0"/>
    <n v="0"/>
    <x v="0"/>
    <x v="5"/>
  </r>
  <r>
    <s v="F003"/>
    <x v="2"/>
    <s v="A004"/>
    <s v="Butter 250g"/>
    <x v="1"/>
    <n v="2.29"/>
    <n v="8"/>
    <x v="7"/>
    <n v="418"/>
    <n v="418"/>
    <n v="0"/>
    <n v="0"/>
    <x v="2"/>
    <n v="0"/>
    <n v="16"/>
    <n v="6"/>
    <n v="0"/>
    <n v="0"/>
    <x v="0"/>
    <n v="0"/>
    <s v="Nein"/>
    <n v="0"/>
    <n v="2.29"/>
    <n v="0"/>
    <n v="0"/>
    <x v="0"/>
    <x v="5"/>
  </r>
  <r>
    <s v="F003"/>
    <x v="2"/>
    <s v="A004"/>
    <s v="Butter 250g"/>
    <x v="1"/>
    <n v="2.29"/>
    <n v="9"/>
    <x v="8"/>
    <n v="339"/>
    <n v="334"/>
    <n v="-5"/>
    <n v="-1.4749262536873156"/>
    <x v="0"/>
    <n v="11.45"/>
    <n v="8"/>
    <n v="9"/>
    <n v="2.8624999999999998"/>
    <n v="3.4349999999999996"/>
    <x v="0"/>
    <n v="0"/>
    <s v="Nein"/>
    <n v="0"/>
    <n v="2.29"/>
    <n v="0"/>
    <n v="0"/>
    <x v="0"/>
    <x v="5"/>
  </r>
  <r>
    <s v="F003"/>
    <x v="2"/>
    <s v="A004"/>
    <s v="Butter 250g"/>
    <x v="1"/>
    <n v="2.29"/>
    <n v="10"/>
    <x v="9"/>
    <n v="367"/>
    <n v="361"/>
    <n v="-6"/>
    <n v="-1.6348773841961852"/>
    <x v="0"/>
    <n v="13.74"/>
    <n v="25"/>
    <n v="0"/>
    <n v="3.4350000000000001"/>
    <n v="4.1219999999999999"/>
    <x v="0"/>
    <n v="0"/>
    <s v="Nein"/>
    <n v="0"/>
    <n v="2.29"/>
    <n v="0"/>
    <n v="0"/>
    <x v="0"/>
    <x v="5"/>
  </r>
  <r>
    <s v="F003"/>
    <x v="2"/>
    <s v="A004"/>
    <s v="Butter 250g"/>
    <x v="1"/>
    <n v="2.29"/>
    <n v="11"/>
    <x v="10"/>
    <n v="392"/>
    <n v="384"/>
    <n v="-8"/>
    <n v="-2.0408163265306123"/>
    <x v="0"/>
    <n v="18.32"/>
    <n v="28"/>
    <n v="0"/>
    <n v="4.58"/>
    <n v="5.4959999999999996"/>
    <x v="3"/>
    <n v="0"/>
    <s v="Nein"/>
    <n v="0"/>
    <n v="2.29"/>
    <n v="0"/>
    <n v="0"/>
    <x v="0"/>
    <x v="1"/>
  </r>
  <r>
    <s v="F003"/>
    <x v="2"/>
    <s v="A004"/>
    <s v="Butter 250g"/>
    <x v="1"/>
    <n v="2.29"/>
    <n v="12"/>
    <x v="11"/>
    <n v="504"/>
    <n v="494"/>
    <n v="-10"/>
    <n v="-1.984126984126984"/>
    <x v="0"/>
    <n v="22.9"/>
    <n v="27"/>
    <n v="8"/>
    <n v="5.7249999999999996"/>
    <n v="6.8699999999999992"/>
    <x v="4"/>
    <n v="0"/>
    <s v="Nein"/>
    <n v="0"/>
    <n v="2.29"/>
    <n v="0"/>
    <n v="0"/>
    <x v="0"/>
    <x v="5"/>
  </r>
  <r>
    <s v="F003"/>
    <x v="2"/>
    <s v="A005"/>
    <s v="Gouda 200g"/>
    <x v="2"/>
    <n v="1.99"/>
    <n v="1"/>
    <x v="0"/>
    <n v="245"/>
    <n v="245"/>
    <n v="0"/>
    <n v="0"/>
    <x v="2"/>
    <n v="0"/>
    <n v="6"/>
    <n v="5"/>
    <n v="0"/>
    <n v="0"/>
    <x v="0"/>
    <n v="0"/>
    <s v="Nein"/>
    <n v="0"/>
    <n v="1.99"/>
    <n v="0"/>
    <n v="0"/>
    <x v="0"/>
    <x v="5"/>
  </r>
  <r>
    <s v="F003"/>
    <x v="2"/>
    <s v="A005"/>
    <s v="Gouda 200g"/>
    <x v="2"/>
    <n v="1.99"/>
    <n v="2"/>
    <x v="1"/>
    <n v="239"/>
    <n v="234"/>
    <n v="-5"/>
    <n v="-2.0920502092050208"/>
    <x v="0"/>
    <n v="9.9499999999999993"/>
    <n v="1"/>
    <n v="5"/>
    <n v="2.4874999999999998"/>
    <n v="2.9849999999999999"/>
    <x v="1"/>
    <n v="0"/>
    <s v="Ja - 20% Reduzierung"/>
    <n v="20"/>
    <n v="1.59"/>
    <n v="22"/>
    <n v="8.76"/>
    <x v="1"/>
    <x v="0"/>
  </r>
  <r>
    <s v="F003"/>
    <x v="2"/>
    <s v="A005"/>
    <s v="Gouda 200g"/>
    <x v="2"/>
    <n v="1.99"/>
    <n v="3"/>
    <x v="2"/>
    <n v="272"/>
    <n v="268"/>
    <n v="-4"/>
    <n v="-1.4705882352941175"/>
    <x v="0"/>
    <n v="7.96"/>
    <n v="15"/>
    <n v="7"/>
    <n v="1.99"/>
    <n v="2.3879999999999999"/>
    <x v="0"/>
    <n v="0"/>
    <s v="Nein"/>
    <n v="0"/>
    <n v="1.99"/>
    <n v="0"/>
    <n v="0"/>
    <x v="0"/>
    <x v="5"/>
  </r>
  <r>
    <s v="F003"/>
    <x v="2"/>
    <s v="A005"/>
    <s v="Gouda 200g"/>
    <x v="2"/>
    <n v="1.99"/>
    <n v="4"/>
    <x v="3"/>
    <n v="354"/>
    <n v="349"/>
    <n v="-5"/>
    <n v="-1.4124293785310735"/>
    <x v="0"/>
    <n v="9.9499999999999993"/>
    <n v="10"/>
    <n v="5"/>
    <n v="2.4874999999999998"/>
    <n v="2.9849999999999999"/>
    <x v="2"/>
    <n v="0"/>
    <s v="Nein"/>
    <n v="0"/>
    <n v="1.99"/>
    <n v="0"/>
    <n v="0"/>
    <x v="0"/>
    <x v="5"/>
  </r>
  <r>
    <s v="F003"/>
    <x v="2"/>
    <s v="A005"/>
    <s v="Gouda 200g"/>
    <x v="2"/>
    <n v="1.99"/>
    <n v="5"/>
    <x v="4"/>
    <n v="284"/>
    <n v="276"/>
    <n v="-8"/>
    <n v="-2.8169014084507045"/>
    <x v="0"/>
    <n v="15.92"/>
    <n v="9"/>
    <n v="7"/>
    <n v="3.98"/>
    <n v="4.7759999999999998"/>
    <x v="0"/>
    <n v="0"/>
    <s v="Nein"/>
    <n v="0"/>
    <n v="1.99"/>
    <n v="0"/>
    <n v="0"/>
    <x v="0"/>
    <x v="0"/>
  </r>
  <r>
    <s v="F003"/>
    <x v="2"/>
    <s v="A005"/>
    <s v="Gouda 200g"/>
    <x v="2"/>
    <n v="1.99"/>
    <n v="6"/>
    <x v="5"/>
    <n v="288"/>
    <n v="290"/>
    <n v="2"/>
    <n v="0.69444444444444442"/>
    <x v="1"/>
    <n v="3.98"/>
    <n v="13"/>
    <n v="3"/>
    <n v="0"/>
    <n v="0"/>
    <x v="0"/>
    <n v="2"/>
    <s v="Nein"/>
    <n v="0"/>
    <n v="1.99"/>
    <n v="0"/>
    <n v="0"/>
    <x v="0"/>
    <x v="2"/>
  </r>
  <r>
    <s v="F003"/>
    <x v="2"/>
    <s v="A005"/>
    <s v="Gouda 200g"/>
    <x v="2"/>
    <n v="1.99"/>
    <n v="7"/>
    <x v="6"/>
    <n v="318"/>
    <n v="326"/>
    <n v="8"/>
    <n v="2.5157232704402519"/>
    <x v="1"/>
    <n v="15.92"/>
    <n v="5"/>
    <n v="6"/>
    <n v="0"/>
    <n v="0"/>
    <x v="0"/>
    <n v="8"/>
    <s v="Nein"/>
    <n v="0"/>
    <n v="1.99"/>
    <n v="0"/>
    <n v="0"/>
    <x v="0"/>
    <x v="2"/>
  </r>
  <r>
    <s v="F003"/>
    <x v="2"/>
    <s v="A005"/>
    <s v="Gouda 200g"/>
    <x v="2"/>
    <n v="1.99"/>
    <n v="8"/>
    <x v="7"/>
    <n v="323"/>
    <n v="315"/>
    <n v="-8"/>
    <n v="-2.4767801857585141"/>
    <x v="0"/>
    <n v="15.92"/>
    <n v="19"/>
    <n v="3"/>
    <n v="3.98"/>
    <n v="4.7759999999999998"/>
    <x v="0"/>
    <n v="0"/>
    <s v="Nein"/>
    <n v="0"/>
    <n v="1.99"/>
    <n v="0"/>
    <n v="0"/>
    <x v="0"/>
    <x v="0"/>
  </r>
  <r>
    <s v="F003"/>
    <x v="2"/>
    <s v="A005"/>
    <s v="Gouda 200g"/>
    <x v="2"/>
    <n v="1.99"/>
    <n v="9"/>
    <x v="8"/>
    <n v="246"/>
    <n v="239"/>
    <n v="-7"/>
    <n v="-2.8455284552845526"/>
    <x v="0"/>
    <n v="13.93"/>
    <n v="9"/>
    <n v="5"/>
    <n v="3.4824999999999999"/>
    <n v="4.1789999999999994"/>
    <x v="0"/>
    <n v="0"/>
    <s v="Nein"/>
    <n v="0"/>
    <n v="1.99"/>
    <n v="0"/>
    <n v="0"/>
    <x v="0"/>
    <x v="0"/>
  </r>
  <r>
    <s v="F003"/>
    <x v="2"/>
    <s v="A005"/>
    <s v="Gouda 200g"/>
    <x v="2"/>
    <n v="1.99"/>
    <n v="10"/>
    <x v="9"/>
    <n v="273"/>
    <n v="266"/>
    <n v="-7"/>
    <n v="-2.5641025641025639"/>
    <x v="0"/>
    <n v="13.93"/>
    <n v="8"/>
    <n v="0"/>
    <n v="3.4824999999999999"/>
    <n v="4.1789999999999994"/>
    <x v="0"/>
    <n v="0"/>
    <s v="Nein"/>
    <n v="0"/>
    <n v="1.99"/>
    <n v="0"/>
    <n v="0"/>
    <x v="0"/>
    <x v="1"/>
  </r>
  <r>
    <s v="F003"/>
    <x v="2"/>
    <s v="A005"/>
    <s v="Gouda 200g"/>
    <x v="2"/>
    <n v="1.99"/>
    <n v="11"/>
    <x v="10"/>
    <n v="285"/>
    <n v="276"/>
    <n v="-9"/>
    <n v="-3.1578947368421053"/>
    <x v="0"/>
    <n v="17.91"/>
    <n v="4"/>
    <n v="4"/>
    <n v="4.4775"/>
    <n v="5.3730000000000002"/>
    <x v="3"/>
    <n v="0"/>
    <s v="Nein"/>
    <n v="0"/>
    <n v="1.99"/>
    <n v="0"/>
    <n v="0"/>
    <x v="0"/>
    <x v="0"/>
  </r>
  <r>
    <s v="F003"/>
    <x v="2"/>
    <s v="A005"/>
    <s v="Gouda 200g"/>
    <x v="2"/>
    <n v="1.99"/>
    <n v="12"/>
    <x v="11"/>
    <n v="370"/>
    <n v="359"/>
    <n v="-11"/>
    <n v="-2.9729729729729732"/>
    <x v="0"/>
    <n v="21.89"/>
    <n v="1"/>
    <n v="4"/>
    <n v="5.4725000000000001"/>
    <n v="6.5670000000000002"/>
    <x v="4"/>
    <n v="0"/>
    <s v="Ja - 20% Reduzierung"/>
    <n v="20"/>
    <n v="1.59"/>
    <n v="30"/>
    <n v="11.94"/>
    <x v="1"/>
    <x v="0"/>
  </r>
  <r>
    <s v="F003"/>
    <x v="2"/>
    <s v="A006"/>
    <s v="Emmentaler 200g"/>
    <x v="2"/>
    <n v="2.4900000000000002"/>
    <n v="1"/>
    <x v="0"/>
    <n v="200"/>
    <n v="195"/>
    <n v="-5"/>
    <n v="-2.5"/>
    <x v="0"/>
    <n v="12.450000000000001"/>
    <n v="10"/>
    <n v="2"/>
    <n v="3.1125000000000003"/>
    <n v="3.7350000000000003"/>
    <x v="0"/>
    <n v="0"/>
    <s v="Nein"/>
    <n v="0"/>
    <n v="2.4900000000000002"/>
    <n v="0"/>
    <n v="0"/>
    <x v="0"/>
    <x v="0"/>
  </r>
  <r>
    <s v="F003"/>
    <x v="2"/>
    <s v="A006"/>
    <s v="Emmentaler 200g"/>
    <x v="2"/>
    <n v="2.4900000000000002"/>
    <n v="2"/>
    <x v="1"/>
    <n v="193"/>
    <n v="189"/>
    <n v="-4"/>
    <n v="-2.0725388601036272"/>
    <x v="0"/>
    <n v="9.9600000000000009"/>
    <n v="18"/>
    <n v="7"/>
    <n v="2.4900000000000002"/>
    <n v="2.988"/>
    <x v="1"/>
    <n v="0"/>
    <s v="Nein"/>
    <n v="0"/>
    <n v="2.4900000000000002"/>
    <n v="0"/>
    <n v="0"/>
    <x v="0"/>
    <x v="0"/>
  </r>
  <r>
    <s v="F003"/>
    <x v="2"/>
    <s v="A006"/>
    <s v="Emmentaler 200g"/>
    <x v="2"/>
    <n v="2.4900000000000002"/>
    <n v="3"/>
    <x v="2"/>
    <n v="243"/>
    <n v="236"/>
    <n v="-7"/>
    <n v="-2.880658436213992"/>
    <x v="0"/>
    <n v="17.43"/>
    <n v="0"/>
    <n v="7"/>
    <n v="4.3574999999999999"/>
    <n v="5.2290000000000001"/>
    <x v="0"/>
    <n v="0"/>
    <s v="Abschreibung"/>
    <n v="100"/>
    <n v="0"/>
    <n v="2"/>
    <n v="4.9800000000000004"/>
    <x v="1"/>
    <x v="3"/>
  </r>
  <r>
    <s v="F003"/>
    <x v="2"/>
    <s v="A006"/>
    <s v="Emmentaler 200g"/>
    <x v="2"/>
    <n v="2.4900000000000002"/>
    <n v="4"/>
    <x v="3"/>
    <n v="270"/>
    <n v="266"/>
    <n v="-4"/>
    <n v="-1.4814814814814816"/>
    <x v="0"/>
    <n v="9.9600000000000009"/>
    <n v="12"/>
    <n v="6"/>
    <n v="2.4900000000000002"/>
    <n v="2.988"/>
    <x v="2"/>
    <n v="0"/>
    <s v="Nein"/>
    <n v="0"/>
    <n v="2.4900000000000002"/>
    <n v="0"/>
    <n v="0"/>
    <x v="0"/>
    <x v="5"/>
  </r>
  <r>
    <s v="F003"/>
    <x v="2"/>
    <s v="A006"/>
    <s v="Emmentaler 200g"/>
    <x v="2"/>
    <n v="2.4900000000000002"/>
    <n v="5"/>
    <x v="4"/>
    <n v="225"/>
    <n v="221"/>
    <n v="-4"/>
    <n v="-1.7777777777777777"/>
    <x v="0"/>
    <n v="9.9600000000000009"/>
    <n v="1"/>
    <n v="1"/>
    <n v="2.4900000000000002"/>
    <n v="2.988"/>
    <x v="0"/>
    <n v="0"/>
    <s v="Ja - 20% Reduzierung"/>
    <n v="20"/>
    <n v="1.99"/>
    <n v="27"/>
    <n v="13.45"/>
    <x v="1"/>
    <x v="5"/>
  </r>
  <r>
    <s v="F003"/>
    <x v="2"/>
    <s v="A006"/>
    <s v="Emmentaler 200g"/>
    <x v="2"/>
    <n v="2.4900000000000002"/>
    <n v="6"/>
    <x v="5"/>
    <n v="252"/>
    <n v="245"/>
    <n v="-7"/>
    <n v="-2.7777777777777777"/>
    <x v="0"/>
    <n v="17.43"/>
    <n v="13"/>
    <n v="7"/>
    <n v="4.3574999999999999"/>
    <n v="5.2290000000000001"/>
    <x v="0"/>
    <n v="0"/>
    <s v="Nein"/>
    <n v="0"/>
    <n v="2.4900000000000002"/>
    <n v="0"/>
    <n v="0"/>
    <x v="0"/>
    <x v="0"/>
  </r>
  <r>
    <s v="F003"/>
    <x v="2"/>
    <s v="A006"/>
    <s v="Emmentaler 200g"/>
    <x v="2"/>
    <n v="2.4900000000000002"/>
    <n v="7"/>
    <x v="6"/>
    <n v="270"/>
    <n v="260"/>
    <n v="-10"/>
    <n v="-3.7037037037037033"/>
    <x v="0"/>
    <n v="24.900000000000002"/>
    <n v="6"/>
    <n v="3"/>
    <n v="6.2250000000000005"/>
    <n v="7.4700000000000006"/>
    <x v="0"/>
    <n v="0"/>
    <s v="Nein"/>
    <n v="0"/>
    <n v="2.4900000000000002"/>
    <n v="0"/>
    <n v="0"/>
    <x v="0"/>
    <x v="0"/>
  </r>
  <r>
    <s v="F003"/>
    <x v="2"/>
    <s v="A006"/>
    <s v="Emmentaler 200g"/>
    <x v="2"/>
    <n v="2.4900000000000002"/>
    <n v="8"/>
    <x v="7"/>
    <n v="256"/>
    <n v="249"/>
    <n v="-7"/>
    <n v="-2.734375"/>
    <x v="0"/>
    <n v="17.43"/>
    <n v="8"/>
    <n v="2"/>
    <n v="4.3574999999999999"/>
    <n v="5.2290000000000001"/>
    <x v="0"/>
    <n v="0"/>
    <s v="Nein"/>
    <n v="0"/>
    <n v="2.4900000000000002"/>
    <n v="0"/>
    <n v="0"/>
    <x v="0"/>
    <x v="0"/>
  </r>
  <r>
    <s v="F003"/>
    <x v="2"/>
    <s v="A006"/>
    <s v="Emmentaler 200g"/>
    <x v="2"/>
    <n v="2.4900000000000002"/>
    <n v="9"/>
    <x v="8"/>
    <n v="218"/>
    <n v="226"/>
    <n v="8"/>
    <n v="3.669724770642202"/>
    <x v="1"/>
    <n v="19.920000000000002"/>
    <n v="2"/>
    <n v="3"/>
    <n v="0"/>
    <n v="0"/>
    <x v="0"/>
    <n v="8"/>
    <s v="Ja - 20% Reduzierung"/>
    <n v="20"/>
    <n v="1.99"/>
    <n v="15"/>
    <n v="7.47"/>
    <x v="1"/>
    <x v="2"/>
  </r>
  <r>
    <s v="F003"/>
    <x v="2"/>
    <s v="A006"/>
    <s v="Emmentaler 200g"/>
    <x v="2"/>
    <n v="2.4900000000000002"/>
    <n v="10"/>
    <x v="9"/>
    <n v="230"/>
    <n v="224"/>
    <n v="-6"/>
    <n v="-2.6086956521739131"/>
    <x v="0"/>
    <n v="14.940000000000001"/>
    <n v="20"/>
    <n v="4"/>
    <n v="3.7350000000000003"/>
    <n v="4.4820000000000002"/>
    <x v="0"/>
    <n v="0"/>
    <s v="Nein"/>
    <n v="0"/>
    <n v="2.4900000000000002"/>
    <n v="0"/>
    <n v="0"/>
    <x v="0"/>
    <x v="0"/>
  </r>
  <r>
    <s v="F003"/>
    <x v="2"/>
    <s v="A006"/>
    <s v="Emmentaler 200g"/>
    <x v="2"/>
    <n v="2.4900000000000002"/>
    <n v="11"/>
    <x v="10"/>
    <n v="245"/>
    <n v="242"/>
    <n v="-3"/>
    <n v="-1.2244897959183674"/>
    <x v="0"/>
    <n v="7.4700000000000006"/>
    <n v="13"/>
    <n v="6"/>
    <n v="1.8675000000000002"/>
    <n v="2.2410000000000001"/>
    <x v="3"/>
    <n v="0"/>
    <s v="Nein"/>
    <n v="0"/>
    <n v="2.4900000000000002"/>
    <n v="0"/>
    <n v="0"/>
    <x v="0"/>
    <x v="5"/>
  </r>
  <r>
    <s v="F003"/>
    <x v="2"/>
    <s v="A006"/>
    <s v="Emmentaler 200g"/>
    <x v="2"/>
    <n v="2.4900000000000002"/>
    <n v="12"/>
    <x v="11"/>
    <n v="312"/>
    <n v="304"/>
    <n v="-8"/>
    <n v="-2.5641025641025639"/>
    <x v="0"/>
    <n v="19.920000000000002"/>
    <n v="6"/>
    <n v="3"/>
    <n v="4.9800000000000004"/>
    <n v="5.976"/>
    <x v="4"/>
    <n v="0"/>
    <s v="Nein"/>
    <n v="0"/>
    <n v="2.4900000000000002"/>
    <n v="0"/>
    <n v="0"/>
    <x v="0"/>
    <x v="0"/>
  </r>
  <r>
    <s v="F003"/>
    <x v="2"/>
    <s v="A007"/>
    <s v="Naturjoghurt 500g"/>
    <x v="3"/>
    <n v="0.89"/>
    <n v="1"/>
    <x v="0"/>
    <n v="432"/>
    <n v="415"/>
    <n v="-17"/>
    <n v="-3.9351851851851851"/>
    <x v="0"/>
    <n v="15.13"/>
    <n v="11"/>
    <n v="4"/>
    <n v="3.7825000000000002"/>
    <n v="4.5389999999999997"/>
    <x v="0"/>
    <n v="0"/>
    <s v="Nein"/>
    <n v="0"/>
    <n v="0.89"/>
    <n v="0"/>
    <n v="0"/>
    <x v="0"/>
    <x v="0"/>
  </r>
  <r>
    <s v="F003"/>
    <x v="2"/>
    <s v="A007"/>
    <s v="Naturjoghurt 500g"/>
    <x v="3"/>
    <n v="0.89"/>
    <n v="2"/>
    <x v="1"/>
    <n v="438"/>
    <n v="423"/>
    <n v="-15"/>
    <n v="-3.4246575342465753"/>
    <x v="0"/>
    <n v="13.35"/>
    <n v="7"/>
    <n v="3"/>
    <n v="3.3374999999999999"/>
    <n v="4.0049999999999999"/>
    <x v="1"/>
    <n v="0"/>
    <s v="Nein"/>
    <n v="0"/>
    <n v="0.89"/>
    <n v="0"/>
    <n v="0"/>
    <x v="0"/>
    <x v="0"/>
  </r>
  <r>
    <s v="F003"/>
    <x v="2"/>
    <s v="A007"/>
    <s v="Naturjoghurt 500g"/>
    <x v="3"/>
    <n v="0.89"/>
    <n v="3"/>
    <x v="2"/>
    <n v="509"/>
    <n v="496"/>
    <n v="-13"/>
    <n v="-2.5540275049115913"/>
    <x v="0"/>
    <n v="11.57"/>
    <n v="11"/>
    <n v="4"/>
    <n v="2.8925000000000001"/>
    <n v="3.4710000000000001"/>
    <x v="0"/>
    <n v="0"/>
    <s v="Nein"/>
    <n v="0"/>
    <n v="0.89"/>
    <n v="0"/>
    <n v="0"/>
    <x v="0"/>
    <x v="0"/>
  </r>
  <r>
    <s v="F003"/>
    <x v="2"/>
    <s v="A007"/>
    <s v="Naturjoghurt 500g"/>
    <x v="3"/>
    <n v="0.89"/>
    <n v="4"/>
    <x v="3"/>
    <n v="588"/>
    <n v="568"/>
    <n v="-20"/>
    <n v="-3.4013605442176873"/>
    <x v="0"/>
    <n v="17.8"/>
    <n v="1"/>
    <n v="1"/>
    <n v="4.45"/>
    <n v="5.34"/>
    <x v="2"/>
    <n v="0"/>
    <s v="Ja - 20% Reduzierung"/>
    <n v="20"/>
    <n v="0.71"/>
    <n v="35"/>
    <n v="6.23"/>
    <x v="1"/>
    <x v="1"/>
  </r>
  <r>
    <s v="F003"/>
    <x v="2"/>
    <s v="A007"/>
    <s v="Naturjoghurt 500g"/>
    <x v="3"/>
    <n v="0.89"/>
    <n v="5"/>
    <x v="4"/>
    <n v="475"/>
    <n v="456"/>
    <n v="-19"/>
    <n v="-4"/>
    <x v="0"/>
    <n v="16.91"/>
    <n v="1"/>
    <n v="3"/>
    <n v="4.2275"/>
    <n v="5.0729999999999995"/>
    <x v="0"/>
    <n v="0"/>
    <s v="Ja - 20% Reduzierung"/>
    <n v="20"/>
    <n v="0.71"/>
    <n v="24"/>
    <n v="4.2699999999999996"/>
    <x v="1"/>
    <x v="0"/>
  </r>
  <r>
    <s v="F003"/>
    <x v="2"/>
    <s v="A007"/>
    <s v="Naturjoghurt 500g"/>
    <x v="3"/>
    <n v="0.89"/>
    <n v="6"/>
    <x v="5"/>
    <n v="528"/>
    <n v="513"/>
    <n v="-15"/>
    <n v="-2.8409090909090908"/>
    <x v="0"/>
    <n v="13.35"/>
    <n v="1"/>
    <n v="5"/>
    <n v="3.3374999999999999"/>
    <n v="4.0049999999999999"/>
    <x v="0"/>
    <n v="0"/>
    <s v="Ja - 20% Reduzierung"/>
    <n v="20"/>
    <n v="0.71"/>
    <n v="53"/>
    <n v="9.43"/>
    <x v="3"/>
    <x v="4"/>
  </r>
  <r>
    <s v="F003"/>
    <x v="2"/>
    <s v="A007"/>
    <s v="Naturjoghurt 500g"/>
    <x v="3"/>
    <n v="0.89"/>
    <n v="7"/>
    <x v="6"/>
    <n v="582"/>
    <n v="557"/>
    <n v="-25"/>
    <n v="-4.2955326460481098"/>
    <x v="0"/>
    <n v="22.25"/>
    <n v="2"/>
    <n v="4"/>
    <n v="5.5625"/>
    <n v="6.6749999999999998"/>
    <x v="0"/>
    <n v="0"/>
    <s v="Ja - 20% Reduzierung"/>
    <n v="20"/>
    <n v="0.71"/>
    <n v="81"/>
    <n v="14.42"/>
    <x v="1"/>
    <x v="0"/>
  </r>
  <r>
    <s v="F003"/>
    <x v="2"/>
    <s v="A007"/>
    <s v="Naturjoghurt 500g"/>
    <x v="3"/>
    <n v="0.89"/>
    <n v="8"/>
    <x v="7"/>
    <n v="575"/>
    <n v="575"/>
    <n v="0"/>
    <n v="0"/>
    <x v="2"/>
    <n v="0"/>
    <n v="0"/>
    <n v="2"/>
    <n v="0"/>
    <n v="0"/>
    <x v="0"/>
    <n v="0"/>
    <s v="Abschreibung"/>
    <n v="100"/>
    <n v="0"/>
    <n v="12"/>
    <n v="10.68"/>
    <x v="1"/>
    <x v="3"/>
  </r>
  <r>
    <s v="F003"/>
    <x v="2"/>
    <s v="A007"/>
    <s v="Naturjoghurt 500g"/>
    <x v="3"/>
    <n v="0.89"/>
    <n v="9"/>
    <x v="8"/>
    <n v="461"/>
    <n v="440"/>
    <n v="-21"/>
    <n v="-4.5553145336225596"/>
    <x v="0"/>
    <n v="18.690000000000001"/>
    <n v="1"/>
    <n v="5"/>
    <n v="4.6725000000000003"/>
    <n v="5.6070000000000002"/>
    <x v="0"/>
    <n v="0"/>
    <s v="Ja - 20% Reduzierung"/>
    <n v="20"/>
    <n v="0.71"/>
    <n v="51"/>
    <n v="9.08"/>
    <x v="1"/>
    <x v="0"/>
  </r>
  <r>
    <s v="F003"/>
    <x v="2"/>
    <s v="A007"/>
    <s v="Naturjoghurt 500g"/>
    <x v="3"/>
    <n v="0.89"/>
    <n v="10"/>
    <x v="9"/>
    <n v="520"/>
    <n v="520"/>
    <n v="0"/>
    <n v="0"/>
    <x v="2"/>
    <n v="0"/>
    <n v="13"/>
    <n v="3"/>
    <n v="0"/>
    <n v="0"/>
    <x v="0"/>
    <n v="0"/>
    <s v="Nein"/>
    <n v="0"/>
    <n v="0.89"/>
    <n v="0"/>
    <n v="0"/>
    <x v="0"/>
    <x v="5"/>
  </r>
  <r>
    <s v="F003"/>
    <x v="2"/>
    <s v="A007"/>
    <s v="Naturjoghurt 500g"/>
    <x v="3"/>
    <n v="0.89"/>
    <n v="11"/>
    <x v="10"/>
    <n v="572"/>
    <n v="576"/>
    <n v="4"/>
    <n v="0.69930069930069927"/>
    <x v="1"/>
    <n v="3.56"/>
    <n v="4"/>
    <n v="1"/>
    <n v="0"/>
    <n v="0"/>
    <x v="3"/>
    <n v="4"/>
    <s v="Nein"/>
    <n v="0"/>
    <n v="0.89"/>
    <n v="0"/>
    <n v="0"/>
    <x v="0"/>
    <x v="2"/>
  </r>
  <r>
    <s v="F003"/>
    <x v="2"/>
    <s v="A007"/>
    <s v="Naturjoghurt 500g"/>
    <x v="3"/>
    <n v="0.89"/>
    <n v="12"/>
    <x v="11"/>
    <n v="728"/>
    <n v="701"/>
    <n v="-27"/>
    <n v="-3.7087912087912089"/>
    <x v="0"/>
    <n v="24.03"/>
    <n v="12"/>
    <n v="2"/>
    <n v="6.0075000000000003"/>
    <n v="7.2089999999999996"/>
    <x v="4"/>
    <n v="0"/>
    <s v="Nein"/>
    <n v="0"/>
    <n v="0.89"/>
    <n v="0"/>
    <n v="0"/>
    <x v="0"/>
    <x v="0"/>
  </r>
  <r>
    <s v="F003"/>
    <x v="2"/>
    <s v="A008"/>
    <s v="Fruchtjoghurt 4er"/>
    <x v="3"/>
    <n v="1.89"/>
    <n v="1"/>
    <x v="0"/>
    <n v="298"/>
    <n v="290"/>
    <n v="-8"/>
    <n v="-2.6845637583892619"/>
    <x v="0"/>
    <n v="15.12"/>
    <n v="9"/>
    <n v="4"/>
    <n v="3.78"/>
    <n v="4.5359999999999996"/>
    <x v="0"/>
    <n v="0"/>
    <s v="Nein"/>
    <n v="0"/>
    <n v="1.89"/>
    <n v="0"/>
    <n v="0"/>
    <x v="0"/>
    <x v="0"/>
  </r>
  <r>
    <s v="F003"/>
    <x v="2"/>
    <s v="A008"/>
    <s v="Fruchtjoghurt 4er"/>
    <x v="3"/>
    <n v="1.89"/>
    <n v="2"/>
    <x v="1"/>
    <n v="276"/>
    <n v="279"/>
    <n v="3"/>
    <n v="1.0869565217391304"/>
    <x v="1"/>
    <n v="5.67"/>
    <n v="13"/>
    <n v="3"/>
    <n v="0"/>
    <n v="0"/>
    <x v="1"/>
    <n v="3"/>
    <s v="Nein"/>
    <n v="0"/>
    <n v="1.89"/>
    <n v="0"/>
    <n v="0"/>
    <x v="0"/>
    <x v="2"/>
  </r>
  <r>
    <s v="F003"/>
    <x v="2"/>
    <s v="A008"/>
    <s v="Fruchtjoghurt 4er"/>
    <x v="3"/>
    <n v="1.89"/>
    <n v="3"/>
    <x v="2"/>
    <n v="334"/>
    <n v="321"/>
    <n v="-13"/>
    <n v="-3.8922155688622757"/>
    <x v="0"/>
    <n v="24.57"/>
    <n v="1"/>
    <n v="3"/>
    <n v="6.1425000000000001"/>
    <n v="7.3709999999999996"/>
    <x v="0"/>
    <n v="0"/>
    <s v="Ja - 20% Reduzierung"/>
    <n v="20"/>
    <n v="1.51"/>
    <n v="17"/>
    <n v="6.43"/>
    <x v="1"/>
    <x v="0"/>
  </r>
  <r>
    <s v="F003"/>
    <x v="2"/>
    <s v="A008"/>
    <s v="Fruchtjoghurt 4er"/>
    <x v="3"/>
    <n v="1.89"/>
    <n v="4"/>
    <x v="3"/>
    <n v="390"/>
    <n v="365"/>
    <n v="-25"/>
    <n v="-6.4102564102564097"/>
    <x v="0"/>
    <n v="47.25"/>
    <n v="6"/>
    <n v="5"/>
    <n v="11.8125"/>
    <n v="14.174999999999999"/>
    <x v="2"/>
    <n v="0"/>
    <s v="Nein"/>
    <n v="0"/>
    <n v="1.89"/>
    <n v="0"/>
    <n v="0"/>
    <x v="0"/>
    <x v="0"/>
  </r>
  <r>
    <s v="F003"/>
    <x v="2"/>
    <s v="A008"/>
    <s v="Fruchtjoghurt 4er"/>
    <x v="3"/>
    <n v="1.89"/>
    <n v="5"/>
    <x v="4"/>
    <n v="299"/>
    <n v="289"/>
    <n v="-10"/>
    <n v="-3.3444816053511706"/>
    <x v="0"/>
    <n v="18.899999999999999"/>
    <n v="1"/>
    <n v="3"/>
    <n v="4.7249999999999996"/>
    <n v="5.669999999999999"/>
    <x v="0"/>
    <n v="0"/>
    <s v="Ja - 20% Reduzierung"/>
    <n v="20"/>
    <n v="1.51"/>
    <n v="27"/>
    <n v="10.210000000000001"/>
    <x v="1"/>
    <x v="0"/>
  </r>
  <r>
    <s v="F003"/>
    <x v="2"/>
    <s v="A008"/>
    <s v="Fruchtjoghurt 4er"/>
    <x v="3"/>
    <n v="1.89"/>
    <n v="6"/>
    <x v="5"/>
    <n v="343"/>
    <n v="323"/>
    <n v="-20"/>
    <n v="-5.8309037900874632"/>
    <x v="0"/>
    <n v="37.799999999999997"/>
    <n v="5"/>
    <n v="4"/>
    <n v="9.4499999999999993"/>
    <n v="11.339999999999998"/>
    <x v="0"/>
    <n v="0"/>
    <s v="Nein"/>
    <n v="0"/>
    <n v="1.89"/>
    <n v="0"/>
    <n v="0"/>
    <x v="0"/>
    <x v="0"/>
  </r>
  <r>
    <s v="F003"/>
    <x v="2"/>
    <s v="A008"/>
    <s v="Fruchtjoghurt 4er"/>
    <x v="3"/>
    <n v="1.89"/>
    <n v="7"/>
    <x v="6"/>
    <n v="393"/>
    <n v="378"/>
    <n v="-15"/>
    <n v="-3.8167938931297711"/>
    <x v="0"/>
    <n v="28.349999999999998"/>
    <n v="9"/>
    <n v="1"/>
    <n v="7.0874999999999995"/>
    <n v="8.504999999999999"/>
    <x v="0"/>
    <n v="0"/>
    <s v="Nein"/>
    <n v="0"/>
    <n v="1.89"/>
    <n v="0"/>
    <n v="0"/>
    <x v="0"/>
    <x v="1"/>
  </r>
  <r>
    <s v="F003"/>
    <x v="2"/>
    <s v="A008"/>
    <s v="Fruchtjoghurt 4er"/>
    <x v="3"/>
    <n v="1.89"/>
    <n v="8"/>
    <x v="7"/>
    <n v="344"/>
    <n v="328"/>
    <n v="-16"/>
    <n v="-4.6511627906976747"/>
    <x v="0"/>
    <n v="30.24"/>
    <n v="2"/>
    <n v="5"/>
    <n v="7.56"/>
    <n v="9.0719999999999992"/>
    <x v="0"/>
    <n v="0"/>
    <s v="Ja - 20% Reduzierung"/>
    <n v="20"/>
    <n v="1.51"/>
    <n v="31"/>
    <n v="11.72"/>
    <x v="1"/>
    <x v="0"/>
  </r>
  <r>
    <s v="F003"/>
    <x v="2"/>
    <s v="A008"/>
    <s v="Fruchtjoghurt 4er"/>
    <x v="3"/>
    <n v="1.89"/>
    <n v="9"/>
    <x v="8"/>
    <n v="287"/>
    <n v="280"/>
    <n v="-7"/>
    <n v="-2.4390243902439024"/>
    <x v="0"/>
    <n v="13.229999999999999"/>
    <n v="11"/>
    <n v="1"/>
    <n v="3.3074999999999997"/>
    <n v="3.9689999999999994"/>
    <x v="0"/>
    <n v="0"/>
    <s v="Nein"/>
    <n v="0"/>
    <n v="1.89"/>
    <n v="0"/>
    <n v="0"/>
    <x v="0"/>
    <x v="1"/>
  </r>
  <r>
    <s v="F003"/>
    <x v="2"/>
    <s v="A008"/>
    <s v="Fruchtjoghurt 4er"/>
    <x v="3"/>
    <n v="1.89"/>
    <n v="10"/>
    <x v="9"/>
    <n v="312"/>
    <n v="302"/>
    <n v="-10"/>
    <n v="-3.2051282051282048"/>
    <x v="0"/>
    <n v="18.899999999999999"/>
    <n v="4"/>
    <n v="1"/>
    <n v="4.7249999999999996"/>
    <n v="5.669999999999999"/>
    <x v="0"/>
    <n v="0"/>
    <s v="Nein"/>
    <n v="0"/>
    <n v="1.89"/>
    <n v="0"/>
    <n v="0"/>
    <x v="0"/>
    <x v="1"/>
  </r>
  <r>
    <s v="F003"/>
    <x v="2"/>
    <s v="A008"/>
    <s v="Fruchtjoghurt 4er"/>
    <x v="3"/>
    <n v="1.89"/>
    <n v="11"/>
    <x v="10"/>
    <n v="350"/>
    <n v="330"/>
    <n v="-20"/>
    <n v="-5.7142857142857144"/>
    <x v="0"/>
    <n v="37.799999999999997"/>
    <n v="14"/>
    <n v="0"/>
    <n v="9.4499999999999993"/>
    <n v="11.339999999999998"/>
    <x v="3"/>
    <n v="0"/>
    <s v="Nein"/>
    <n v="0"/>
    <n v="1.89"/>
    <n v="0"/>
    <n v="0"/>
    <x v="0"/>
    <x v="1"/>
  </r>
  <r>
    <s v="F003"/>
    <x v="2"/>
    <s v="A008"/>
    <s v="Fruchtjoghurt 4er"/>
    <x v="3"/>
    <n v="1.89"/>
    <n v="12"/>
    <x v="11"/>
    <n v="450"/>
    <n v="456"/>
    <n v="6"/>
    <n v="1.3333333333333335"/>
    <x v="1"/>
    <n v="11.34"/>
    <n v="12"/>
    <n v="0"/>
    <n v="0"/>
    <n v="0"/>
    <x v="4"/>
    <n v="6"/>
    <s v="Nein"/>
    <n v="0"/>
    <n v="1.89"/>
    <n v="0"/>
    <n v="0"/>
    <x v="0"/>
    <x v="2"/>
  </r>
  <r>
    <s v="F003"/>
    <x v="2"/>
    <s v="A009"/>
    <s v="Sahne 200ml"/>
    <x v="4"/>
    <n v="0.79"/>
    <n v="1"/>
    <x v="0"/>
    <n v="156"/>
    <n v="153"/>
    <n v="-3"/>
    <n v="-1.9230769230769231"/>
    <x v="0"/>
    <n v="2.37"/>
    <n v="2"/>
    <n v="1"/>
    <n v="0.59250000000000003"/>
    <n v="0.71099999999999997"/>
    <x v="0"/>
    <n v="0"/>
    <s v="Ja - 20% Reduzierung"/>
    <n v="20"/>
    <n v="0.63"/>
    <n v="14"/>
    <n v="2.21"/>
    <x v="1"/>
    <x v="5"/>
  </r>
  <r>
    <s v="F003"/>
    <x v="2"/>
    <s v="A009"/>
    <s v="Sahne 200ml"/>
    <x v="4"/>
    <n v="0.79"/>
    <n v="2"/>
    <x v="1"/>
    <n v="148"/>
    <n v="151"/>
    <n v="3"/>
    <n v="2.0270270270270272"/>
    <x v="1"/>
    <n v="2.37"/>
    <n v="7"/>
    <n v="4"/>
    <n v="0"/>
    <n v="0"/>
    <x v="1"/>
    <n v="3"/>
    <s v="Nein"/>
    <n v="0"/>
    <n v="0.79"/>
    <n v="0"/>
    <n v="0"/>
    <x v="0"/>
    <x v="2"/>
  </r>
  <r>
    <s v="F003"/>
    <x v="2"/>
    <s v="A009"/>
    <s v="Sahne 200ml"/>
    <x v="4"/>
    <n v="0.79"/>
    <n v="3"/>
    <x v="2"/>
    <n v="187"/>
    <n v="187"/>
    <n v="0"/>
    <n v="0"/>
    <x v="2"/>
    <n v="0"/>
    <n v="2"/>
    <n v="3"/>
    <n v="0"/>
    <n v="0"/>
    <x v="0"/>
    <n v="0"/>
    <s v="Ja - 20% Reduzierung"/>
    <n v="20"/>
    <n v="0.63"/>
    <n v="17"/>
    <n v="2.69"/>
    <x v="4"/>
    <x v="4"/>
  </r>
  <r>
    <s v="F003"/>
    <x v="2"/>
    <s v="A009"/>
    <s v="Sahne 200ml"/>
    <x v="4"/>
    <n v="0.79"/>
    <n v="4"/>
    <x v="3"/>
    <n v="221"/>
    <n v="225"/>
    <n v="4"/>
    <n v="1.809954751131222"/>
    <x v="1"/>
    <n v="3.16"/>
    <n v="2"/>
    <n v="0"/>
    <n v="0"/>
    <n v="0"/>
    <x v="2"/>
    <n v="4"/>
    <s v="Ja - 20% Reduzierung"/>
    <n v="20"/>
    <n v="0.63"/>
    <n v="20"/>
    <n v="3.16"/>
    <x v="1"/>
    <x v="2"/>
  </r>
  <r>
    <s v="F003"/>
    <x v="2"/>
    <s v="A009"/>
    <s v="Sahne 200ml"/>
    <x v="4"/>
    <n v="0.79"/>
    <n v="5"/>
    <x v="4"/>
    <n v="185"/>
    <n v="180"/>
    <n v="-5"/>
    <n v="-2.7027027027027026"/>
    <x v="0"/>
    <n v="3.95"/>
    <n v="1"/>
    <n v="1"/>
    <n v="0.98750000000000004"/>
    <n v="1.1850000000000001"/>
    <x v="0"/>
    <n v="0"/>
    <s v="Ja - 20% Reduzierung"/>
    <n v="20"/>
    <n v="0.63"/>
    <n v="28"/>
    <n v="4.42"/>
    <x v="1"/>
    <x v="1"/>
  </r>
  <r>
    <s v="F003"/>
    <x v="2"/>
    <s v="A009"/>
    <s v="Sahne 200ml"/>
    <x v="4"/>
    <n v="0.79"/>
    <n v="6"/>
    <x v="5"/>
    <n v="202"/>
    <n v="198"/>
    <n v="-4"/>
    <n v="-1.9801980198019802"/>
    <x v="0"/>
    <n v="3.16"/>
    <n v="6"/>
    <n v="2"/>
    <n v="0.79"/>
    <n v="0.94799999999999995"/>
    <x v="0"/>
    <n v="0"/>
    <s v="Nein"/>
    <n v="0"/>
    <n v="0.79"/>
    <n v="0"/>
    <n v="0"/>
    <x v="0"/>
    <x v="5"/>
  </r>
  <r>
    <s v="F003"/>
    <x v="2"/>
    <s v="A009"/>
    <s v="Sahne 200ml"/>
    <x v="4"/>
    <n v="0.79"/>
    <n v="7"/>
    <x v="6"/>
    <n v="227"/>
    <n v="218"/>
    <n v="-9"/>
    <n v="-3.9647577092511015"/>
    <x v="0"/>
    <n v="7.11"/>
    <n v="8"/>
    <n v="3"/>
    <n v="1.7775000000000001"/>
    <n v="2.133"/>
    <x v="0"/>
    <n v="0"/>
    <s v="Nein"/>
    <n v="0"/>
    <n v="0.79"/>
    <n v="0"/>
    <n v="0"/>
    <x v="0"/>
    <x v="0"/>
  </r>
  <r>
    <s v="F003"/>
    <x v="2"/>
    <s v="A009"/>
    <s v="Sahne 200ml"/>
    <x v="4"/>
    <n v="0.79"/>
    <n v="8"/>
    <x v="7"/>
    <n v="209"/>
    <n v="209"/>
    <n v="0"/>
    <n v="0"/>
    <x v="2"/>
    <n v="0"/>
    <n v="9"/>
    <n v="4"/>
    <n v="0"/>
    <n v="0"/>
    <x v="0"/>
    <n v="0"/>
    <s v="Nein"/>
    <n v="0"/>
    <n v="0.79"/>
    <n v="0"/>
    <n v="0"/>
    <x v="0"/>
    <x v="5"/>
  </r>
  <r>
    <s v="F003"/>
    <x v="2"/>
    <s v="A009"/>
    <s v="Sahne 200ml"/>
    <x v="4"/>
    <n v="0.79"/>
    <n v="9"/>
    <x v="8"/>
    <n v="178"/>
    <n v="172"/>
    <n v="-6"/>
    <n v="-3.3707865168539324"/>
    <x v="0"/>
    <n v="4.74"/>
    <n v="5"/>
    <n v="2"/>
    <n v="1.1850000000000001"/>
    <n v="1.4219999999999999"/>
    <x v="0"/>
    <n v="0"/>
    <s v="Nein"/>
    <n v="0"/>
    <n v="0.79"/>
    <n v="0"/>
    <n v="0"/>
    <x v="0"/>
    <x v="0"/>
  </r>
  <r>
    <s v="F003"/>
    <x v="2"/>
    <s v="A009"/>
    <s v="Sahne 200ml"/>
    <x v="4"/>
    <n v="0.79"/>
    <n v="10"/>
    <x v="9"/>
    <n v="184"/>
    <n v="184"/>
    <n v="0"/>
    <n v="0"/>
    <x v="2"/>
    <n v="0"/>
    <n v="4"/>
    <n v="1"/>
    <n v="0"/>
    <n v="0"/>
    <x v="0"/>
    <n v="0"/>
    <s v="Nein"/>
    <n v="0"/>
    <n v="0.79"/>
    <n v="0"/>
    <n v="0"/>
    <x v="0"/>
    <x v="5"/>
  </r>
  <r>
    <s v="F003"/>
    <x v="2"/>
    <s v="A009"/>
    <s v="Sahne 200ml"/>
    <x v="4"/>
    <n v="0.79"/>
    <n v="11"/>
    <x v="10"/>
    <n v="188"/>
    <n v="182"/>
    <n v="-6"/>
    <n v="-3.1914893617021276"/>
    <x v="0"/>
    <n v="4.74"/>
    <n v="8"/>
    <n v="0"/>
    <n v="1.1850000000000001"/>
    <n v="1.4219999999999999"/>
    <x v="3"/>
    <n v="0"/>
    <s v="Nein"/>
    <n v="0"/>
    <n v="0.79"/>
    <n v="0"/>
    <n v="0"/>
    <x v="0"/>
    <x v="1"/>
  </r>
  <r>
    <s v="F003"/>
    <x v="2"/>
    <s v="A009"/>
    <s v="Sahne 200ml"/>
    <x v="4"/>
    <n v="0.79"/>
    <n v="12"/>
    <x v="11"/>
    <n v="247"/>
    <n v="251"/>
    <n v="4"/>
    <n v="1.6194331983805668"/>
    <x v="1"/>
    <n v="3.16"/>
    <n v="2"/>
    <n v="3"/>
    <n v="0"/>
    <n v="0"/>
    <x v="4"/>
    <n v="4"/>
    <s v="Ja - 20% Reduzierung"/>
    <n v="20"/>
    <n v="0.63"/>
    <n v="17"/>
    <n v="2.69"/>
    <x v="1"/>
    <x v="2"/>
  </r>
  <r>
    <s v="F003"/>
    <x v="2"/>
    <s v="A010"/>
    <s v="Schmand 200g"/>
    <x v="4"/>
    <n v="0.89"/>
    <n v="1"/>
    <x v="0"/>
    <n v="147"/>
    <n v="145"/>
    <n v="-2"/>
    <n v="-1.3605442176870748"/>
    <x v="0"/>
    <n v="1.78"/>
    <n v="1"/>
    <n v="0"/>
    <n v="0.44500000000000001"/>
    <n v="0.53400000000000003"/>
    <x v="0"/>
    <n v="0"/>
    <s v="Ja - 20% Reduzierung"/>
    <n v="20"/>
    <n v="0.71"/>
    <n v="10"/>
    <n v="1.78"/>
    <x v="1"/>
    <x v="5"/>
  </r>
  <r>
    <s v="F003"/>
    <x v="2"/>
    <s v="A010"/>
    <s v="Schmand 200g"/>
    <x v="4"/>
    <n v="0.89"/>
    <n v="2"/>
    <x v="1"/>
    <n v="132"/>
    <n v="131"/>
    <n v="-1"/>
    <n v="-0.75757575757575757"/>
    <x v="0"/>
    <n v="0.89"/>
    <n v="11"/>
    <n v="5"/>
    <n v="0.2225"/>
    <n v="0.26700000000000002"/>
    <x v="1"/>
    <n v="0"/>
    <s v="Nein"/>
    <n v="0"/>
    <n v="0.89"/>
    <n v="0"/>
    <n v="0"/>
    <x v="0"/>
    <x v="5"/>
  </r>
  <r>
    <s v="F003"/>
    <x v="2"/>
    <s v="A010"/>
    <s v="Schmand 200g"/>
    <x v="4"/>
    <n v="0.89"/>
    <n v="3"/>
    <x v="2"/>
    <n v="174"/>
    <n v="174"/>
    <n v="0"/>
    <n v="0"/>
    <x v="2"/>
    <n v="0"/>
    <n v="7"/>
    <n v="4"/>
    <n v="0"/>
    <n v="0"/>
    <x v="0"/>
    <n v="0"/>
    <s v="Nein"/>
    <n v="0"/>
    <n v="0.89"/>
    <n v="0"/>
    <n v="0"/>
    <x v="0"/>
    <x v="5"/>
  </r>
  <r>
    <s v="F003"/>
    <x v="2"/>
    <s v="A010"/>
    <s v="Schmand 200g"/>
    <x v="4"/>
    <n v="0.89"/>
    <n v="4"/>
    <x v="3"/>
    <n v="203"/>
    <n v="199"/>
    <n v="-4"/>
    <n v="-1.9704433497536946"/>
    <x v="0"/>
    <n v="3.56"/>
    <n v="11"/>
    <n v="0"/>
    <n v="0.89"/>
    <n v="1.0680000000000001"/>
    <x v="2"/>
    <n v="0"/>
    <s v="Nein"/>
    <n v="0"/>
    <n v="0.89"/>
    <n v="0"/>
    <n v="0"/>
    <x v="0"/>
    <x v="5"/>
  </r>
  <r>
    <s v="F003"/>
    <x v="2"/>
    <s v="A010"/>
    <s v="Schmand 200g"/>
    <x v="4"/>
    <n v="0.89"/>
    <n v="5"/>
    <x v="4"/>
    <n v="168"/>
    <n v="164"/>
    <n v="-4"/>
    <n v="-2.3809523809523809"/>
    <x v="0"/>
    <n v="3.56"/>
    <n v="5"/>
    <n v="5"/>
    <n v="0.89"/>
    <n v="1.0680000000000001"/>
    <x v="0"/>
    <n v="0"/>
    <s v="Nein"/>
    <n v="0"/>
    <n v="0.89"/>
    <n v="0"/>
    <n v="0"/>
    <x v="0"/>
    <x v="0"/>
  </r>
  <r>
    <s v="F003"/>
    <x v="2"/>
    <s v="A010"/>
    <s v="Schmand 200g"/>
    <x v="4"/>
    <n v="0.89"/>
    <n v="6"/>
    <x v="5"/>
    <n v="169"/>
    <n v="169"/>
    <n v="0"/>
    <n v="0"/>
    <x v="2"/>
    <n v="0"/>
    <n v="13"/>
    <n v="5"/>
    <n v="0"/>
    <n v="0"/>
    <x v="0"/>
    <n v="0"/>
    <s v="Nein"/>
    <n v="0"/>
    <n v="0.89"/>
    <n v="0"/>
    <n v="0"/>
    <x v="0"/>
    <x v="5"/>
  </r>
  <r>
    <s v="F003"/>
    <x v="2"/>
    <s v="A010"/>
    <s v="Schmand 200g"/>
    <x v="4"/>
    <n v="0.89"/>
    <n v="7"/>
    <x v="6"/>
    <n v="191"/>
    <n v="188"/>
    <n v="-3"/>
    <n v="-1.5706806282722512"/>
    <x v="0"/>
    <n v="2.67"/>
    <n v="9"/>
    <n v="0"/>
    <n v="0.66749999999999998"/>
    <n v="0.80099999999999993"/>
    <x v="0"/>
    <n v="0"/>
    <s v="Nein"/>
    <n v="0"/>
    <n v="0.89"/>
    <n v="0"/>
    <n v="0"/>
    <x v="0"/>
    <x v="5"/>
  </r>
  <r>
    <s v="F003"/>
    <x v="2"/>
    <s v="A010"/>
    <s v="Schmand 200g"/>
    <x v="4"/>
    <n v="0.89"/>
    <n v="8"/>
    <x v="7"/>
    <n v="179"/>
    <n v="176"/>
    <n v="-3"/>
    <n v="-1.6759776536312849"/>
    <x v="0"/>
    <n v="2.67"/>
    <n v="1"/>
    <n v="3"/>
    <n v="0.66749999999999998"/>
    <n v="0.80099999999999993"/>
    <x v="0"/>
    <n v="0"/>
    <s v="Ja - 20% Reduzierung"/>
    <n v="20"/>
    <n v="0.71"/>
    <n v="9"/>
    <n v="1.6"/>
    <x v="2"/>
    <x v="4"/>
  </r>
  <r>
    <s v="F003"/>
    <x v="2"/>
    <s v="A010"/>
    <s v="Schmand 200g"/>
    <x v="4"/>
    <n v="0.89"/>
    <n v="9"/>
    <x v="8"/>
    <n v="154"/>
    <n v="152"/>
    <n v="-2"/>
    <n v="-1.2987012987012987"/>
    <x v="0"/>
    <n v="1.78"/>
    <n v="3"/>
    <n v="1"/>
    <n v="0.44500000000000001"/>
    <n v="0.53400000000000003"/>
    <x v="0"/>
    <n v="0"/>
    <s v="Ja - 20% Reduzierung"/>
    <n v="20"/>
    <n v="0.71"/>
    <n v="15"/>
    <n v="2.67"/>
    <x v="1"/>
    <x v="5"/>
  </r>
  <r>
    <s v="F003"/>
    <x v="2"/>
    <s v="A010"/>
    <s v="Schmand 200g"/>
    <x v="4"/>
    <n v="0.89"/>
    <n v="10"/>
    <x v="9"/>
    <n v="162"/>
    <n v="159"/>
    <n v="-3"/>
    <n v="-1.8518518518518516"/>
    <x v="0"/>
    <n v="2.67"/>
    <n v="11"/>
    <n v="5"/>
    <n v="0.66749999999999998"/>
    <n v="0.80099999999999993"/>
    <x v="0"/>
    <n v="0"/>
    <s v="Nein"/>
    <n v="0"/>
    <n v="0.89"/>
    <n v="0"/>
    <n v="0"/>
    <x v="0"/>
    <x v="5"/>
  </r>
  <r>
    <s v="F003"/>
    <x v="2"/>
    <s v="A010"/>
    <s v="Schmand 200g"/>
    <x v="4"/>
    <n v="0.89"/>
    <n v="11"/>
    <x v="10"/>
    <n v="176"/>
    <n v="173"/>
    <n v="-3"/>
    <n v="-1.7045454545454544"/>
    <x v="0"/>
    <n v="2.67"/>
    <n v="2"/>
    <n v="1"/>
    <n v="0.66749999999999998"/>
    <n v="0.80099999999999993"/>
    <x v="3"/>
    <n v="0"/>
    <s v="Ja - 20% Reduzierung"/>
    <n v="20"/>
    <n v="0.71"/>
    <n v="26"/>
    <n v="4.63"/>
    <x v="1"/>
    <x v="5"/>
  </r>
  <r>
    <s v="F003"/>
    <x v="2"/>
    <s v="A010"/>
    <s v="Schmand 200g"/>
    <x v="4"/>
    <n v="0.89"/>
    <n v="12"/>
    <x v="11"/>
    <n v="215"/>
    <n v="208"/>
    <n v="-7"/>
    <n v="-3.2558139534883721"/>
    <x v="0"/>
    <n v="6.23"/>
    <n v="7"/>
    <n v="0"/>
    <n v="1.5575000000000001"/>
    <n v="1.869"/>
    <x v="4"/>
    <n v="0"/>
    <s v="Nein"/>
    <n v="0"/>
    <n v="0.89"/>
    <n v="0"/>
    <n v="0"/>
    <x v="0"/>
    <x v="1"/>
  </r>
  <r>
    <s v="F003"/>
    <x v="2"/>
    <s v="A011"/>
    <s v="Mozzarella 125g"/>
    <x v="2"/>
    <n v="1.19"/>
    <n v="1"/>
    <x v="0"/>
    <n v="253"/>
    <n v="248"/>
    <n v="-5"/>
    <n v="-1.9762845849802373"/>
    <x v="0"/>
    <n v="5.9499999999999993"/>
    <n v="5"/>
    <n v="4"/>
    <n v="1.4874999999999998"/>
    <n v="1.7849999999999997"/>
    <x v="0"/>
    <n v="0"/>
    <s v="Nein"/>
    <n v="0"/>
    <n v="1.19"/>
    <n v="0"/>
    <n v="0"/>
    <x v="0"/>
    <x v="5"/>
  </r>
  <r>
    <s v="F003"/>
    <x v="2"/>
    <s v="A011"/>
    <s v="Mozzarella 125g"/>
    <x v="2"/>
    <n v="1.19"/>
    <n v="2"/>
    <x v="1"/>
    <n v="241"/>
    <n v="245"/>
    <n v="4"/>
    <n v="1.6597510373443984"/>
    <x v="1"/>
    <n v="4.76"/>
    <n v="5"/>
    <n v="2"/>
    <n v="0"/>
    <n v="0"/>
    <x v="1"/>
    <n v="4"/>
    <s v="Nein"/>
    <n v="0"/>
    <n v="1.19"/>
    <n v="0"/>
    <n v="0"/>
    <x v="0"/>
    <x v="2"/>
  </r>
  <r>
    <s v="F003"/>
    <x v="2"/>
    <s v="A011"/>
    <s v="Mozzarella 125g"/>
    <x v="2"/>
    <n v="1.19"/>
    <n v="3"/>
    <x v="2"/>
    <n v="292"/>
    <n v="296"/>
    <n v="4"/>
    <n v="1.3698630136986301"/>
    <x v="1"/>
    <n v="4.76"/>
    <n v="3"/>
    <n v="3"/>
    <n v="0"/>
    <n v="0"/>
    <x v="0"/>
    <n v="4"/>
    <s v="Ja - 20% Reduzierung"/>
    <n v="20"/>
    <n v="0.95"/>
    <n v="20"/>
    <n v="4.76"/>
    <x v="1"/>
    <x v="2"/>
  </r>
  <r>
    <s v="F003"/>
    <x v="2"/>
    <s v="A011"/>
    <s v="Mozzarella 125g"/>
    <x v="2"/>
    <n v="1.19"/>
    <n v="4"/>
    <x v="3"/>
    <n v="344"/>
    <n v="334"/>
    <n v="-10"/>
    <n v="-2.9069767441860463"/>
    <x v="0"/>
    <n v="11.899999999999999"/>
    <n v="2"/>
    <n v="2"/>
    <n v="2.9749999999999996"/>
    <n v="3.5699999999999994"/>
    <x v="2"/>
    <n v="0"/>
    <s v="Ja - 20% Reduzierung"/>
    <n v="20"/>
    <n v="0.95"/>
    <n v="41"/>
    <n v="9.76"/>
    <x v="3"/>
    <x v="4"/>
  </r>
  <r>
    <s v="F003"/>
    <x v="2"/>
    <s v="A011"/>
    <s v="Mozzarella 125g"/>
    <x v="2"/>
    <n v="1.19"/>
    <n v="5"/>
    <x v="4"/>
    <n v="262"/>
    <n v="252"/>
    <n v="-10"/>
    <n v="-3.8167938931297711"/>
    <x v="0"/>
    <n v="11.899999999999999"/>
    <n v="7"/>
    <n v="3"/>
    <n v="2.9749999999999996"/>
    <n v="3.5699999999999994"/>
    <x v="0"/>
    <n v="0"/>
    <s v="Nein"/>
    <n v="0"/>
    <n v="1.19"/>
    <n v="0"/>
    <n v="0"/>
    <x v="0"/>
    <x v="0"/>
  </r>
  <r>
    <s v="F003"/>
    <x v="2"/>
    <s v="A011"/>
    <s v="Mozzarella 125g"/>
    <x v="2"/>
    <n v="1.19"/>
    <n v="6"/>
    <x v="5"/>
    <n v="285"/>
    <n v="278"/>
    <n v="-7"/>
    <n v="-2.4561403508771931"/>
    <x v="0"/>
    <n v="8.33"/>
    <n v="8"/>
    <n v="2"/>
    <n v="2.0825"/>
    <n v="2.4990000000000001"/>
    <x v="0"/>
    <n v="0"/>
    <s v="Nein"/>
    <n v="0"/>
    <n v="1.19"/>
    <n v="0"/>
    <n v="0"/>
    <x v="0"/>
    <x v="0"/>
  </r>
  <r>
    <s v="F003"/>
    <x v="2"/>
    <s v="A011"/>
    <s v="Mozzarella 125g"/>
    <x v="2"/>
    <n v="1.19"/>
    <n v="7"/>
    <x v="6"/>
    <n v="324"/>
    <n v="307"/>
    <n v="-17"/>
    <n v="-5.2469135802469129"/>
    <x v="0"/>
    <n v="20.23"/>
    <n v="2"/>
    <n v="3"/>
    <n v="5.0575000000000001"/>
    <n v="6.069"/>
    <x v="0"/>
    <n v="0"/>
    <s v="Ja - 20% Reduzierung"/>
    <n v="20"/>
    <n v="0.95"/>
    <n v="45"/>
    <n v="10.71"/>
    <x v="1"/>
    <x v="0"/>
  </r>
  <r>
    <s v="F003"/>
    <x v="2"/>
    <s v="A011"/>
    <s v="Mozzarella 125g"/>
    <x v="2"/>
    <n v="1.19"/>
    <n v="8"/>
    <x v="7"/>
    <n v="326"/>
    <n v="326"/>
    <n v="0"/>
    <n v="0"/>
    <x v="2"/>
    <n v="0"/>
    <n v="8"/>
    <n v="1"/>
    <n v="0"/>
    <n v="0"/>
    <x v="0"/>
    <n v="0"/>
    <s v="Nein"/>
    <n v="0"/>
    <n v="1.19"/>
    <n v="0"/>
    <n v="0"/>
    <x v="0"/>
    <x v="5"/>
  </r>
  <r>
    <s v="F003"/>
    <x v="2"/>
    <s v="A011"/>
    <s v="Mozzarella 125g"/>
    <x v="2"/>
    <n v="1.19"/>
    <n v="9"/>
    <x v="8"/>
    <n v="259"/>
    <n v="248"/>
    <n v="-11"/>
    <n v="-4.2471042471042466"/>
    <x v="0"/>
    <n v="13.09"/>
    <n v="6"/>
    <n v="0"/>
    <n v="3.2725"/>
    <n v="3.9269999999999996"/>
    <x v="0"/>
    <n v="0"/>
    <s v="Nein"/>
    <n v="0"/>
    <n v="1.19"/>
    <n v="0"/>
    <n v="0"/>
    <x v="0"/>
    <x v="1"/>
  </r>
  <r>
    <s v="F003"/>
    <x v="2"/>
    <s v="A011"/>
    <s v="Mozzarella 125g"/>
    <x v="2"/>
    <n v="1.19"/>
    <n v="10"/>
    <x v="9"/>
    <n v="273"/>
    <n v="277"/>
    <n v="4"/>
    <n v="1.4652014652014651"/>
    <x v="1"/>
    <n v="4.76"/>
    <n v="8"/>
    <n v="1"/>
    <n v="0"/>
    <n v="0"/>
    <x v="0"/>
    <n v="4"/>
    <s v="Nein"/>
    <n v="0"/>
    <n v="1.19"/>
    <n v="0"/>
    <n v="0"/>
    <x v="0"/>
    <x v="2"/>
  </r>
  <r>
    <s v="F003"/>
    <x v="2"/>
    <s v="A011"/>
    <s v="Mozzarella 125g"/>
    <x v="2"/>
    <n v="1.19"/>
    <n v="11"/>
    <x v="10"/>
    <n v="300"/>
    <n v="290"/>
    <n v="-10"/>
    <n v="-3.3333333333333335"/>
    <x v="0"/>
    <n v="11.899999999999999"/>
    <n v="9"/>
    <n v="2"/>
    <n v="2.9749999999999996"/>
    <n v="3.5699999999999994"/>
    <x v="3"/>
    <n v="0"/>
    <s v="Nein"/>
    <n v="0"/>
    <n v="1.19"/>
    <n v="0"/>
    <n v="0"/>
    <x v="0"/>
    <x v="0"/>
  </r>
  <r>
    <s v="F003"/>
    <x v="2"/>
    <s v="A011"/>
    <s v="Mozzarella 125g"/>
    <x v="2"/>
    <n v="1.19"/>
    <n v="12"/>
    <x v="11"/>
    <n v="367"/>
    <n v="374"/>
    <n v="7"/>
    <n v="1.9073569482288828"/>
    <x v="1"/>
    <n v="8.33"/>
    <n v="3"/>
    <n v="2"/>
    <n v="0"/>
    <n v="0"/>
    <x v="4"/>
    <n v="7"/>
    <s v="Ja - 20% Reduzierung"/>
    <n v="20"/>
    <n v="0.95"/>
    <n v="37"/>
    <n v="8.81"/>
    <x v="2"/>
    <x v="4"/>
  </r>
  <r>
    <s v="F003"/>
    <x v="2"/>
    <s v="A012"/>
    <s v="Quark 500g"/>
    <x v="5"/>
    <n v="1.39"/>
    <n v="1"/>
    <x v="0"/>
    <n v="337"/>
    <n v="340"/>
    <n v="3"/>
    <n v="0.89020771513353114"/>
    <x v="1"/>
    <n v="4.17"/>
    <n v="13"/>
    <n v="4"/>
    <n v="0"/>
    <n v="0"/>
    <x v="0"/>
    <n v="3"/>
    <s v="Nein"/>
    <n v="0"/>
    <n v="1.39"/>
    <n v="0"/>
    <n v="0"/>
    <x v="0"/>
    <x v="2"/>
  </r>
  <r>
    <s v="F003"/>
    <x v="2"/>
    <s v="A012"/>
    <s v="Quark 500g"/>
    <x v="5"/>
    <n v="1.39"/>
    <n v="2"/>
    <x v="1"/>
    <n v="291"/>
    <n v="281"/>
    <n v="-10"/>
    <n v="-3.4364261168384882"/>
    <x v="0"/>
    <n v="13.899999999999999"/>
    <n v="2"/>
    <n v="2"/>
    <n v="3.4749999999999996"/>
    <n v="4.169999999999999"/>
    <x v="1"/>
    <n v="0"/>
    <s v="Ja - 20% Reduzierung"/>
    <n v="20"/>
    <n v="1.1100000000000001"/>
    <n v="23"/>
    <n v="6.39"/>
    <x v="1"/>
    <x v="0"/>
  </r>
  <r>
    <s v="F003"/>
    <x v="2"/>
    <s v="A012"/>
    <s v="Quark 500g"/>
    <x v="5"/>
    <n v="1.39"/>
    <n v="3"/>
    <x v="2"/>
    <n v="397"/>
    <n v="383"/>
    <n v="-14"/>
    <n v="-3.5264483627204033"/>
    <x v="0"/>
    <n v="19.459999999999997"/>
    <n v="14"/>
    <n v="2"/>
    <n v="4.8649999999999993"/>
    <n v="5.8379999999999992"/>
    <x v="0"/>
    <n v="0"/>
    <s v="Nein"/>
    <n v="0"/>
    <n v="1.39"/>
    <n v="0"/>
    <n v="0"/>
    <x v="0"/>
    <x v="0"/>
  </r>
  <r>
    <s v="F003"/>
    <x v="2"/>
    <s v="A012"/>
    <s v="Quark 500g"/>
    <x v="5"/>
    <n v="1.39"/>
    <n v="4"/>
    <x v="3"/>
    <n v="446"/>
    <n v="436"/>
    <n v="-10"/>
    <n v="-2.2421524663677128"/>
    <x v="0"/>
    <n v="13.899999999999999"/>
    <n v="1"/>
    <n v="5"/>
    <n v="3.4749999999999996"/>
    <n v="4.169999999999999"/>
    <x v="2"/>
    <n v="0"/>
    <s v="Ja - 20% Reduzierung"/>
    <n v="20"/>
    <n v="1.1100000000000001"/>
    <n v="36"/>
    <n v="10.01"/>
    <x v="1"/>
    <x v="0"/>
  </r>
  <r>
    <s v="F003"/>
    <x v="2"/>
    <s v="A012"/>
    <s v="Quark 500g"/>
    <x v="5"/>
    <n v="1.39"/>
    <n v="5"/>
    <x v="4"/>
    <n v="378"/>
    <n v="370"/>
    <n v="-8"/>
    <n v="-2.1164021164021163"/>
    <x v="0"/>
    <n v="11.12"/>
    <n v="14"/>
    <n v="1"/>
    <n v="2.78"/>
    <n v="3.3359999999999999"/>
    <x v="0"/>
    <n v="0"/>
    <s v="Nein"/>
    <n v="0"/>
    <n v="1.39"/>
    <n v="0"/>
    <n v="0"/>
    <x v="0"/>
    <x v="1"/>
  </r>
  <r>
    <s v="F003"/>
    <x v="2"/>
    <s v="A012"/>
    <s v="Quark 500g"/>
    <x v="5"/>
    <n v="1.39"/>
    <n v="6"/>
    <x v="5"/>
    <n v="392"/>
    <n v="382"/>
    <n v="-10"/>
    <n v="-2.5510204081632653"/>
    <x v="0"/>
    <n v="13.899999999999999"/>
    <n v="4"/>
    <n v="5"/>
    <n v="3.4749999999999996"/>
    <n v="4.169999999999999"/>
    <x v="0"/>
    <n v="0"/>
    <s v="Nein"/>
    <n v="0"/>
    <n v="1.39"/>
    <n v="0"/>
    <n v="0"/>
    <x v="0"/>
    <x v="0"/>
  </r>
  <r>
    <s v="F003"/>
    <x v="2"/>
    <s v="A012"/>
    <s v="Quark 500g"/>
    <x v="5"/>
    <n v="1.39"/>
    <n v="7"/>
    <x v="6"/>
    <n v="449"/>
    <n v="457"/>
    <n v="8"/>
    <n v="1.7817371937639197"/>
    <x v="1"/>
    <n v="11.12"/>
    <n v="7"/>
    <n v="4"/>
    <n v="0"/>
    <n v="0"/>
    <x v="0"/>
    <n v="8"/>
    <s v="Nein"/>
    <n v="0"/>
    <n v="1.39"/>
    <n v="0"/>
    <n v="0"/>
    <x v="0"/>
    <x v="2"/>
  </r>
  <r>
    <s v="F003"/>
    <x v="2"/>
    <s v="A012"/>
    <s v="Quark 500g"/>
    <x v="5"/>
    <n v="1.39"/>
    <n v="8"/>
    <x v="7"/>
    <n v="393"/>
    <n v="381"/>
    <n v="-12"/>
    <n v="-3.0534351145038165"/>
    <x v="0"/>
    <n v="16.68"/>
    <n v="7"/>
    <n v="1"/>
    <n v="4.17"/>
    <n v="5.0039999999999996"/>
    <x v="0"/>
    <n v="0"/>
    <s v="Nein"/>
    <n v="0"/>
    <n v="1.39"/>
    <n v="0"/>
    <n v="0"/>
    <x v="0"/>
    <x v="1"/>
  </r>
  <r>
    <s v="F003"/>
    <x v="2"/>
    <s v="A012"/>
    <s v="Quark 500g"/>
    <x v="5"/>
    <n v="1.39"/>
    <n v="9"/>
    <x v="8"/>
    <n v="342"/>
    <n v="333"/>
    <n v="-9"/>
    <n v="-2.6315789473684208"/>
    <x v="0"/>
    <n v="12.51"/>
    <n v="6"/>
    <n v="3"/>
    <n v="3.1274999999999999"/>
    <n v="3.7529999999999997"/>
    <x v="0"/>
    <n v="0"/>
    <s v="Nein"/>
    <n v="0"/>
    <n v="1.39"/>
    <n v="0"/>
    <n v="0"/>
    <x v="0"/>
    <x v="0"/>
  </r>
  <r>
    <s v="F003"/>
    <x v="2"/>
    <s v="A012"/>
    <s v="Quark 500g"/>
    <x v="5"/>
    <n v="1.39"/>
    <n v="10"/>
    <x v="9"/>
    <n v="371"/>
    <n v="365"/>
    <n v="-6"/>
    <n v="-1.6172506738544474"/>
    <x v="0"/>
    <n v="8.34"/>
    <n v="14"/>
    <n v="0"/>
    <n v="2.085"/>
    <n v="2.5019999999999998"/>
    <x v="0"/>
    <n v="0"/>
    <s v="Nein"/>
    <n v="0"/>
    <n v="1.39"/>
    <n v="0"/>
    <n v="0"/>
    <x v="0"/>
    <x v="5"/>
  </r>
  <r>
    <s v="F003"/>
    <x v="2"/>
    <s v="A012"/>
    <s v="Quark 500g"/>
    <x v="5"/>
    <n v="1.39"/>
    <n v="11"/>
    <x v="10"/>
    <n v="388"/>
    <n v="381"/>
    <n v="-7"/>
    <n v="-1.804123711340206"/>
    <x v="0"/>
    <n v="9.7299999999999986"/>
    <n v="12"/>
    <n v="2"/>
    <n v="2.4324999999999997"/>
    <n v="2.9189999999999996"/>
    <x v="3"/>
    <n v="0"/>
    <s v="Nein"/>
    <n v="0"/>
    <n v="1.39"/>
    <n v="0"/>
    <n v="0"/>
    <x v="0"/>
    <x v="5"/>
  </r>
  <r>
    <s v="F003"/>
    <x v="2"/>
    <s v="A012"/>
    <s v="Quark 500g"/>
    <x v="5"/>
    <n v="1.39"/>
    <n v="12"/>
    <x v="11"/>
    <n v="529"/>
    <n v="518"/>
    <n v="-11"/>
    <n v="-2.0793950850661624"/>
    <x v="0"/>
    <n v="15.29"/>
    <n v="0"/>
    <n v="4"/>
    <n v="3.8224999999999998"/>
    <n v="4.5869999999999997"/>
    <x v="4"/>
    <n v="0"/>
    <s v="Abschreibung"/>
    <n v="100"/>
    <n v="0"/>
    <n v="11"/>
    <n v="15.29"/>
    <x v="1"/>
    <x v="3"/>
  </r>
  <r>
    <s v="F003"/>
    <x v="2"/>
    <s v="A013"/>
    <s v="Skyr 450g"/>
    <x v="3"/>
    <n v="1.99"/>
    <n v="1"/>
    <x v="0"/>
    <n v="200"/>
    <n v="194"/>
    <n v="-6"/>
    <n v="-3"/>
    <x v="0"/>
    <n v="11.94"/>
    <n v="11"/>
    <n v="3"/>
    <n v="2.9849999999999999"/>
    <n v="3.5819999999999999"/>
    <x v="0"/>
    <n v="0"/>
    <s v="Nein"/>
    <n v="0"/>
    <n v="1.99"/>
    <n v="0"/>
    <n v="0"/>
    <x v="0"/>
    <x v="0"/>
  </r>
  <r>
    <s v="F003"/>
    <x v="2"/>
    <s v="A013"/>
    <s v="Skyr 450g"/>
    <x v="3"/>
    <n v="1.99"/>
    <n v="2"/>
    <x v="1"/>
    <n v="201"/>
    <n v="198"/>
    <n v="-3"/>
    <n v="-1.4925373134328357"/>
    <x v="0"/>
    <n v="5.97"/>
    <n v="20"/>
    <n v="7"/>
    <n v="1.4924999999999999"/>
    <n v="1.7909999999999999"/>
    <x v="1"/>
    <n v="0"/>
    <s v="Nein"/>
    <n v="0"/>
    <n v="1.99"/>
    <n v="0"/>
    <n v="0"/>
    <x v="0"/>
    <x v="5"/>
  </r>
  <r>
    <s v="F003"/>
    <x v="2"/>
    <s v="A013"/>
    <s v="Skyr 450g"/>
    <x v="3"/>
    <n v="1.99"/>
    <n v="3"/>
    <x v="2"/>
    <n v="234"/>
    <n v="226"/>
    <n v="-8"/>
    <n v="-3.4188034188034191"/>
    <x v="0"/>
    <n v="15.92"/>
    <n v="19"/>
    <n v="4"/>
    <n v="3.98"/>
    <n v="4.7759999999999998"/>
    <x v="0"/>
    <n v="0"/>
    <s v="Nein"/>
    <n v="0"/>
    <n v="1.99"/>
    <n v="0"/>
    <n v="0"/>
    <x v="0"/>
    <x v="0"/>
  </r>
  <r>
    <s v="F003"/>
    <x v="2"/>
    <s v="A013"/>
    <s v="Skyr 450g"/>
    <x v="3"/>
    <n v="1.99"/>
    <n v="4"/>
    <x v="3"/>
    <n v="273"/>
    <n v="265"/>
    <n v="-8"/>
    <n v="-2.9304029304029302"/>
    <x v="0"/>
    <n v="15.92"/>
    <n v="9"/>
    <n v="7"/>
    <n v="3.98"/>
    <n v="4.7759999999999998"/>
    <x v="2"/>
    <n v="0"/>
    <s v="Nein"/>
    <n v="0"/>
    <n v="1.99"/>
    <n v="0"/>
    <n v="0"/>
    <x v="0"/>
    <x v="0"/>
  </r>
  <r>
    <s v="F003"/>
    <x v="2"/>
    <s v="A013"/>
    <s v="Skyr 450g"/>
    <x v="3"/>
    <n v="1.99"/>
    <n v="5"/>
    <x v="4"/>
    <n v="236"/>
    <n v="231"/>
    <n v="-5"/>
    <n v="-2.1186440677966099"/>
    <x v="0"/>
    <n v="9.9499999999999993"/>
    <n v="13"/>
    <n v="0"/>
    <n v="2.4874999999999998"/>
    <n v="2.9849999999999999"/>
    <x v="0"/>
    <n v="0"/>
    <s v="Nein"/>
    <n v="0"/>
    <n v="1.99"/>
    <n v="0"/>
    <n v="0"/>
    <x v="0"/>
    <x v="1"/>
  </r>
  <r>
    <s v="F003"/>
    <x v="2"/>
    <s v="A013"/>
    <s v="Skyr 450g"/>
    <x v="3"/>
    <n v="1.99"/>
    <n v="6"/>
    <x v="5"/>
    <n v="235"/>
    <n v="235"/>
    <n v="0"/>
    <n v="0"/>
    <x v="2"/>
    <n v="0"/>
    <n v="0"/>
    <n v="3"/>
    <n v="0"/>
    <n v="0"/>
    <x v="0"/>
    <n v="0"/>
    <s v="Abschreibung"/>
    <n v="100"/>
    <n v="0"/>
    <n v="2"/>
    <n v="3.98"/>
    <x v="1"/>
    <x v="3"/>
  </r>
  <r>
    <s v="F003"/>
    <x v="2"/>
    <s v="A013"/>
    <s v="Skyr 450g"/>
    <x v="3"/>
    <n v="1.99"/>
    <n v="7"/>
    <x v="6"/>
    <n v="259"/>
    <n v="249"/>
    <n v="-10"/>
    <n v="-3.8610038610038608"/>
    <x v="0"/>
    <n v="19.899999999999999"/>
    <n v="14"/>
    <n v="3"/>
    <n v="4.9749999999999996"/>
    <n v="5.97"/>
    <x v="0"/>
    <n v="0"/>
    <s v="Nein"/>
    <n v="0"/>
    <n v="1.99"/>
    <n v="0"/>
    <n v="0"/>
    <x v="0"/>
    <x v="0"/>
  </r>
  <r>
    <s v="F003"/>
    <x v="2"/>
    <s v="A013"/>
    <s v="Skyr 450g"/>
    <x v="3"/>
    <n v="1.99"/>
    <n v="8"/>
    <x v="7"/>
    <n v="251"/>
    <n v="245"/>
    <n v="-6"/>
    <n v="-2.3904382470119523"/>
    <x v="0"/>
    <n v="11.94"/>
    <n v="21"/>
    <n v="6"/>
    <n v="2.9849999999999999"/>
    <n v="3.5819999999999999"/>
    <x v="0"/>
    <n v="0"/>
    <s v="Nein"/>
    <n v="0"/>
    <n v="1.99"/>
    <n v="0"/>
    <n v="0"/>
    <x v="0"/>
    <x v="0"/>
  </r>
  <r>
    <s v="F003"/>
    <x v="2"/>
    <s v="A013"/>
    <s v="Skyr 450g"/>
    <x v="3"/>
    <n v="1.99"/>
    <n v="9"/>
    <x v="8"/>
    <n v="214"/>
    <n v="210"/>
    <n v="-4"/>
    <n v="-1.8691588785046727"/>
    <x v="0"/>
    <n v="7.96"/>
    <n v="4"/>
    <n v="1"/>
    <n v="1.99"/>
    <n v="2.3879999999999999"/>
    <x v="0"/>
    <n v="0"/>
    <s v="Nein"/>
    <n v="0"/>
    <n v="1.99"/>
    <n v="0"/>
    <n v="0"/>
    <x v="0"/>
    <x v="5"/>
  </r>
  <r>
    <s v="F003"/>
    <x v="2"/>
    <s v="A013"/>
    <s v="Skyr 450g"/>
    <x v="3"/>
    <n v="1.99"/>
    <n v="10"/>
    <x v="9"/>
    <n v="221"/>
    <n v="214"/>
    <n v="-7"/>
    <n v="-3.1674208144796379"/>
    <x v="0"/>
    <n v="13.93"/>
    <n v="0"/>
    <n v="6"/>
    <n v="3.4824999999999999"/>
    <n v="4.1789999999999994"/>
    <x v="0"/>
    <n v="0"/>
    <s v="Abschreibung"/>
    <n v="100"/>
    <n v="0"/>
    <n v="4"/>
    <n v="7.96"/>
    <x v="1"/>
    <x v="3"/>
  </r>
  <r>
    <s v="F003"/>
    <x v="2"/>
    <s v="A013"/>
    <s v="Skyr 450g"/>
    <x v="3"/>
    <n v="1.99"/>
    <n v="11"/>
    <x v="10"/>
    <n v="252"/>
    <n v="244"/>
    <n v="-8"/>
    <n v="-3.1746031746031744"/>
    <x v="0"/>
    <n v="15.92"/>
    <n v="15"/>
    <n v="4"/>
    <n v="3.98"/>
    <n v="4.7759999999999998"/>
    <x v="3"/>
    <n v="0"/>
    <s v="Nein"/>
    <n v="0"/>
    <n v="1.99"/>
    <n v="0"/>
    <n v="0"/>
    <x v="0"/>
    <x v="0"/>
  </r>
  <r>
    <s v="F003"/>
    <x v="2"/>
    <s v="A013"/>
    <s v="Skyr 450g"/>
    <x v="3"/>
    <n v="1.99"/>
    <n v="12"/>
    <x v="11"/>
    <n v="324"/>
    <n v="313"/>
    <n v="-11"/>
    <n v="-3.3950617283950617"/>
    <x v="0"/>
    <n v="21.89"/>
    <n v="8"/>
    <n v="6"/>
    <n v="5.4725000000000001"/>
    <n v="6.5670000000000002"/>
    <x v="4"/>
    <n v="0"/>
    <s v="Nein"/>
    <n v="0"/>
    <n v="1.99"/>
    <n v="0"/>
    <n v="0"/>
    <x v="0"/>
    <x v="0"/>
  </r>
  <r>
    <s v="F003"/>
    <x v="2"/>
    <s v="A014"/>
    <s v="Kefir 500ml"/>
    <x v="0"/>
    <n v="1.39"/>
    <n v="1"/>
    <x v="0"/>
    <n v="120"/>
    <n v="116"/>
    <n v="-4"/>
    <n v="-3.3333333333333335"/>
    <x v="0"/>
    <n v="5.56"/>
    <n v="7"/>
    <n v="2"/>
    <n v="1.39"/>
    <n v="1.6679999999999999"/>
    <x v="0"/>
    <n v="0"/>
    <s v="Nein"/>
    <n v="0"/>
    <n v="1.39"/>
    <n v="0"/>
    <n v="0"/>
    <x v="0"/>
    <x v="0"/>
  </r>
  <r>
    <s v="F003"/>
    <x v="2"/>
    <s v="A014"/>
    <s v="Kefir 500ml"/>
    <x v="0"/>
    <n v="1.39"/>
    <n v="2"/>
    <x v="1"/>
    <n v="119"/>
    <n v="115"/>
    <n v="-4"/>
    <n v="-3.3613445378151261"/>
    <x v="0"/>
    <n v="5.56"/>
    <n v="1"/>
    <n v="4"/>
    <n v="1.39"/>
    <n v="1.6679999999999999"/>
    <x v="1"/>
    <n v="0"/>
    <s v="Ja - 20% Reduzierung"/>
    <n v="20"/>
    <n v="1.1100000000000001"/>
    <n v="12"/>
    <n v="3.34"/>
    <x v="1"/>
    <x v="0"/>
  </r>
  <r>
    <s v="F003"/>
    <x v="2"/>
    <s v="A014"/>
    <s v="Kefir 500ml"/>
    <x v="0"/>
    <n v="1.39"/>
    <n v="3"/>
    <x v="2"/>
    <n v="149"/>
    <n v="143"/>
    <n v="-6"/>
    <n v="-4.0268456375838921"/>
    <x v="0"/>
    <n v="8.34"/>
    <n v="10"/>
    <n v="1"/>
    <n v="2.085"/>
    <n v="2.5019999999999998"/>
    <x v="0"/>
    <n v="0"/>
    <s v="Nein"/>
    <n v="0"/>
    <n v="1.39"/>
    <n v="0"/>
    <n v="0"/>
    <x v="0"/>
    <x v="1"/>
  </r>
  <r>
    <s v="F003"/>
    <x v="2"/>
    <s v="A014"/>
    <s v="Kefir 500ml"/>
    <x v="0"/>
    <n v="1.39"/>
    <n v="4"/>
    <x v="3"/>
    <n v="164"/>
    <n v="159"/>
    <n v="-5"/>
    <n v="-3.0487804878048781"/>
    <x v="0"/>
    <n v="6.9499999999999993"/>
    <n v="9"/>
    <n v="4"/>
    <n v="1.7374999999999998"/>
    <n v="2.0849999999999995"/>
    <x v="2"/>
    <n v="0"/>
    <s v="Nein"/>
    <n v="0"/>
    <n v="1.39"/>
    <n v="0"/>
    <n v="0"/>
    <x v="0"/>
    <x v="0"/>
  </r>
  <r>
    <s v="F003"/>
    <x v="2"/>
    <s v="A014"/>
    <s v="Kefir 500ml"/>
    <x v="0"/>
    <n v="1.39"/>
    <n v="5"/>
    <x v="4"/>
    <n v="134"/>
    <n v="142"/>
    <n v="8"/>
    <n v="5.9701492537313428"/>
    <x v="1"/>
    <n v="11.12"/>
    <n v="4"/>
    <n v="0"/>
    <n v="0"/>
    <n v="0"/>
    <x v="0"/>
    <n v="8"/>
    <s v="Nein"/>
    <n v="0"/>
    <n v="1.39"/>
    <n v="0"/>
    <n v="0"/>
    <x v="0"/>
    <x v="2"/>
  </r>
  <r>
    <s v="F003"/>
    <x v="2"/>
    <s v="A014"/>
    <s v="Kefir 500ml"/>
    <x v="0"/>
    <n v="1.39"/>
    <n v="6"/>
    <x v="5"/>
    <n v="143"/>
    <n v="138"/>
    <n v="-5"/>
    <n v="-3.4965034965034967"/>
    <x v="0"/>
    <n v="6.9499999999999993"/>
    <n v="5"/>
    <n v="0"/>
    <n v="1.7374999999999998"/>
    <n v="2.0849999999999995"/>
    <x v="0"/>
    <n v="0"/>
    <s v="Nein"/>
    <n v="0"/>
    <n v="1.39"/>
    <n v="0"/>
    <n v="0"/>
    <x v="0"/>
    <x v="1"/>
  </r>
  <r>
    <s v="F003"/>
    <x v="2"/>
    <s v="A014"/>
    <s v="Kefir 500ml"/>
    <x v="0"/>
    <n v="1.39"/>
    <n v="7"/>
    <x v="6"/>
    <n v="162"/>
    <n v="157"/>
    <n v="-5"/>
    <n v="-3.0864197530864197"/>
    <x v="0"/>
    <n v="6.9499999999999993"/>
    <n v="7"/>
    <n v="1"/>
    <n v="1.7374999999999998"/>
    <n v="2.0849999999999995"/>
    <x v="0"/>
    <n v="0"/>
    <s v="Nein"/>
    <n v="0"/>
    <n v="1.39"/>
    <n v="0"/>
    <n v="0"/>
    <x v="0"/>
    <x v="1"/>
  </r>
  <r>
    <s v="F003"/>
    <x v="2"/>
    <s v="A014"/>
    <s v="Kefir 500ml"/>
    <x v="0"/>
    <n v="1.39"/>
    <n v="8"/>
    <x v="7"/>
    <n v="155"/>
    <n v="150"/>
    <n v="-5"/>
    <n v="-3.225806451612903"/>
    <x v="0"/>
    <n v="6.9499999999999993"/>
    <n v="6"/>
    <n v="2"/>
    <n v="1.7374999999999998"/>
    <n v="2.0849999999999995"/>
    <x v="0"/>
    <n v="0"/>
    <s v="Nein"/>
    <n v="0"/>
    <n v="1.39"/>
    <n v="0"/>
    <n v="0"/>
    <x v="0"/>
    <x v="0"/>
  </r>
  <r>
    <s v="F003"/>
    <x v="2"/>
    <s v="A014"/>
    <s v="Kefir 500ml"/>
    <x v="0"/>
    <n v="1.39"/>
    <n v="9"/>
    <x v="8"/>
    <n v="124"/>
    <n v="119"/>
    <n v="-5"/>
    <n v="-4.032258064516129"/>
    <x v="0"/>
    <n v="6.9499999999999993"/>
    <n v="7"/>
    <n v="0"/>
    <n v="1.7374999999999998"/>
    <n v="2.0849999999999995"/>
    <x v="0"/>
    <n v="0"/>
    <s v="Nein"/>
    <n v="0"/>
    <n v="1.39"/>
    <n v="0"/>
    <n v="0"/>
    <x v="0"/>
    <x v="1"/>
  </r>
  <r>
    <s v="F003"/>
    <x v="2"/>
    <s v="A014"/>
    <s v="Kefir 500ml"/>
    <x v="0"/>
    <n v="1.39"/>
    <n v="10"/>
    <x v="9"/>
    <n v="135"/>
    <n v="131"/>
    <n v="-4"/>
    <n v="-2.9629629629629632"/>
    <x v="0"/>
    <n v="5.56"/>
    <n v="7"/>
    <n v="2"/>
    <n v="1.39"/>
    <n v="1.6679999999999999"/>
    <x v="0"/>
    <n v="0"/>
    <s v="Nein"/>
    <n v="0"/>
    <n v="1.39"/>
    <n v="0"/>
    <n v="0"/>
    <x v="0"/>
    <x v="0"/>
  </r>
  <r>
    <s v="F003"/>
    <x v="2"/>
    <s v="A014"/>
    <s v="Kefir 500ml"/>
    <x v="0"/>
    <n v="1.39"/>
    <n v="11"/>
    <x v="10"/>
    <n v="141"/>
    <n v="135"/>
    <n v="-6"/>
    <n v="-4.2553191489361701"/>
    <x v="0"/>
    <n v="8.34"/>
    <n v="6"/>
    <n v="0"/>
    <n v="2.085"/>
    <n v="2.5019999999999998"/>
    <x v="3"/>
    <n v="0"/>
    <s v="Nein"/>
    <n v="0"/>
    <n v="1.39"/>
    <n v="0"/>
    <n v="0"/>
    <x v="0"/>
    <x v="1"/>
  </r>
  <r>
    <s v="F003"/>
    <x v="2"/>
    <s v="A014"/>
    <s v="Kefir 500ml"/>
    <x v="0"/>
    <n v="1.39"/>
    <n v="12"/>
    <x v="11"/>
    <n v="180"/>
    <n v="172"/>
    <n v="-8"/>
    <n v="-4.4444444444444446"/>
    <x v="0"/>
    <n v="11.12"/>
    <n v="0"/>
    <n v="0"/>
    <n v="2.78"/>
    <n v="3.3359999999999999"/>
    <x v="4"/>
    <n v="0"/>
    <s v="Abschreibung"/>
    <n v="100"/>
    <n v="0"/>
    <n v="4"/>
    <n v="5.56"/>
    <x v="1"/>
    <x v="3"/>
  </r>
  <r>
    <s v="F003"/>
    <x v="2"/>
    <s v="A015"/>
    <s v="Frischkäse 200g"/>
    <x v="2"/>
    <n v="1.49"/>
    <n v="1"/>
    <x v="0"/>
    <n v="154"/>
    <n v="152"/>
    <n v="-2"/>
    <n v="-1.2987012987012987"/>
    <x v="0"/>
    <n v="2.98"/>
    <n v="0"/>
    <n v="0"/>
    <n v="0.745"/>
    <n v="0.89400000000000002"/>
    <x v="0"/>
    <n v="0"/>
    <s v="Abschreibung"/>
    <n v="100"/>
    <n v="0"/>
    <n v="5"/>
    <n v="7.45"/>
    <x v="1"/>
    <x v="3"/>
  </r>
  <r>
    <s v="F003"/>
    <x v="2"/>
    <s v="A015"/>
    <s v="Frischkäse 200g"/>
    <x v="2"/>
    <n v="1.49"/>
    <n v="2"/>
    <x v="1"/>
    <n v="148"/>
    <n v="145"/>
    <n v="-3"/>
    <n v="-2.0270270270270272"/>
    <x v="0"/>
    <n v="4.47"/>
    <n v="20"/>
    <n v="6"/>
    <n v="1.1174999999999999"/>
    <n v="1.341"/>
    <x v="1"/>
    <n v="0"/>
    <s v="Nein"/>
    <n v="0"/>
    <n v="1.49"/>
    <n v="0"/>
    <n v="0"/>
    <x v="0"/>
    <x v="0"/>
  </r>
  <r>
    <s v="F003"/>
    <x v="2"/>
    <s v="A015"/>
    <s v="Frischkäse 200g"/>
    <x v="2"/>
    <n v="1.49"/>
    <n v="3"/>
    <x v="2"/>
    <n v="195"/>
    <n v="192"/>
    <n v="-3"/>
    <n v="-1.5384615384615385"/>
    <x v="0"/>
    <n v="4.47"/>
    <n v="19"/>
    <n v="4"/>
    <n v="1.1174999999999999"/>
    <n v="1.341"/>
    <x v="0"/>
    <n v="0"/>
    <s v="Nein"/>
    <n v="0"/>
    <n v="1.49"/>
    <n v="0"/>
    <n v="0"/>
    <x v="0"/>
    <x v="5"/>
  </r>
  <r>
    <s v="F003"/>
    <x v="2"/>
    <s v="A015"/>
    <s v="Frischkäse 200g"/>
    <x v="2"/>
    <n v="1.49"/>
    <n v="4"/>
    <x v="3"/>
    <n v="232"/>
    <n v="239"/>
    <n v="7"/>
    <n v="3.0172413793103448"/>
    <x v="1"/>
    <n v="10.43"/>
    <n v="9"/>
    <n v="3"/>
    <n v="0"/>
    <n v="0"/>
    <x v="2"/>
    <n v="7"/>
    <s v="Nein"/>
    <n v="0"/>
    <n v="1.49"/>
    <n v="0"/>
    <n v="0"/>
    <x v="0"/>
    <x v="2"/>
  </r>
  <r>
    <s v="F003"/>
    <x v="2"/>
    <s v="A015"/>
    <s v="Frischkäse 200g"/>
    <x v="2"/>
    <n v="1.49"/>
    <n v="5"/>
    <x v="4"/>
    <n v="185"/>
    <n v="180"/>
    <n v="-5"/>
    <n v="-2.7027027027027026"/>
    <x v="0"/>
    <n v="7.45"/>
    <n v="1"/>
    <n v="5"/>
    <n v="1.8625"/>
    <n v="2.2349999999999999"/>
    <x v="0"/>
    <n v="0"/>
    <s v="Ja - 20% Reduzierung"/>
    <n v="20"/>
    <n v="1.19"/>
    <n v="28"/>
    <n v="8.34"/>
    <x v="1"/>
    <x v="0"/>
  </r>
  <r>
    <s v="F003"/>
    <x v="2"/>
    <s v="A015"/>
    <s v="Frischkäse 200g"/>
    <x v="2"/>
    <n v="1.49"/>
    <n v="6"/>
    <x v="5"/>
    <n v="206"/>
    <n v="200"/>
    <n v="-6"/>
    <n v="-2.912621359223301"/>
    <x v="0"/>
    <n v="8.94"/>
    <n v="18"/>
    <n v="6"/>
    <n v="2.2349999999999999"/>
    <n v="2.6819999999999999"/>
    <x v="0"/>
    <n v="0"/>
    <s v="Nein"/>
    <n v="0"/>
    <n v="1.49"/>
    <n v="0"/>
    <n v="0"/>
    <x v="0"/>
    <x v="0"/>
  </r>
  <r>
    <s v="F003"/>
    <x v="2"/>
    <s v="A015"/>
    <s v="Frischkäse 200g"/>
    <x v="2"/>
    <n v="1.49"/>
    <n v="7"/>
    <x v="6"/>
    <n v="214"/>
    <n v="209"/>
    <n v="-5"/>
    <n v="-2.3364485981308412"/>
    <x v="0"/>
    <n v="7.45"/>
    <n v="6"/>
    <n v="2"/>
    <n v="1.8625"/>
    <n v="2.2349999999999999"/>
    <x v="0"/>
    <n v="0"/>
    <s v="Nein"/>
    <n v="0"/>
    <n v="1.49"/>
    <n v="0"/>
    <n v="0"/>
    <x v="0"/>
    <x v="0"/>
  </r>
  <r>
    <s v="F003"/>
    <x v="2"/>
    <s v="A015"/>
    <s v="Frischkäse 200g"/>
    <x v="2"/>
    <n v="1.49"/>
    <n v="8"/>
    <x v="7"/>
    <n v="197"/>
    <n v="194"/>
    <n v="-3"/>
    <n v="-1.5228426395939088"/>
    <x v="0"/>
    <n v="4.47"/>
    <n v="9"/>
    <n v="4"/>
    <n v="1.1174999999999999"/>
    <n v="1.341"/>
    <x v="0"/>
    <n v="0"/>
    <s v="Nein"/>
    <n v="0"/>
    <n v="1.49"/>
    <n v="0"/>
    <n v="0"/>
    <x v="0"/>
    <x v="5"/>
  </r>
  <r>
    <s v="F003"/>
    <x v="2"/>
    <s v="A015"/>
    <s v="Frischkäse 200g"/>
    <x v="2"/>
    <n v="1.49"/>
    <n v="9"/>
    <x v="8"/>
    <n v="162"/>
    <n v="160"/>
    <n v="-2"/>
    <n v="-1.2345679012345678"/>
    <x v="0"/>
    <n v="2.98"/>
    <n v="10"/>
    <n v="2"/>
    <n v="0.745"/>
    <n v="0.89400000000000002"/>
    <x v="0"/>
    <n v="0"/>
    <s v="Nein"/>
    <n v="0"/>
    <n v="1.49"/>
    <n v="0"/>
    <n v="0"/>
    <x v="0"/>
    <x v="5"/>
  </r>
  <r>
    <s v="F003"/>
    <x v="2"/>
    <s v="A015"/>
    <s v="Frischkäse 200g"/>
    <x v="2"/>
    <n v="1.49"/>
    <n v="10"/>
    <x v="9"/>
    <n v="182"/>
    <n v="177"/>
    <n v="-5"/>
    <n v="-2.7472527472527473"/>
    <x v="0"/>
    <n v="7.45"/>
    <n v="12"/>
    <n v="4"/>
    <n v="1.8625"/>
    <n v="2.2349999999999999"/>
    <x v="0"/>
    <n v="0"/>
    <s v="Nein"/>
    <n v="0"/>
    <n v="1.49"/>
    <n v="0"/>
    <n v="0"/>
    <x v="0"/>
    <x v="0"/>
  </r>
  <r>
    <s v="F003"/>
    <x v="2"/>
    <s v="A015"/>
    <s v="Frischkäse 200g"/>
    <x v="2"/>
    <n v="1.49"/>
    <n v="11"/>
    <x v="10"/>
    <n v="198"/>
    <n v="196"/>
    <n v="-2"/>
    <n v="-1.0101010101010102"/>
    <x v="0"/>
    <n v="2.98"/>
    <n v="11"/>
    <n v="5"/>
    <n v="0.745"/>
    <n v="0.89400000000000002"/>
    <x v="3"/>
    <n v="0"/>
    <s v="Nein"/>
    <n v="0"/>
    <n v="1.49"/>
    <n v="0"/>
    <n v="0"/>
    <x v="0"/>
    <x v="5"/>
  </r>
  <r>
    <s v="F003"/>
    <x v="2"/>
    <s v="A015"/>
    <s v="Frischkäse 200g"/>
    <x v="2"/>
    <n v="1.49"/>
    <n v="12"/>
    <x v="11"/>
    <n v="242"/>
    <n v="237"/>
    <n v="-5"/>
    <n v="-2.0661157024793391"/>
    <x v="0"/>
    <n v="7.45"/>
    <n v="17"/>
    <n v="4"/>
    <n v="1.8625"/>
    <n v="2.2349999999999999"/>
    <x v="4"/>
    <n v="0"/>
    <s v="Nein"/>
    <n v="0"/>
    <n v="1.49"/>
    <n v="0"/>
    <n v="0"/>
    <x v="0"/>
    <x v="0"/>
  </r>
  <r>
    <s v="F004"/>
    <x v="3"/>
    <s v="A001"/>
    <s v="Vollmilch 1L"/>
    <x v="0"/>
    <n v="1.19"/>
    <n v="1"/>
    <x v="0"/>
    <n v="510"/>
    <n v="510"/>
    <n v="0"/>
    <n v="0"/>
    <x v="2"/>
    <n v="0"/>
    <n v="0"/>
    <n v="3"/>
    <n v="0"/>
    <n v="0"/>
    <x v="0"/>
    <n v="0"/>
    <s v="Abschreibung"/>
    <n v="100"/>
    <n v="0"/>
    <n v="5"/>
    <n v="5.95"/>
    <x v="3"/>
    <x v="3"/>
  </r>
  <r>
    <s v="F004"/>
    <x v="3"/>
    <s v="A001"/>
    <s v="Vollmilch 1L"/>
    <x v="0"/>
    <n v="1.19"/>
    <n v="2"/>
    <x v="1"/>
    <n v="486"/>
    <n v="473"/>
    <n v="-13"/>
    <n v="-2.6748971193415638"/>
    <x v="0"/>
    <n v="15.469999999999999"/>
    <n v="6"/>
    <n v="3"/>
    <n v="3.8674999999999997"/>
    <n v="4.6409999999999991"/>
    <x v="1"/>
    <n v="0"/>
    <s v="Nein"/>
    <n v="0"/>
    <n v="1.19"/>
    <n v="0"/>
    <n v="0"/>
    <x v="0"/>
    <x v="0"/>
  </r>
  <r>
    <s v="F004"/>
    <x v="3"/>
    <s v="A001"/>
    <s v="Vollmilch 1L"/>
    <x v="0"/>
    <n v="1.19"/>
    <n v="3"/>
    <x v="2"/>
    <n v="601"/>
    <n v="571"/>
    <n v="-30"/>
    <n v="-4.9916805324459235"/>
    <x v="0"/>
    <n v="35.699999999999996"/>
    <n v="3"/>
    <n v="3"/>
    <n v="8.9249999999999989"/>
    <n v="10.709999999999999"/>
    <x v="0"/>
    <n v="0"/>
    <s v="Ja - 20% Reduzierung"/>
    <n v="20"/>
    <n v="0.95"/>
    <n v="30"/>
    <n v="7.14"/>
    <x v="1"/>
    <x v="0"/>
  </r>
  <r>
    <s v="F004"/>
    <x v="3"/>
    <s v="A001"/>
    <s v="Vollmilch 1L"/>
    <x v="0"/>
    <n v="1.19"/>
    <n v="4"/>
    <x v="3"/>
    <n v="701"/>
    <n v="662"/>
    <n v="-39"/>
    <n v="-5.5634807417974326"/>
    <x v="0"/>
    <n v="46.41"/>
    <n v="2"/>
    <n v="1"/>
    <n v="11.602499999999999"/>
    <n v="13.922999999999998"/>
    <x v="2"/>
    <n v="0"/>
    <s v="Ja - 20% Reduzierung"/>
    <n v="20"/>
    <n v="0.95"/>
    <n v="105"/>
    <n v="24.99"/>
    <x v="1"/>
    <x v="1"/>
  </r>
  <r>
    <s v="F004"/>
    <x v="3"/>
    <s v="A001"/>
    <s v="Vollmilch 1L"/>
    <x v="0"/>
    <n v="1.19"/>
    <n v="5"/>
    <x v="4"/>
    <n v="523"/>
    <n v="531"/>
    <n v="8"/>
    <n v="1.5296367112810707"/>
    <x v="1"/>
    <n v="9.52"/>
    <n v="4"/>
    <n v="0"/>
    <n v="0"/>
    <n v="0"/>
    <x v="0"/>
    <n v="8"/>
    <s v="Nein"/>
    <n v="0"/>
    <n v="1.19"/>
    <n v="0"/>
    <n v="0"/>
    <x v="0"/>
    <x v="2"/>
  </r>
  <r>
    <s v="F004"/>
    <x v="3"/>
    <s v="A001"/>
    <s v="Vollmilch 1L"/>
    <x v="0"/>
    <n v="1.19"/>
    <n v="6"/>
    <x v="5"/>
    <n v="599"/>
    <n v="575"/>
    <n v="-24"/>
    <n v="-4.006677796327212"/>
    <x v="0"/>
    <n v="28.56"/>
    <n v="1"/>
    <n v="1"/>
    <n v="7.14"/>
    <n v="8.5679999999999996"/>
    <x v="0"/>
    <n v="0"/>
    <s v="Ja - 20% Reduzierung"/>
    <n v="20"/>
    <n v="0.95"/>
    <n v="84"/>
    <n v="19.989999999999998"/>
    <x v="1"/>
    <x v="1"/>
  </r>
  <r>
    <s v="F004"/>
    <x v="3"/>
    <s v="A001"/>
    <s v="Vollmilch 1L"/>
    <x v="0"/>
    <n v="1.19"/>
    <n v="7"/>
    <x v="6"/>
    <n v="686"/>
    <n v="694"/>
    <n v="8"/>
    <n v="1.1661807580174928"/>
    <x v="1"/>
    <n v="9.52"/>
    <n v="4"/>
    <n v="3"/>
    <n v="0"/>
    <n v="0"/>
    <x v="0"/>
    <n v="8"/>
    <s v="Nein"/>
    <n v="0"/>
    <n v="1.19"/>
    <n v="0"/>
    <n v="0"/>
    <x v="0"/>
    <x v="2"/>
  </r>
  <r>
    <s v="F004"/>
    <x v="3"/>
    <s v="A001"/>
    <s v="Vollmilch 1L"/>
    <x v="0"/>
    <n v="1.19"/>
    <n v="8"/>
    <x v="7"/>
    <n v="620"/>
    <n v="623"/>
    <n v="3"/>
    <n v="0.4838709677419355"/>
    <x v="1"/>
    <n v="3.57"/>
    <n v="4"/>
    <n v="1"/>
    <n v="0"/>
    <n v="0"/>
    <x v="0"/>
    <n v="3"/>
    <s v="Nein"/>
    <n v="0"/>
    <n v="1.19"/>
    <n v="0"/>
    <n v="0"/>
    <x v="0"/>
    <x v="2"/>
  </r>
  <r>
    <s v="F004"/>
    <x v="3"/>
    <s v="A001"/>
    <s v="Vollmilch 1L"/>
    <x v="0"/>
    <n v="1.19"/>
    <n v="9"/>
    <x v="8"/>
    <n v="512"/>
    <n v="512"/>
    <n v="0"/>
    <n v="0"/>
    <x v="2"/>
    <n v="0"/>
    <n v="0"/>
    <n v="1"/>
    <n v="0"/>
    <n v="0"/>
    <x v="0"/>
    <n v="0"/>
    <s v="Abschreibung"/>
    <n v="100"/>
    <n v="0"/>
    <n v="10"/>
    <n v="11.9"/>
    <x v="1"/>
    <x v="3"/>
  </r>
  <r>
    <s v="F004"/>
    <x v="3"/>
    <s v="A001"/>
    <s v="Vollmilch 1L"/>
    <x v="0"/>
    <n v="1.19"/>
    <n v="10"/>
    <x v="9"/>
    <n v="523"/>
    <n v="497"/>
    <n v="-26"/>
    <n v="-4.9713193116634802"/>
    <x v="0"/>
    <n v="30.939999999999998"/>
    <n v="7"/>
    <n v="2"/>
    <n v="7.7349999999999994"/>
    <n v="9.2819999999999983"/>
    <x v="0"/>
    <n v="0"/>
    <s v="Nein"/>
    <n v="0"/>
    <n v="1.19"/>
    <n v="0"/>
    <n v="0"/>
    <x v="0"/>
    <x v="0"/>
  </r>
  <r>
    <s v="F004"/>
    <x v="3"/>
    <s v="A001"/>
    <s v="Vollmilch 1L"/>
    <x v="0"/>
    <n v="1.19"/>
    <n v="11"/>
    <x v="10"/>
    <n v="593"/>
    <n v="593"/>
    <n v="0"/>
    <n v="0"/>
    <x v="2"/>
    <n v="0"/>
    <n v="2"/>
    <n v="1"/>
    <n v="0"/>
    <n v="0"/>
    <x v="3"/>
    <n v="0"/>
    <s v="Ja - 20% Reduzierung"/>
    <n v="20"/>
    <n v="0.95"/>
    <n v="77"/>
    <n v="18.329999999999998"/>
    <x v="1"/>
    <x v="5"/>
  </r>
  <r>
    <s v="F004"/>
    <x v="3"/>
    <s v="A001"/>
    <s v="Vollmilch 1L"/>
    <x v="0"/>
    <n v="1.19"/>
    <n v="12"/>
    <x v="11"/>
    <n v="809"/>
    <n v="750"/>
    <n v="-59"/>
    <n v="-7.2929542645241039"/>
    <x v="0"/>
    <n v="70.209999999999994"/>
    <n v="2"/>
    <n v="2"/>
    <n v="17.552499999999998"/>
    <n v="21.062999999999999"/>
    <x v="4"/>
    <n v="0"/>
    <s v="Ja - 20% Reduzierung"/>
    <n v="20"/>
    <n v="0.95"/>
    <n v="81"/>
    <n v="19.28"/>
    <x v="1"/>
    <x v="0"/>
  </r>
  <r>
    <s v="F004"/>
    <x v="3"/>
    <s v="A002"/>
    <s v="Fettarme Milch 1L"/>
    <x v="0"/>
    <n v="1.0900000000000001"/>
    <n v="1"/>
    <x v="0"/>
    <n v="446"/>
    <n v="429"/>
    <n v="-17"/>
    <n v="-3.811659192825112"/>
    <x v="0"/>
    <n v="18.53"/>
    <n v="6"/>
    <n v="1"/>
    <n v="4.6325000000000003"/>
    <n v="5.5590000000000002"/>
    <x v="0"/>
    <n v="0"/>
    <s v="Nein"/>
    <n v="0"/>
    <n v="1.0900000000000001"/>
    <n v="0"/>
    <n v="0"/>
    <x v="0"/>
    <x v="1"/>
  </r>
  <r>
    <s v="F004"/>
    <x v="3"/>
    <s v="A002"/>
    <s v="Fettarme Milch 1L"/>
    <x v="0"/>
    <n v="1.0900000000000001"/>
    <n v="2"/>
    <x v="1"/>
    <n v="400"/>
    <n v="385"/>
    <n v="-15"/>
    <n v="-3.75"/>
    <x v="0"/>
    <n v="16.350000000000001"/>
    <n v="5"/>
    <n v="0"/>
    <n v="4.0875000000000004"/>
    <n v="4.9050000000000002"/>
    <x v="1"/>
    <n v="0"/>
    <s v="Nein"/>
    <n v="0"/>
    <n v="1.0900000000000001"/>
    <n v="0"/>
    <n v="0"/>
    <x v="0"/>
    <x v="1"/>
  </r>
  <r>
    <s v="F004"/>
    <x v="3"/>
    <s v="A002"/>
    <s v="Fettarme Milch 1L"/>
    <x v="0"/>
    <n v="1.0900000000000001"/>
    <n v="3"/>
    <x v="2"/>
    <n v="494"/>
    <n v="466"/>
    <n v="-28"/>
    <n v="-5.668016194331984"/>
    <x v="0"/>
    <n v="30.520000000000003"/>
    <n v="3"/>
    <n v="1"/>
    <n v="7.6300000000000008"/>
    <n v="9.1560000000000006"/>
    <x v="0"/>
    <n v="0"/>
    <s v="Ja - 20% Reduzierung"/>
    <n v="20"/>
    <n v="0.87"/>
    <n v="35"/>
    <n v="7.63"/>
    <x v="1"/>
    <x v="1"/>
  </r>
  <r>
    <s v="F004"/>
    <x v="3"/>
    <s v="A002"/>
    <s v="Fettarme Milch 1L"/>
    <x v="0"/>
    <n v="1.0900000000000001"/>
    <n v="4"/>
    <x v="3"/>
    <n v="637"/>
    <n v="638"/>
    <n v="1"/>
    <n v="0.15698587127158556"/>
    <x v="1"/>
    <n v="1.0900000000000001"/>
    <n v="3"/>
    <n v="3"/>
    <n v="0"/>
    <n v="0"/>
    <x v="2"/>
    <n v="1"/>
    <s v="Ja - 20% Reduzierung"/>
    <n v="20"/>
    <n v="0.87"/>
    <n v="83"/>
    <n v="18.09"/>
    <x v="1"/>
    <x v="2"/>
  </r>
  <r>
    <s v="F004"/>
    <x v="3"/>
    <s v="A002"/>
    <s v="Fettarme Milch 1L"/>
    <x v="0"/>
    <n v="1.0900000000000001"/>
    <n v="5"/>
    <x v="4"/>
    <n v="510"/>
    <n v="518"/>
    <n v="8"/>
    <n v="1.5686274509803921"/>
    <x v="1"/>
    <n v="8.7200000000000006"/>
    <n v="6"/>
    <n v="0"/>
    <n v="0"/>
    <n v="0"/>
    <x v="0"/>
    <n v="8"/>
    <s v="Nein"/>
    <n v="0"/>
    <n v="1.0900000000000001"/>
    <n v="0"/>
    <n v="0"/>
    <x v="0"/>
    <x v="2"/>
  </r>
  <r>
    <s v="F004"/>
    <x v="3"/>
    <s v="A002"/>
    <s v="Fettarme Milch 1L"/>
    <x v="0"/>
    <n v="1.0900000000000001"/>
    <n v="6"/>
    <x v="5"/>
    <n v="550"/>
    <n v="526"/>
    <n v="-24"/>
    <n v="-4.3636363636363642"/>
    <x v="0"/>
    <n v="26.160000000000004"/>
    <n v="5"/>
    <n v="2"/>
    <n v="6.5400000000000009"/>
    <n v="7.8480000000000008"/>
    <x v="0"/>
    <n v="0"/>
    <s v="Nein"/>
    <n v="0"/>
    <n v="1.0900000000000001"/>
    <n v="0"/>
    <n v="0"/>
    <x v="0"/>
    <x v="0"/>
  </r>
  <r>
    <s v="F004"/>
    <x v="3"/>
    <s v="A002"/>
    <s v="Fettarme Milch 1L"/>
    <x v="0"/>
    <n v="1.0900000000000001"/>
    <n v="7"/>
    <x v="6"/>
    <n v="594"/>
    <n v="596"/>
    <n v="2"/>
    <n v="0.33670033670033667"/>
    <x v="1"/>
    <n v="2.1800000000000002"/>
    <n v="2"/>
    <n v="2"/>
    <n v="0"/>
    <n v="0"/>
    <x v="0"/>
    <n v="2"/>
    <s v="Ja - 20% Reduzierung"/>
    <n v="20"/>
    <n v="0.87"/>
    <n v="42"/>
    <n v="9.16"/>
    <x v="1"/>
    <x v="2"/>
  </r>
  <r>
    <s v="F004"/>
    <x v="3"/>
    <s v="A002"/>
    <s v="Fettarme Milch 1L"/>
    <x v="0"/>
    <n v="1.0900000000000001"/>
    <n v="8"/>
    <x v="7"/>
    <n v="564"/>
    <n v="539"/>
    <n v="-25"/>
    <n v="-4.4326241134751774"/>
    <x v="0"/>
    <n v="27.250000000000004"/>
    <n v="7"/>
    <n v="1"/>
    <n v="6.8125000000000009"/>
    <n v="8.1750000000000007"/>
    <x v="0"/>
    <n v="0"/>
    <s v="Nein"/>
    <n v="0"/>
    <n v="1.0900000000000001"/>
    <n v="0"/>
    <n v="0"/>
    <x v="0"/>
    <x v="1"/>
  </r>
  <r>
    <s v="F004"/>
    <x v="3"/>
    <s v="A002"/>
    <s v="Fettarme Milch 1L"/>
    <x v="0"/>
    <n v="1.0900000000000001"/>
    <n v="9"/>
    <x v="8"/>
    <n v="480"/>
    <n v="457"/>
    <n v="-23"/>
    <n v="-4.791666666666667"/>
    <x v="0"/>
    <n v="25.07"/>
    <n v="3"/>
    <n v="0"/>
    <n v="6.2675000000000001"/>
    <n v="7.5209999999999999"/>
    <x v="0"/>
    <n v="0"/>
    <s v="Ja - 20% Reduzierung"/>
    <n v="20"/>
    <n v="0.87"/>
    <n v="38"/>
    <n v="8.2799999999999994"/>
    <x v="5"/>
    <x v="4"/>
  </r>
  <r>
    <s v="F004"/>
    <x v="3"/>
    <s v="A002"/>
    <s v="Fettarme Milch 1L"/>
    <x v="0"/>
    <n v="1.0900000000000001"/>
    <n v="10"/>
    <x v="9"/>
    <n v="475"/>
    <n v="451"/>
    <n v="-24"/>
    <n v="-5.0526315789473681"/>
    <x v="0"/>
    <n v="26.160000000000004"/>
    <n v="6"/>
    <n v="2"/>
    <n v="6.5400000000000009"/>
    <n v="7.8480000000000008"/>
    <x v="0"/>
    <n v="0"/>
    <s v="Nein"/>
    <n v="0"/>
    <n v="1.0900000000000001"/>
    <n v="0"/>
    <n v="0"/>
    <x v="0"/>
    <x v="0"/>
  </r>
  <r>
    <s v="F004"/>
    <x v="3"/>
    <s v="A002"/>
    <s v="Fettarme Milch 1L"/>
    <x v="0"/>
    <n v="1.0900000000000001"/>
    <n v="11"/>
    <x v="10"/>
    <n v="534"/>
    <n v="502"/>
    <n v="-32"/>
    <n v="-5.9925093632958806"/>
    <x v="0"/>
    <n v="34.880000000000003"/>
    <n v="0"/>
    <n v="0"/>
    <n v="8.7200000000000006"/>
    <n v="10.464"/>
    <x v="3"/>
    <n v="0"/>
    <s v="Abschreibung"/>
    <n v="100"/>
    <n v="0"/>
    <n v="5"/>
    <n v="5.45"/>
    <x v="1"/>
    <x v="3"/>
  </r>
  <r>
    <s v="F004"/>
    <x v="3"/>
    <s v="A002"/>
    <s v="Fettarme Milch 1L"/>
    <x v="0"/>
    <n v="1.0900000000000001"/>
    <n v="12"/>
    <x v="11"/>
    <n v="665"/>
    <n v="632"/>
    <n v="-33"/>
    <n v="-4.9624060150375939"/>
    <x v="0"/>
    <n v="35.970000000000006"/>
    <n v="4"/>
    <n v="0"/>
    <n v="8.9925000000000015"/>
    <n v="10.791000000000002"/>
    <x v="4"/>
    <n v="0"/>
    <s v="Nein"/>
    <n v="0"/>
    <n v="1.0900000000000001"/>
    <n v="0"/>
    <n v="0"/>
    <x v="0"/>
    <x v="1"/>
  </r>
  <r>
    <s v="F004"/>
    <x v="3"/>
    <s v="A003"/>
    <s v="Bio-Milch 1L"/>
    <x v="0"/>
    <n v="1.59"/>
    <n v="1"/>
    <x v="0"/>
    <n v="196"/>
    <n v="198"/>
    <n v="2"/>
    <n v="1.0204081632653061"/>
    <x v="1"/>
    <n v="3.18"/>
    <n v="7"/>
    <n v="3"/>
    <n v="0"/>
    <n v="0"/>
    <x v="0"/>
    <n v="2"/>
    <s v="Nein"/>
    <n v="0"/>
    <n v="1.59"/>
    <n v="0"/>
    <n v="0"/>
    <x v="0"/>
    <x v="2"/>
  </r>
  <r>
    <s v="F004"/>
    <x v="3"/>
    <s v="A003"/>
    <s v="Bio-Milch 1L"/>
    <x v="0"/>
    <n v="1.59"/>
    <n v="2"/>
    <x v="1"/>
    <n v="189"/>
    <n v="185"/>
    <n v="-4"/>
    <n v="-2.1164021164021163"/>
    <x v="0"/>
    <n v="6.36"/>
    <n v="0"/>
    <n v="0"/>
    <n v="1.59"/>
    <n v="1.9079999999999999"/>
    <x v="1"/>
    <n v="0"/>
    <s v="Abschreibung"/>
    <n v="100"/>
    <n v="0"/>
    <n v="6"/>
    <n v="9.5399999999999991"/>
    <x v="1"/>
    <x v="3"/>
  </r>
  <r>
    <s v="F004"/>
    <x v="3"/>
    <s v="A003"/>
    <s v="Bio-Milch 1L"/>
    <x v="0"/>
    <n v="1.59"/>
    <n v="3"/>
    <x v="2"/>
    <n v="224"/>
    <n v="228"/>
    <n v="4"/>
    <n v="1.7857142857142856"/>
    <x v="1"/>
    <n v="6.36"/>
    <n v="7"/>
    <n v="3"/>
    <n v="0"/>
    <n v="0"/>
    <x v="0"/>
    <n v="4"/>
    <s v="Nein"/>
    <n v="0"/>
    <n v="1.59"/>
    <n v="0"/>
    <n v="0"/>
    <x v="0"/>
    <x v="2"/>
  </r>
  <r>
    <s v="F004"/>
    <x v="3"/>
    <s v="A003"/>
    <s v="Bio-Milch 1L"/>
    <x v="0"/>
    <n v="1.59"/>
    <n v="4"/>
    <x v="3"/>
    <n v="278"/>
    <n v="265"/>
    <n v="-13"/>
    <n v="-4.6762589928057556"/>
    <x v="0"/>
    <n v="20.67"/>
    <n v="2"/>
    <n v="1"/>
    <n v="5.1675000000000004"/>
    <n v="6.2010000000000005"/>
    <x v="2"/>
    <n v="0"/>
    <s v="Ja - 20% Reduzierung"/>
    <n v="20"/>
    <n v="1.27"/>
    <n v="25"/>
    <n v="7.95"/>
    <x v="2"/>
    <x v="4"/>
  </r>
  <r>
    <s v="F004"/>
    <x v="3"/>
    <s v="A003"/>
    <s v="Bio-Milch 1L"/>
    <x v="0"/>
    <n v="1.59"/>
    <n v="5"/>
    <x v="4"/>
    <n v="211"/>
    <n v="205"/>
    <n v="-6"/>
    <n v="-2.8436018957345972"/>
    <x v="0"/>
    <n v="9.5400000000000009"/>
    <n v="5"/>
    <n v="1"/>
    <n v="2.3850000000000002"/>
    <n v="2.8620000000000001"/>
    <x v="0"/>
    <n v="0"/>
    <s v="Nein"/>
    <n v="0"/>
    <n v="1.59"/>
    <n v="0"/>
    <n v="0"/>
    <x v="0"/>
    <x v="1"/>
  </r>
  <r>
    <s v="F004"/>
    <x v="3"/>
    <s v="A003"/>
    <s v="Bio-Milch 1L"/>
    <x v="0"/>
    <n v="1.59"/>
    <n v="6"/>
    <x v="5"/>
    <n v="235"/>
    <n v="237"/>
    <n v="2"/>
    <n v="0.85106382978723405"/>
    <x v="1"/>
    <n v="3.18"/>
    <n v="6"/>
    <n v="1"/>
    <n v="0"/>
    <n v="0"/>
    <x v="0"/>
    <n v="2"/>
    <s v="Nein"/>
    <n v="0"/>
    <n v="1.59"/>
    <n v="0"/>
    <n v="0"/>
    <x v="0"/>
    <x v="2"/>
  </r>
  <r>
    <s v="F004"/>
    <x v="3"/>
    <s v="A003"/>
    <s v="Bio-Milch 1L"/>
    <x v="0"/>
    <n v="1.59"/>
    <n v="7"/>
    <x v="6"/>
    <n v="277"/>
    <n v="285"/>
    <n v="8"/>
    <n v="2.8880866425992782"/>
    <x v="1"/>
    <n v="12.72"/>
    <n v="0"/>
    <n v="2"/>
    <n v="0"/>
    <n v="0"/>
    <x v="0"/>
    <n v="8"/>
    <s v="Abschreibung"/>
    <n v="100"/>
    <n v="0"/>
    <n v="8"/>
    <n v="12.72"/>
    <x v="1"/>
    <x v="3"/>
  </r>
  <r>
    <s v="F004"/>
    <x v="3"/>
    <s v="A003"/>
    <s v="Bio-Milch 1L"/>
    <x v="0"/>
    <n v="1.59"/>
    <n v="8"/>
    <x v="7"/>
    <n v="245"/>
    <n v="236"/>
    <n v="-9"/>
    <n v="-3.6734693877551026"/>
    <x v="0"/>
    <n v="14.31"/>
    <n v="6"/>
    <n v="0"/>
    <n v="3.5775000000000001"/>
    <n v="4.2930000000000001"/>
    <x v="0"/>
    <n v="0"/>
    <s v="Nein"/>
    <n v="0"/>
    <n v="1.59"/>
    <n v="0"/>
    <n v="0"/>
    <x v="0"/>
    <x v="1"/>
  </r>
  <r>
    <s v="F004"/>
    <x v="3"/>
    <s v="A003"/>
    <s v="Bio-Milch 1L"/>
    <x v="0"/>
    <n v="1.59"/>
    <n v="9"/>
    <x v="8"/>
    <n v="213"/>
    <n v="204"/>
    <n v="-9"/>
    <n v="-4.225352112676056"/>
    <x v="0"/>
    <n v="14.31"/>
    <n v="3"/>
    <n v="2"/>
    <n v="3.5775000000000001"/>
    <n v="4.2930000000000001"/>
    <x v="0"/>
    <n v="0"/>
    <s v="Ja - 20% Reduzierung"/>
    <n v="20"/>
    <n v="1.27"/>
    <n v="26"/>
    <n v="8.27"/>
    <x v="2"/>
    <x v="4"/>
  </r>
  <r>
    <s v="F004"/>
    <x v="3"/>
    <s v="A003"/>
    <s v="Bio-Milch 1L"/>
    <x v="0"/>
    <n v="1.59"/>
    <n v="10"/>
    <x v="9"/>
    <n v="222"/>
    <n v="212"/>
    <n v="-10"/>
    <n v="-4.5045045045045047"/>
    <x v="0"/>
    <n v="15.9"/>
    <n v="1"/>
    <n v="0"/>
    <n v="3.9750000000000001"/>
    <n v="4.7699999999999996"/>
    <x v="0"/>
    <n v="0"/>
    <s v="Ja - 20% Reduzierung"/>
    <n v="20"/>
    <n v="1.27"/>
    <n v="16"/>
    <n v="5.09"/>
    <x v="1"/>
    <x v="1"/>
  </r>
  <r>
    <s v="F004"/>
    <x v="3"/>
    <s v="A003"/>
    <s v="Bio-Milch 1L"/>
    <x v="0"/>
    <n v="1.59"/>
    <n v="11"/>
    <x v="10"/>
    <n v="232"/>
    <n v="240"/>
    <n v="8"/>
    <n v="3.4482758620689653"/>
    <x v="1"/>
    <n v="12.72"/>
    <n v="7"/>
    <n v="3"/>
    <n v="0"/>
    <n v="0"/>
    <x v="3"/>
    <n v="8"/>
    <s v="Nein"/>
    <n v="0"/>
    <n v="1.59"/>
    <n v="0"/>
    <n v="0"/>
    <x v="0"/>
    <x v="2"/>
  </r>
  <r>
    <s v="F004"/>
    <x v="3"/>
    <s v="A003"/>
    <s v="Bio-Milch 1L"/>
    <x v="0"/>
    <n v="1.59"/>
    <n v="12"/>
    <x v="11"/>
    <n v="293"/>
    <n v="296"/>
    <n v="3"/>
    <n v="1.0238907849829351"/>
    <x v="1"/>
    <n v="4.7700000000000005"/>
    <n v="4"/>
    <n v="2"/>
    <n v="0"/>
    <n v="0"/>
    <x v="4"/>
    <n v="3"/>
    <s v="Nein"/>
    <n v="0"/>
    <n v="1.59"/>
    <n v="0"/>
    <n v="0"/>
    <x v="0"/>
    <x v="2"/>
  </r>
  <r>
    <s v="F004"/>
    <x v="3"/>
    <s v="A004"/>
    <s v="Butter 250g"/>
    <x v="1"/>
    <n v="2.29"/>
    <n v="1"/>
    <x v="0"/>
    <n v="388"/>
    <n v="386"/>
    <n v="-2"/>
    <n v="-0.51546391752577314"/>
    <x v="0"/>
    <n v="4.58"/>
    <n v="20"/>
    <n v="0"/>
    <n v="1.145"/>
    <n v="1.3739999999999999"/>
    <x v="0"/>
    <n v="0"/>
    <s v="Nein"/>
    <n v="0"/>
    <n v="2.29"/>
    <n v="0"/>
    <n v="0"/>
    <x v="0"/>
    <x v="5"/>
  </r>
  <r>
    <s v="F004"/>
    <x v="3"/>
    <s v="A004"/>
    <s v="Butter 250g"/>
    <x v="1"/>
    <n v="2.29"/>
    <n v="2"/>
    <x v="1"/>
    <n v="367"/>
    <n v="363"/>
    <n v="-4"/>
    <n v="-1.0899182561307901"/>
    <x v="0"/>
    <n v="9.16"/>
    <n v="23"/>
    <n v="7"/>
    <n v="2.29"/>
    <n v="2.7479999999999998"/>
    <x v="1"/>
    <n v="0"/>
    <s v="Nein"/>
    <n v="0"/>
    <n v="2.29"/>
    <n v="0"/>
    <n v="0"/>
    <x v="0"/>
    <x v="5"/>
  </r>
  <r>
    <s v="F004"/>
    <x v="3"/>
    <s v="A004"/>
    <s v="Butter 250g"/>
    <x v="1"/>
    <n v="2.29"/>
    <n v="3"/>
    <x v="2"/>
    <n v="476"/>
    <n v="471"/>
    <n v="-5"/>
    <n v="-1.0504201680672269"/>
    <x v="0"/>
    <n v="11.45"/>
    <n v="25"/>
    <n v="7"/>
    <n v="2.8624999999999998"/>
    <n v="3.4349999999999996"/>
    <x v="0"/>
    <n v="0"/>
    <s v="Nein"/>
    <n v="0"/>
    <n v="2.29"/>
    <n v="0"/>
    <n v="0"/>
    <x v="0"/>
    <x v="5"/>
  </r>
  <r>
    <s v="F004"/>
    <x v="3"/>
    <s v="A004"/>
    <s v="Butter 250g"/>
    <x v="1"/>
    <n v="2.29"/>
    <n v="4"/>
    <x v="3"/>
    <n v="556"/>
    <n v="552"/>
    <n v="-4"/>
    <n v="-0.71942446043165476"/>
    <x v="0"/>
    <n v="9.16"/>
    <n v="24"/>
    <n v="0"/>
    <n v="2.29"/>
    <n v="2.7479999999999998"/>
    <x v="2"/>
    <n v="0"/>
    <s v="Nein"/>
    <n v="0"/>
    <n v="2.29"/>
    <n v="0"/>
    <n v="0"/>
    <x v="0"/>
    <x v="5"/>
  </r>
  <r>
    <s v="F004"/>
    <x v="3"/>
    <s v="A004"/>
    <s v="Butter 250g"/>
    <x v="1"/>
    <n v="2.29"/>
    <n v="5"/>
    <x v="4"/>
    <n v="458"/>
    <n v="451"/>
    <n v="-7"/>
    <n v="-1.5283842794759825"/>
    <x v="0"/>
    <n v="16.03"/>
    <n v="12"/>
    <n v="5"/>
    <n v="4.0075000000000003"/>
    <n v="4.8090000000000002"/>
    <x v="0"/>
    <n v="0"/>
    <s v="Nein"/>
    <n v="0"/>
    <n v="2.29"/>
    <n v="0"/>
    <n v="0"/>
    <x v="0"/>
    <x v="5"/>
  </r>
  <r>
    <s v="F004"/>
    <x v="3"/>
    <s v="A004"/>
    <s v="Butter 250g"/>
    <x v="1"/>
    <n v="2.29"/>
    <n v="6"/>
    <x v="5"/>
    <n v="489"/>
    <n v="493"/>
    <n v="4"/>
    <n v="0.81799591002045002"/>
    <x v="1"/>
    <n v="9.16"/>
    <n v="27"/>
    <n v="2"/>
    <n v="0"/>
    <n v="0"/>
    <x v="0"/>
    <n v="4"/>
    <s v="Nein"/>
    <n v="0"/>
    <n v="2.29"/>
    <n v="0"/>
    <n v="0"/>
    <x v="0"/>
    <x v="2"/>
  </r>
  <r>
    <s v="F004"/>
    <x v="3"/>
    <s v="A004"/>
    <s v="Butter 250g"/>
    <x v="1"/>
    <n v="2.29"/>
    <n v="7"/>
    <x v="6"/>
    <n v="502"/>
    <n v="491"/>
    <n v="-11"/>
    <n v="-2.1912350597609564"/>
    <x v="0"/>
    <n v="25.19"/>
    <n v="7"/>
    <n v="6"/>
    <n v="6.2975000000000003"/>
    <n v="7.5570000000000004"/>
    <x v="0"/>
    <n v="0"/>
    <s v="Nein"/>
    <n v="0"/>
    <n v="2.29"/>
    <n v="0"/>
    <n v="0"/>
    <x v="0"/>
    <x v="0"/>
  </r>
  <r>
    <s v="F004"/>
    <x v="3"/>
    <s v="A004"/>
    <s v="Butter 250g"/>
    <x v="1"/>
    <n v="2.29"/>
    <n v="8"/>
    <x v="7"/>
    <n v="526"/>
    <n v="523"/>
    <n v="-3"/>
    <n v="-0.57034220532319391"/>
    <x v="0"/>
    <n v="6.87"/>
    <n v="27"/>
    <n v="3"/>
    <n v="1.7175"/>
    <n v="2.0609999999999999"/>
    <x v="0"/>
    <n v="0"/>
    <s v="Nein"/>
    <n v="0"/>
    <n v="2.29"/>
    <n v="0"/>
    <n v="0"/>
    <x v="0"/>
    <x v="5"/>
  </r>
  <r>
    <s v="F004"/>
    <x v="3"/>
    <s v="A004"/>
    <s v="Butter 250g"/>
    <x v="1"/>
    <n v="2.29"/>
    <n v="9"/>
    <x v="8"/>
    <n v="397"/>
    <n v="392"/>
    <n v="-5"/>
    <n v="-1.2594458438287155"/>
    <x v="0"/>
    <n v="11.45"/>
    <n v="6"/>
    <n v="9"/>
    <n v="2.8624999999999998"/>
    <n v="3.4349999999999996"/>
    <x v="0"/>
    <n v="0"/>
    <s v="Nein"/>
    <n v="0"/>
    <n v="2.29"/>
    <n v="0"/>
    <n v="0"/>
    <x v="0"/>
    <x v="5"/>
  </r>
  <r>
    <s v="F004"/>
    <x v="3"/>
    <s v="A004"/>
    <s v="Butter 250g"/>
    <x v="1"/>
    <n v="2.29"/>
    <n v="10"/>
    <x v="9"/>
    <n v="418"/>
    <n v="411"/>
    <n v="-7"/>
    <n v="-1.6746411483253589"/>
    <x v="0"/>
    <n v="16.03"/>
    <n v="6"/>
    <n v="3"/>
    <n v="4.0075000000000003"/>
    <n v="4.8090000000000002"/>
    <x v="0"/>
    <n v="0"/>
    <s v="Nein"/>
    <n v="0"/>
    <n v="2.29"/>
    <n v="0"/>
    <n v="0"/>
    <x v="0"/>
    <x v="5"/>
  </r>
  <r>
    <s v="F004"/>
    <x v="3"/>
    <s v="A004"/>
    <s v="Butter 250g"/>
    <x v="1"/>
    <n v="2.29"/>
    <n v="11"/>
    <x v="10"/>
    <n v="469"/>
    <n v="469"/>
    <n v="0"/>
    <n v="0"/>
    <x v="2"/>
    <n v="0"/>
    <n v="12"/>
    <n v="10"/>
    <n v="0"/>
    <n v="0"/>
    <x v="3"/>
    <n v="0"/>
    <s v="Nein"/>
    <n v="0"/>
    <n v="2.29"/>
    <n v="0"/>
    <n v="0"/>
    <x v="0"/>
    <x v="5"/>
  </r>
  <r>
    <s v="F004"/>
    <x v="3"/>
    <s v="A004"/>
    <s v="Butter 250g"/>
    <x v="1"/>
    <n v="2.29"/>
    <n v="12"/>
    <x v="11"/>
    <n v="628"/>
    <n v="620"/>
    <n v="-8"/>
    <n v="-1.2738853503184715"/>
    <x v="0"/>
    <n v="18.32"/>
    <n v="30"/>
    <n v="3"/>
    <n v="4.58"/>
    <n v="5.4959999999999996"/>
    <x v="4"/>
    <n v="0"/>
    <s v="Nein"/>
    <n v="0"/>
    <n v="2.29"/>
    <n v="0"/>
    <n v="0"/>
    <x v="0"/>
    <x v="5"/>
  </r>
  <r>
    <s v="F004"/>
    <x v="3"/>
    <s v="A005"/>
    <s v="Gouda 200g"/>
    <x v="2"/>
    <n v="1.99"/>
    <n v="1"/>
    <x v="0"/>
    <n v="309"/>
    <n v="309"/>
    <n v="0"/>
    <n v="0"/>
    <x v="2"/>
    <n v="0"/>
    <n v="5"/>
    <n v="6"/>
    <n v="0"/>
    <n v="0"/>
    <x v="0"/>
    <n v="0"/>
    <s v="Nein"/>
    <n v="0"/>
    <n v="1.99"/>
    <n v="0"/>
    <n v="0"/>
    <x v="0"/>
    <x v="5"/>
  </r>
  <r>
    <s v="F004"/>
    <x v="3"/>
    <s v="A005"/>
    <s v="Gouda 200g"/>
    <x v="2"/>
    <n v="1.99"/>
    <n v="2"/>
    <x v="1"/>
    <n v="269"/>
    <n v="265"/>
    <n v="-4"/>
    <n v="-1.486988847583643"/>
    <x v="0"/>
    <n v="7.96"/>
    <n v="4"/>
    <n v="6"/>
    <n v="1.99"/>
    <n v="2.3879999999999999"/>
    <x v="1"/>
    <n v="0"/>
    <s v="Nein"/>
    <n v="0"/>
    <n v="1.99"/>
    <n v="0"/>
    <n v="0"/>
    <x v="0"/>
    <x v="5"/>
  </r>
  <r>
    <s v="F004"/>
    <x v="3"/>
    <s v="A005"/>
    <s v="Gouda 200g"/>
    <x v="2"/>
    <n v="1.99"/>
    <n v="3"/>
    <x v="2"/>
    <n v="329"/>
    <n v="325"/>
    <n v="-4"/>
    <n v="-1.21580547112462"/>
    <x v="0"/>
    <n v="7.96"/>
    <n v="1"/>
    <n v="5"/>
    <n v="1.99"/>
    <n v="2.3879999999999999"/>
    <x v="0"/>
    <n v="0"/>
    <s v="Ja - 20% Reduzierung"/>
    <n v="20"/>
    <n v="1.59"/>
    <n v="16"/>
    <n v="6.37"/>
    <x v="1"/>
    <x v="5"/>
  </r>
  <r>
    <s v="F004"/>
    <x v="3"/>
    <s v="A005"/>
    <s v="Gouda 200g"/>
    <x v="2"/>
    <n v="1.99"/>
    <n v="4"/>
    <x v="3"/>
    <n v="400"/>
    <n v="392"/>
    <n v="-8"/>
    <n v="-2"/>
    <x v="0"/>
    <n v="15.92"/>
    <n v="17"/>
    <n v="2"/>
    <n v="3.98"/>
    <n v="4.7759999999999998"/>
    <x v="2"/>
    <n v="0"/>
    <s v="Nein"/>
    <n v="0"/>
    <n v="1.99"/>
    <n v="0"/>
    <n v="0"/>
    <x v="0"/>
    <x v="5"/>
  </r>
  <r>
    <s v="F004"/>
    <x v="3"/>
    <s v="A005"/>
    <s v="Gouda 200g"/>
    <x v="2"/>
    <n v="1.99"/>
    <n v="5"/>
    <x v="4"/>
    <n v="343"/>
    <n v="339"/>
    <n v="-4"/>
    <n v="-1.1661807580174928"/>
    <x v="0"/>
    <n v="7.96"/>
    <n v="12"/>
    <n v="3"/>
    <n v="1.99"/>
    <n v="2.3879999999999999"/>
    <x v="0"/>
    <n v="0"/>
    <s v="Nein"/>
    <n v="0"/>
    <n v="1.99"/>
    <n v="0"/>
    <n v="0"/>
    <x v="0"/>
    <x v="5"/>
  </r>
  <r>
    <s v="F004"/>
    <x v="3"/>
    <s v="A005"/>
    <s v="Gouda 200g"/>
    <x v="2"/>
    <n v="1.99"/>
    <n v="6"/>
    <x v="5"/>
    <n v="359"/>
    <n v="348"/>
    <n v="-11"/>
    <n v="-3.0640668523676879"/>
    <x v="0"/>
    <n v="21.89"/>
    <n v="11"/>
    <n v="0"/>
    <n v="5.4725000000000001"/>
    <n v="6.5670000000000002"/>
    <x v="0"/>
    <n v="0"/>
    <s v="Nein"/>
    <n v="0"/>
    <n v="1.99"/>
    <n v="0"/>
    <n v="0"/>
    <x v="0"/>
    <x v="1"/>
  </r>
  <r>
    <s v="F004"/>
    <x v="3"/>
    <s v="A005"/>
    <s v="Gouda 200g"/>
    <x v="2"/>
    <n v="1.99"/>
    <n v="7"/>
    <x v="6"/>
    <n v="376"/>
    <n v="376"/>
    <n v="0"/>
    <n v="0"/>
    <x v="2"/>
    <n v="0"/>
    <n v="16"/>
    <n v="0"/>
    <n v="0"/>
    <n v="0"/>
    <x v="0"/>
    <n v="0"/>
    <s v="Nein"/>
    <n v="0"/>
    <n v="1.99"/>
    <n v="0"/>
    <n v="0"/>
    <x v="0"/>
    <x v="5"/>
  </r>
  <r>
    <s v="F004"/>
    <x v="3"/>
    <s v="A005"/>
    <s v="Gouda 200g"/>
    <x v="2"/>
    <n v="1.99"/>
    <n v="8"/>
    <x v="7"/>
    <n v="383"/>
    <n v="378"/>
    <n v="-5"/>
    <n v="-1.3054830287206265"/>
    <x v="0"/>
    <n v="9.9499999999999993"/>
    <n v="21"/>
    <n v="7"/>
    <n v="2.4874999999999998"/>
    <n v="2.9849999999999999"/>
    <x v="0"/>
    <n v="0"/>
    <s v="Nein"/>
    <n v="0"/>
    <n v="1.99"/>
    <n v="0"/>
    <n v="0"/>
    <x v="0"/>
    <x v="5"/>
  </r>
  <r>
    <s v="F004"/>
    <x v="3"/>
    <s v="A005"/>
    <s v="Gouda 200g"/>
    <x v="2"/>
    <n v="1.99"/>
    <n v="9"/>
    <x v="8"/>
    <n v="323"/>
    <n v="317"/>
    <n v="-6"/>
    <n v="-1.8575851393188854"/>
    <x v="0"/>
    <n v="11.94"/>
    <n v="19"/>
    <n v="2"/>
    <n v="2.9849999999999999"/>
    <n v="3.5819999999999999"/>
    <x v="0"/>
    <n v="0"/>
    <s v="Nein"/>
    <n v="0"/>
    <n v="1.99"/>
    <n v="0"/>
    <n v="0"/>
    <x v="0"/>
    <x v="5"/>
  </r>
  <r>
    <s v="F004"/>
    <x v="3"/>
    <s v="A005"/>
    <s v="Gouda 200g"/>
    <x v="2"/>
    <n v="1.99"/>
    <n v="10"/>
    <x v="9"/>
    <n v="340"/>
    <n v="341"/>
    <n v="1"/>
    <n v="0.29411764705882354"/>
    <x v="1"/>
    <n v="1.99"/>
    <n v="13"/>
    <n v="4"/>
    <n v="0"/>
    <n v="0"/>
    <x v="0"/>
    <n v="1"/>
    <s v="Nein"/>
    <n v="0"/>
    <n v="1.99"/>
    <n v="0"/>
    <n v="0"/>
    <x v="0"/>
    <x v="2"/>
  </r>
  <r>
    <s v="F004"/>
    <x v="3"/>
    <s v="A005"/>
    <s v="Gouda 200g"/>
    <x v="2"/>
    <n v="1.99"/>
    <n v="11"/>
    <x v="10"/>
    <n v="352"/>
    <n v="347"/>
    <n v="-5"/>
    <n v="-1.4204545454545454"/>
    <x v="0"/>
    <n v="9.9499999999999993"/>
    <n v="12"/>
    <n v="4"/>
    <n v="2.4874999999999998"/>
    <n v="2.9849999999999999"/>
    <x v="3"/>
    <n v="0"/>
    <s v="Nein"/>
    <n v="0"/>
    <n v="1.99"/>
    <n v="0"/>
    <n v="0"/>
    <x v="0"/>
    <x v="5"/>
  </r>
  <r>
    <s v="F004"/>
    <x v="3"/>
    <s v="A005"/>
    <s v="Gouda 200g"/>
    <x v="2"/>
    <n v="1.99"/>
    <n v="12"/>
    <x v="11"/>
    <n v="444"/>
    <n v="430"/>
    <n v="-14"/>
    <n v="-3.1531531531531529"/>
    <x v="0"/>
    <n v="27.86"/>
    <n v="8"/>
    <n v="3"/>
    <n v="6.9649999999999999"/>
    <n v="8.3579999999999988"/>
    <x v="4"/>
    <n v="0"/>
    <s v="Nein"/>
    <n v="0"/>
    <n v="1.99"/>
    <n v="0"/>
    <n v="0"/>
    <x v="0"/>
    <x v="0"/>
  </r>
  <r>
    <s v="F004"/>
    <x v="3"/>
    <s v="A006"/>
    <s v="Emmentaler 200g"/>
    <x v="2"/>
    <n v="2.4900000000000002"/>
    <n v="1"/>
    <x v="0"/>
    <n v="260"/>
    <n v="255"/>
    <n v="-5"/>
    <n v="-1.9230769230769231"/>
    <x v="0"/>
    <n v="12.450000000000001"/>
    <n v="16"/>
    <n v="1"/>
    <n v="3.1125000000000003"/>
    <n v="3.7350000000000003"/>
    <x v="0"/>
    <n v="0"/>
    <s v="Nein"/>
    <n v="0"/>
    <n v="2.4900000000000002"/>
    <n v="0"/>
    <n v="0"/>
    <x v="0"/>
    <x v="5"/>
  </r>
  <r>
    <s v="F004"/>
    <x v="3"/>
    <s v="A006"/>
    <s v="Emmentaler 200g"/>
    <x v="2"/>
    <n v="2.4900000000000002"/>
    <n v="2"/>
    <x v="1"/>
    <n v="245"/>
    <n v="240"/>
    <n v="-5"/>
    <n v="-2.0408163265306123"/>
    <x v="0"/>
    <n v="12.450000000000001"/>
    <n v="0"/>
    <n v="1"/>
    <n v="3.1125000000000003"/>
    <n v="3.7350000000000003"/>
    <x v="1"/>
    <n v="0"/>
    <s v="Abschreibung"/>
    <n v="100"/>
    <n v="0"/>
    <n v="7"/>
    <n v="17.43"/>
    <x v="1"/>
    <x v="3"/>
  </r>
  <r>
    <s v="F004"/>
    <x v="3"/>
    <s v="A006"/>
    <s v="Emmentaler 200g"/>
    <x v="2"/>
    <n v="2.4900000000000002"/>
    <n v="3"/>
    <x v="2"/>
    <n v="280"/>
    <n v="280"/>
    <n v="0"/>
    <n v="0"/>
    <x v="2"/>
    <n v="0"/>
    <n v="8"/>
    <n v="6"/>
    <n v="0"/>
    <n v="0"/>
    <x v="0"/>
    <n v="0"/>
    <s v="Nein"/>
    <n v="0"/>
    <n v="2.4900000000000002"/>
    <n v="0"/>
    <n v="0"/>
    <x v="0"/>
    <x v="5"/>
  </r>
  <r>
    <s v="F004"/>
    <x v="3"/>
    <s v="A006"/>
    <s v="Emmentaler 200g"/>
    <x v="2"/>
    <n v="2.4900000000000002"/>
    <n v="4"/>
    <x v="3"/>
    <n v="327"/>
    <n v="320"/>
    <n v="-7"/>
    <n v="-2.1406727828746175"/>
    <x v="0"/>
    <n v="17.43"/>
    <n v="14"/>
    <n v="5"/>
    <n v="4.3574999999999999"/>
    <n v="5.2290000000000001"/>
    <x v="2"/>
    <n v="0"/>
    <s v="Nein"/>
    <n v="0"/>
    <n v="2.4900000000000002"/>
    <n v="0"/>
    <n v="0"/>
    <x v="0"/>
    <x v="0"/>
  </r>
  <r>
    <s v="F004"/>
    <x v="3"/>
    <s v="A006"/>
    <s v="Emmentaler 200g"/>
    <x v="2"/>
    <n v="2.4900000000000002"/>
    <n v="5"/>
    <x v="4"/>
    <n v="283"/>
    <n v="279"/>
    <n v="-4"/>
    <n v="-1.4134275618374559"/>
    <x v="0"/>
    <n v="9.9600000000000009"/>
    <n v="17"/>
    <n v="6"/>
    <n v="2.4900000000000002"/>
    <n v="2.988"/>
    <x v="0"/>
    <n v="0"/>
    <s v="Nein"/>
    <n v="0"/>
    <n v="2.4900000000000002"/>
    <n v="0"/>
    <n v="0"/>
    <x v="0"/>
    <x v="5"/>
  </r>
  <r>
    <s v="F004"/>
    <x v="3"/>
    <s v="A006"/>
    <s v="Emmentaler 200g"/>
    <x v="2"/>
    <n v="2.4900000000000002"/>
    <n v="6"/>
    <x v="5"/>
    <n v="290"/>
    <n v="287"/>
    <n v="-3"/>
    <n v="-1.0344827586206897"/>
    <x v="0"/>
    <n v="7.4700000000000006"/>
    <n v="18"/>
    <n v="7"/>
    <n v="1.8675000000000002"/>
    <n v="2.2410000000000001"/>
    <x v="0"/>
    <n v="0"/>
    <s v="Nein"/>
    <n v="0"/>
    <n v="2.4900000000000002"/>
    <n v="0"/>
    <n v="0"/>
    <x v="0"/>
    <x v="5"/>
  </r>
  <r>
    <s v="F004"/>
    <x v="3"/>
    <s v="A006"/>
    <s v="Emmentaler 200g"/>
    <x v="2"/>
    <n v="2.4900000000000002"/>
    <n v="7"/>
    <x v="6"/>
    <n v="320"/>
    <n v="312"/>
    <n v="-8"/>
    <n v="-2.5"/>
    <x v="0"/>
    <n v="19.920000000000002"/>
    <n v="4"/>
    <n v="5"/>
    <n v="4.9800000000000004"/>
    <n v="5.976"/>
    <x v="0"/>
    <n v="0"/>
    <s v="Nein"/>
    <n v="0"/>
    <n v="2.4900000000000002"/>
    <n v="0"/>
    <n v="0"/>
    <x v="0"/>
    <x v="0"/>
  </r>
  <r>
    <s v="F004"/>
    <x v="3"/>
    <s v="A006"/>
    <s v="Emmentaler 200g"/>
    <x v="2"/>
    <n v="2.4900000000000002"/>
    <n v="8"/>
    <x v="7"/>
    <n v="307"/>
    <n v="301"/>
    <n v="-6"/>
    <n v="-1.9543973941368076"/>
    <x v="0"/>
    <n v="14.940000000000001"/>
    <n v="6"/>
    <n v="6"/>
    <n v="3.7350000000000003"/>
    <n v="4.4820000000000002"/>
    <x v="0"/>
    <n v="0"/>
    <s v="Nein"/>
    <n v="0"/>
    <n v="2.4900000000000002"/>
    <n v="0"/>
    <n v="0"/>
    <x v="0"/>
    <x v="5"/>
  </r>
  <r>
    <s v="F004"/>
    <x v="3"/>
    <s v="A006"/>
    <s v="Emmentaler 200g"/>
    <x v="2"/>
    <n v="2.4900000000000002"/>
    <n v="9"/>
    <x v="8"/>
    <n v="261"/>
    <n v="257"/>
    <n v="-4"/>
    <n v="-1.5325670498084289"/>
    <x v="0"/>
    <n v="9.9600000000000009"/>
    <n v="16"/>
    <n v="0"/>
    <n v="2.4900000000000002"/>
    <n v="2.988"/>
    <x v="0"/>
    <n v="0"/>
    <s v="Nein"/>
    <n v="0"/>
    <n v="2.4900000000000002"/>
    <n v="0"/>
    <n v="0"/>
    <x v="0"/>
    <x v="5"/>
  </r>
  <r>
    <s v="F004"/>
    <x v="3"/>
    <s v="A006"/>
    <s v="Emmentaler 200g"/>
    <x v="2"/>
    <n v="2.4900000000000002"/>
    <n v="10"/>
    <x v="9"/>
    <n v="281"/>
    <n v="282"/>
    <n v="1"/>
    <n v="0.35587188612099641"/>
    <x v="1"/>
    <n v="2.4900000000000002"/>
    <n v="12"/>
    <n v="4"/>
    <n v="0"/>
    <n v="0"/>
    <x v="0"/>
    <n v="1"/>
    <s v="Nein"/>
    <n v="0"/>
    <n v="2.4900000000000002"/>
    <n v="0"/>
    <n v="0"/>
    <x v="0"/>
    <x v="2"/>
  </r>
  <r>
    <s v="F004"/>
    <x v="3"/>
    <s v="A006"/>
    <s v="Emmentaler 200g"/>
    <x v="2"/>
    <n v="2.4900000000000002"/>
    <n v="11"/>
    <x v="10"/>
    <n v="299"/>
    <n v="296"/>
    <n v="-3"/>
    <n v="-1.0033444816053512"/>
    <x v="0"/>
    <n v="7.4700000000000006"/>
    <n v="0"/>
    <n v="6"/>
    <n v="1.8675000000000002"/>
    <n v="2.2410000000000001"/>
    <x v="3"/>
    <n v="0"/>
    <s v="Abschreibung"/>
    <n v="100"/>
    <n v="0"/>
    <n v="6"/>
    <n v="14.94"/>
    <x v="1"/>
    <x v="3"/>
  </r>
  <r>
    <s v="F004"/>
    <x v="3"/>
    <s v="A006"/>
    <s v="Emmentaler 200g"/>
    <x v="2"/>
    <n v="2.4900000000000002"/>
    <n v="12"/>
    <x v="11"/>
    <n v="397"/>
    <n v="388"/>
    <n v="-9"/>
    <n v="-2.2670025188916876"/>
    <x v="0"/>
    <n v="22.410000000000004"/>
    <n v="15"/>
    <n v="1"/>
    <n v="5.6025000000000009"/>
    <n v="6.7230000000000008"/>
    <x v="4"/>
    <n v="0"/>
    <s v="Nein"/>
    <n v="0"/>
    <n v="2.4900000000000002"/>
    <n v="0"/>
    <n v="0"/>
    <x v="0"/>
    <x v="1"/>
  </r>
  <r>
    <s v="F004"/>
    <x v="3"/>
    <s v="A007"/>
    <s v="Naturjoghurt 500g"/>
    <x v="3"/>
    <n v="0.89"/>
    <n v="1"/>
    <x v="0"/>
    <n v="545"/>
    <n v="523"/>
    <n v="-22"/>
    <n v="-4.0366972477064227"/>
    <x v="0"/>
    <n v="19.580000000000002"/>
    <n v="5"/>
    <n v="0"/>
    <n v="4.8950000000000005"/>
    <n v="5.8740000000000006"/>
    <x v="0"/>
    <n v="0"/>
    <s v="Nein"/>
    <n v="0"/>
    <n v="0.89"/>
    <n v="0"/>
    <n v="0"/>
    <x v="0"/>
    <x v="1"/>
  </r>
  <r>
    <s v="F004"/>
    <x v="3"/>
    <s v="A007"/>
    <s v="Naturjoghurt 500g"/>
    <x v="3"/>
    <n v="0.89"/>
    <n v="2"/>
    <x v="1"/>
    <n v="540"/>
    <n v="519"/>
    <n v="-21"/>
    <n v="-3.8888888888888888"/>
    <x v="0"/>
    <n v="18.690000000000001"/>
    <n v="2"/>
    <n v="2"/>
    <n v="4.6725000000000003"/>
    <n v="5.6070000000000002"/>
    <x v="1"/>
    <n v="0"/>
    <s v="Ja - 20% Reduzierung"/>
    <n v="20"/>
    <n v="0.71"/>
    <n v="65"/>
    <n v="11.57"/>
    <x v="1"/>
    <x v="0"/>
  </r>
  <r>
    <s v="F004"/>
    <x v="3"/>
    <s v="A007"/>
    <s v="Naturjoghurt 500g"/>
    <x v="3"/>
    <n v="0.89"/>
    <n v="3"/>
    <x v="2"/>
    <n v="623"/>
    <n v="631"/>
    <n v="8"/>
    <n v="1.2841091492776886"/>
    <x v="1"/>
    <n v="7.12"/>
    <n v="4"/>
    <n v="3"/>
    <n v="0"/>
    <n v="0"/>
    <x v="0"/>
    <n v="8"/>
    <s v="Nein"/>
    <n v="0"/>
    <n v="0.89"/>
    <n v="0"/>
    <n v="0"/>
    <x v="0"/>
    <x v="2"/>
  </r>
  <r>
    <s v="F004"/>
    <x v="3"/>
    <s v="A007"/>
    <s v="Naturjoghurt 500g"/>
    <x v="3"/>
    <n v="0.89"/>
    <n v="4"/>
    <x v="3"/>
    <n v="741"/>
    <n v="708"/>
    <n v="-33"/>
    <n v="-4.4534412955465585"/>
    <x v="0"/>
    <n v="29.37"/>
    <n v="4"/>
    <n v="1"/>
    <n v="7.3425000000000002"/>
    <n v="8.8109999999999999"/>
    <x v="2"/>
    <n v="0"/>
    <s v="Nein"/>
    <n v="0"/>
    <n v="0.89"/>
    <n v="0"/>
    <n v="0"/>
    <x v="0"/>
    <x v="1"/>
  </r>
  <r>
    <s v="F004"/>
    <x v="3"/>
    <s v="A007"/>
    <s v="Naturjoghurt 500g"/>
    <x v="3"/>
    <n v="0.89"/>
    <n v="5"/>
    <x v="4"/>
    <n v="605"/>
    <n v="605"/>
    <n v="0"/>
    <n v="0"/>
    <x v="2"/>
    <n v="0"/>
    <n v="6"/>
    <n v="3"/>
    <n v="0"/>
    <n v="0"/>
    <x v="0"/>
    <n v="0"/>
    <s v="Nein"/>
    <n v="0"/>
    <n v="0.89"/>
    <n v="0"/>
    <n v="0"/>
    <x v="0"/>
    <x v="5"/>
  </r>
  <r>
    <s v="F004"/>
    <x v="3"/>
    <s v="A007"/>
    <s v="Naturjoghurt 500g"/>
    <x v="3"/>
    <n v="0.89"/>
    <n v="6"/>
    <x v="5"/>
    <n v="692"/>
    <n v="693"/>
    <n v="1"/>
    <n v="0.1445086705202312"/>
    <x v="1"/>
    <n v="0.89"/>
    <n v="3"/>
    <n v="5"/>
    <n v="0"/>
    <n v="0"/>
    <x v="0"/>
    <n v="1"/>
    <s v="Ja - 20% Reduzierung"/>
    <n v="20"/>
    <n v="0.71"/>
    <n v="76"/>
    <n v="13.53"/>
    <x v="1"/>
    <x v="2"/>
  </r>
  <r>
    <s v="F004"/>
    <x v="3"/>
    <s v="A007"/>
    <s v="Naturjoghurt 500g"/>
    <x v="3"/>
    <n v="0.89"/>
    <n v="7"/>
    <x v="6"/>
    <n v="733"/>
    <n v="737"/>
    <n v="4"/>
    <n v="0.54570259208731242"/>
    <x v="1"/>
    <n v="3.56"/>
    <n v="1"/>
    <n v="5"/>
    <n v="0"/>
    <n v="0"/>
    <x v="0"/>
    <n v="4"/>
    <s v="Ja - 20% Reduzierung"/>
    <n v="20"/>
    <n v="0.71"/>
    <n v="44"/>
    <n v="7.83"/>
    <x v="1"/>
    <x v="2"/>
  </r>
  <r>
    <s v="F004"/>
    <x v="3"/>
    <s v="A007"/>
    <s v="Naturjoghurt 500g"/>
    <x v="3"/>
    <n v="0.89"/>
    <n v="8"/>
    <x v="7"/>
    <n v="717"/>
    <n v="721"/>
    <n v="4"/>
    <n v="0.55788005578800559"/>
    <x v="1"/>
    <n v="3.56"/>
    <n v="10"/>
    <n v="0"/>
    <n v="0"/>
    <n v="0"/>
    <x v="0"/>
    <n v="4"/>
    <s v="Nein"/>
    <n v="0"/>
    <n v="0.89"/>
    <n v="0"/>
    <n v="0"/>
    <x v="0"/>
    <x v="2"/>
  </r>
  <r>
    <s v="F004"/>
    <x v="3"/>
    <s v="A007"/>
    <s v="Naturjoghurt 500g"/>
    <x v="3"/>
    <n v="0.89"/>
    <n v="9"/>
    <x v="8"/>
    <n v="569"/>
    <n v="551"/>
    <n v="-18"/>
    <n v="-3.1634446397188052"/>
    <x v="0"/>
    <n v="16.02"/>
    <n v="1"/>
    <n v="2"/>
    <n v="4.0049999999999999"/>
    <n v="4.806"/>
    <x v="0"/>
    <n v="0"/>
    <s v="Ja - 20% Reduzierung"/>
    <n v="20"/>
    <n v="0.71"/>
    <n v="28"/>
    <n v="4.9800000000000004"/>
    <x v="1"/>
    <x v="0"/>
  </r>
  <r>
    <s v="F004"/>
    <x v="3"/>
    <s v="A007"/>
    <s v="Naturjoghurt 500g"/>
    <x v="3"/>
    <n v="0.89"/>
    <n v="10"/>
    <x v="9"/>
    <n v="635"/>
    <n v="635"/>
    <n v="0"/>
    <n v="0"/>
    <x v="2"/>
    <n v="0"/>
    <n v="4"/>
    <n v="5"/>
    <n v="0"/>
    <n v="0"/>
    <x v="0"/>
    <n v="0"/>
    <s v="Nein"/>
    <n v="0"/>
    <n v="0.89"/>
    <n v="0"/>
    <n v="0"/>
    <x v="0"/>
    <x v="5"/>
  </r>
  <r>
    <s v="F004"/>
    <x v="3"/>
    <s v="A007"/>
    <s v="Naturjoghurt 500g"/>
    <x v="3"/>
    <n v="0.89"/>
    <n v="11"/>
    <x v="10"/>
    <n v="652"/>
    <n v="630"/>
    <n v="-22"/>
    <n v="-3.3742331288343559"/>
    <x v="0"/>
    <n v="19.580000000000002"/>
    <n v="9"/>
    <n v="2"/>
    <n v="4.8950000000000005"/>
    <n v="5.8740000000000006"/>
    <x v="3"/>
    <n v="0"/>
    <s v="Nein"/>
    <n v="0"/>
    <n v="0.89"/>
    <n v="0"/>
    <n v="0"/>
    <x v="0"/>
    <x v="0"/>
  </r>
  <r>
    <s v="F004"/>
    <x v="3"/>
    <s v="A007"/>
    <s v="Naturjoghurt 500g"/>
    <x v="3"/>
    <n v="0.89"/>
    <n v="12"/>
    <x v="11"/>
    <n v="847"/>
    <n v="813"/>
    <n v="-34"/>
    <n v="-4.0141676505312871"/>
    <x v="0"/>
    <n v="30.26"/>
    <n v="11"/>
    <n v="5"/>
    <n v="7.5650000000000004"/>
    <n v="9.0779999999999994"/>
    <x v="4"/>
    <n v="0"/>
    <s v="Nein"/>
    <n v="0"/>
    <n v="0.89"/>
    <n v="0"/>
    <n v="0"/>
    <x v="0"/>
    <x v="0"/>
  </r>
  <r>
    <s v="F004"/>
    <x v="3"/>
    <s v="A008"/>
    <s v="Fruchtjoghurt 4er"/>
    <x v="3"/>
    <n v="1.89"/>
    <n v="1"/>
    <x v="0"/>
    <n v="329"/>
    <n v="335"/>
    <n v="6"/>
    <n v="1.8237082066869299"/>
    <x v="1"/>
    <n v="11.34"/>
    <n v="12"/>
    <n v="4"/>
    <n v="0"/>
    <n v="0"/>
    <x v="0"/>
    <n v="6"/>
    <s v="Nein"/>
    <n v="0"/>
    <n v="1.89"/>
    <n v="0"/>
    <n v="0"/>
    <x v="0"/>
    <x v="2"/>
  </r>
  <r>
    <s v="F004"/>
    <x v="3"/>
    <s v="A008"/>
    <s v="Fruchtjoghurt 4er"/>
    <x v="3"/>
    <n v="1.89"/>
    <n v="2"/>
    <x v="1"/>
    <n v="314"/>
    <n v="314"/>
    <n v="0"/>
    <n v="0"/>
    <x v="2"/>
    <n v="0"/>
    <n v="1"/>
    <n v="1"/>
    <n v="0"/>
    <n v="0"/>
    <x v="1"/>
    <n v="0"/>
    <s v="Ja - 20% Reduzierung"/>
    <n v="20"/>
    <n v="1.51"/>
    <n v="31"/>
    <n v="11.72"/>
    <x v="1"/>
    <x v="5"/>
  </r>
  <r>
    <s v="F004"/>
    <x v="3"/>
    <s v="A008"/>
    <s v="Fruchtjoghurt 4er"/>
    <x v="3"/>
    <n v="1.89"/>
    <n v="3"/>
    <x v="2"/>
    <n v="392"/>
    <n v="372"/>
    <n v="-20"/>
    <n v="-5.1020408163265305"/>
    <x v="0"/>
    <n v="37.799999999999997"/>
    <n v="14"/>
    <n v="2"/>
    <n v="9.4499999999999993"/>
    <n v="11.339999999999998"/>
    <x v="0"/>
    <n v="0"/>
    <s v="Nein"/>
    <n v="0"/>
    <n v="1.89"/>
    <n v="0"/>
    <n v="0"/>
    <x v="0"/>
    <x v="0"/>
  </r>
  <r>
    <s v="F004"/>
    <x v="3"/>
    <s v="A008"/>
    <s v="Fruchtjoghurt 4er"/>
    <x v="3"/>
    <n v="1.89"/>
    <n v="4"/>
    <x v="3"/>
    <n v="481"/>
    <n v="481"/>
    <n v="0"/>
    <n v="0"/>
    <x v="2"/>
    <n v="0"/>
    <n v="11"/>
    <n v="1"/>
    <n v="0"/>
    <n v="0"/>
    <x v="2"/>
    <n v="0"/>
    <s v="Nein"/>
    <n v="0"/>
    <n v="1.89"/>
    <n v="0"/>
    <n v="0"/>
    <x v="0"/>
    <x v="5"/>
  </r>
  <r>
    <s v="F004"/>
    <x v="3"/>
    <s v="A008"/>
    <s v="Fruchtjoghurt 4er"/>
    <x v="3"/>
    <n v="1.89"/>
    <n v="5"/>
    <x v="4"/>
    <n v="366"/>
    <n v="367"/>
    <n v="1"/>
    <n v="0.27322404371584702"/>
    <x v="1"/>
    <n v="1.89"/>
    <n v="1"/>
    <n v="2"/>
    <n v="0"/>
    <n v="0"/>
    <x v="0"/>
    <n v="1"/>
    <s v="Ja - 20% Reduzierung"/>
    <n v="20"/>
    <n v="1.51"/>
    <n v="37"/>
    <n v="13.99"/>
    <x v="1"/>
    <x v="2"/>
  </r>
  <r>
    <s v="F004"/>
    <x v="3"/>
    <s v="A008"/>
    <s v="Fruchtjoghurt 4er"/>
    <x v="3"/>
    <n v="1.89"/>
    <n v="6"/>
    <x v="5"/>
    <n v="419"/>
    <n v="398"/>
    <n v="-21"/>
    <n v="-5.0119331742243434"/>
    <x v="0"/>
    <n v="39.69"/>
    <n v="9"/>
    <n v="2"/>
    <n v="9.9224999999999994"/>
    <n v="11.906999999999998"/>
    <x v="0"/>
    <n v="0"/>
    <s v="Nein"/>
    <n v="0"/>
    <n v="1.89"/>
    <n v="0"/>
    <n v="0"/>
    <x v="0"/>
    <x v="0"/>
  </r>
  <r>
    <s v="F004"/>
    <x v="3"/>
    <s v="A008"/>
    <s v="Fruchtjoghurt 4er"/>
    <x v="3"/>
    <n v="1.89"/>
    <n v="7"/>
    <x v="6"/>
    <n v="480"/>
    <n v="459"/>
    <n v="-21"/>
    <n v="-4.375"/>
    <x v="0"/>
    <n v="39.69"/>
    <n v="1"/>
    <n v="1"/>
    <n v="9.9224999999999994"/>
    <n v="11.906999999999998"/>
    <x v="0"/>
    <n v="0"/>
    <s v="Ja - 20% Reduzierung"/>
    <n v="20"/>
    <n v="1.51"/>
    <n v="29"/>
    <n v="10.96"/>
    <x v="1"/>
    <x v="1"/>
  </r>
  <r>
    <s v="F004"/>
    <x v="3"/>
    <s v="A008"/>
    <s v="Fruchtjoghurt 4er"/>
    <x v="3"/>
    <n v="1.89"/>
    <n v="8"/>
    <x v="7"/>
    <n v="443"/>
    <n v="446"/>
    <n v="3"/>
    <n v="0.67720090293453727"/>
    <x v="1"/>
    <n v="5.67"/>
    <n v="0"/>
    <n v="5"/>
    <n v="0"/>
    <n v="0"/>
    <x v="0"/>
    <n v="3"/>
    <s v="Abschreibung"/>
    <n v="100"/>
    <n v="0"/>
    <n v="9"/>
    <n v="17.010000000000002"/>
    <x v="1"/>
    <x v="3"/>
  </r>
  <r>
    <s v="F004"/>
    <x v="3"/>
    <s v="A008"/>
    <s v="Fruchtjoghurt 4er"/>
    <x v="3"/>
    <n v="1.89"/>
    <n v="9"/>
    <x v="8"/>
    <n v="384"/>
    <n v="369"/>
    <n v="-15"/>
    <n v="-3.90625"/>
    <x v="0"/>
    <n v="28.349999999999998"/>
    <n v="1"/>
    <n v="5"/>
    <n v="7.0874999999999995"/>
    <n v="8.504999999999999"/>
    <x v="0"/>
    <n v="0"/>
    <s v="Ja - 20% Reduzierung"/>
    <n v="20"/>
    <n v="1.51"/>
    <n v="38"/>
    <n v="14.36"/>
    <x v="1"/>
    <x v="0"/>
  </r>
  <r>
    <s v="F004"/>
    <x v="3"/>
    <s v="A008"/>
    <s v="Fruchtjoghurt 4er"/>
    <x v="3"/>
    <n v="1.89"/>
    <n v="10"/>
    <x v="9"/>
    <n v="370"/>
    <n v="350"/>
    <n v="-20"/>
    <n v="-5.4054054054054053"/>
    <x v="0"/>
    <n v="37.799999999999997"/>
    <n v="13"/>
    <n v="3"/>
    <n v="9.4499999999999993"/>
    <n v="11.339999999999998"/>
    <x v="0"/>
    <n v="0"/>
    <s v="Nein"/>
    <n v="0"/>
    <n v="1.89"/>
    <n v="0"/>
    <n v="0"/>
    <x v="0"/>
    <x v="0"/>
  </r>
  <r>
    <s v="F004"/>
    <x v="3"/>
    <s v="A008"/>
    <s v="Fruchtjoghurt 4er"/>
    <x v="3"/>
    <n v="1.89"/>
    <n v="11"/>
    <x v="10"/>
    <n v="445"/>
    <n v="430"/>
    <n v="-15"/>
    <n v="-3.3707865168539324"/>
    <x v="0"/>
    <n v="28.349999999999998"/>
    <n v="0"/>
    <n v="4"/>
    <n v="7.0874999999999995"/>
    <n v="8.504999999999999"/>
    <x v="3"/>
    <n v="0"/>
    <s v="Abschreibung"/>
    <n v="100"/>
    <n v="0"/>
    <n v="13"/>
    <n v="24.57"/>
    <x v="1"/>
    <x v="3"/>
  </r>
  <r>
    <s v="F004"/>
    <x v="3"/>
    <s v="A008"/>
    <s v="Fruchtjoghurt 4er"/>
    <x v="3"/>
    <n v="1.89"/>
    <n v="12"/>
    <x v="11"/>
    <n v="512"/>
    <n v="512"/>
    <n v="0"/>
    <n v="0"/>
    <x v="2"/>
    <n v="0"/>
    <n v="0"/>
    <n v="0"/>
    <n v="0"/>
    <n v="0"/>
    <x v="4"/>
    <n v="0"/>
    <s v="Abschreibung"/>
    <n v="100"/>
    <n v="0"/>
    <n v="15"/>
    <n v="28.35"/>
    <x v="3"/>
    <x v="3"/>
  </r>
  <r>
    <s v="F004"/>
    <x v="3"/>
    <s v="A009"/>
    <s v="Sahne 200ml"/>
    <x v="4"/>
    <n v="0.79"/>
    <n v="1"/>
    <x v="0"/>
    <n v="204"/>
    <n v="198"/>
    <n v="-6"/>
    <n v="-2.9411764705882351"/>
    <x v="0"/>
    <n v="4.74"/>
    <n v="6"/>
    <n v="2"/>
    <n v="1.1850000000000001"/>
    <n v="1.4219999999999999"/>
    <x v="0"/>
    <n v="0"/>
    <s v="Nein"/>
    <n v="0"/>
    <n v="0.79"/>
    <n v="0"/>
    <n v="0"/>
    <x v="0"/>
    <x v="0"/>
  </r>
  <r>
    <s v="F004"/>
    <x v="3"/>
    <s v="A009"/>
    <s v="Sahne 200ml"/>
    <x v="4"/>
    <n v="0.79"/>
    <n v="2"/>
    <x v="1"/>
    <n v="178"/>
    <n v="174"/>
    <n v="-4"/>
    <n v="-2.2471910112359552"/>
    <x v="0"/>
    <n v="3.16"/>
    <n v="2"/>
    <n v="0"/>
    <n v="0.79"/>
    <n v="0.94799999999999995"/>
    <x v="1"/>
    <n v="0"/>
    <s v="Ja - 20% Reduzierung"/>
    <n v="20"/>
    <n v="0.63"/>
    <n v="20"/>
    <n v="3.16"/>
    <x v="1"/>
    <x v="1"/>
  </r>
  <r>
    <s v="F004"/>
    <x v="3"/>
    <s v="A009"/>
    <s v="Sahne 200ml"/>
    <x v="4"/>
    <n v="0.79"/>
    <n v="3"/>
    <x v="2"/>
    <n v="238"/>
    <n v="230"/>
    <n v="-8"/>
    <n v="-3.3613445378151261"/>
    <x v="0"/>
    <n v="6.32"/>
    <n v="6"/>
    <n v="0"/>
    <n v="1.58"/>
    <n v="1.8959999999999999"/>
    <x v="0"/>
    <n v="0"/>
    <s v="Nein"/>
    <n v="0"/>
    <n v="0.79"/>
    <n v="0"/>
    <n v="0"/>
    <x v="0"/>
    <x v="1"/>
  </r>
  <r>
    <s v="F004"/>
    <x v="3"/>
    <s v="A009"/>
    <s v="Sahne 200ml"/>
    <x v="4"/>
    <n v="0.79"/>
    <n v="4"/>
    <x v="3"/>
    <n v="275"/>
    <n v="269"/>
    <n v="-6"/>
    <n v="-2.1818181818181821"/>
    <x v="0"/>
    <n v="4.74"/>
    <n v="6"/>
    <n v="2"/>
    <n v="1.1850000000000001"/>
    <n v="1.4219999999999999"/>
    <x v="2"/>
    <n v="0"/>
    <s v="Nein"/>
    <n v="0"/>
    <n v="0.79"/>
    <n v="0"/>
    <n v="0"/>
    <x v="0"/>
    <x v="0"/>
  </r>
  <r>
    <s v="F004"/>
    <x v="3"/>
    <s v="A009"/>
    <s v="Sahne 200ml"/>
    <x v="4"/>
    <n v="0.79"/>
    <n v="5"/>
    <x v="4"/>
    <n v="220"/>
    <n v="217"/>
    <n v="-3"/>
    <n v="-1.3636363636363635"/>
    <x v="0"/>
    <n v="2.37"/>
    <n v="0"/>
    <n v="4"/>
    <n v="0.59250000000000003"/>
    <n v="0.71099999999999997"/>
    <x v="0"/>
    <n v="0"/>
    <s v="Abschreibung"/>
    <n v="100"/>
    <n v="0"/>
    <n v="4"/>
    <n v="3.16"/>
    <x v="1"/>
    <x v="3"/>
  </r>
  <r>
    <s v="F004"/>
    <x v="3"/>
    <s v="A009"/>
    <s v="Sahne 200ml"/>
    <x v="4"/>
    <n v="0.79"/>
    <n v="6"/>
    <x v="5"/>
    <n v="237"/>
    <n v="229"/>
    <n v="-8"/>
    <n v="-3.3755274261603372"/>
    <x v="0"/>
    <n v="6.32"/>
    <n v="4"/>
    <n v="2"/>
    <n v="1.58"/>
    <n v="1.8959999999999999"/>
    <x v="0"/>
    <n v="0"/>
    <s v="Nein"/>
    <n v="0"/>
    <n v="0.79"/>
    <n v="0"/>
    <n v="0"/>
    <x v="0"/>
    <x v="0"/>
  </r>
  <r>
    <s v="F004"/>
    <x v="3"/>
    <s v="A009"/>
    <s v="Sahne 200ml"/>
    <x v="4"/>
    <n v="0.79"/>
    <n v="7"/>
    <x v="6"/>
    <n v="261"/>
    <n v="265"/>
    <n v="4"/>
    <n v="1.5325670498084289"/>
    <x v="1"/>
    <n v="3.16"/>
    <n v="8"/>
    <n v="1"/>
    <n v="0"/>
    <n v="0"/>
    <x v="0"/>
    <n v="4"/>
    <s v="Nein"/>
    <n v="0"/>
    <n v="0.79"/>
    <n v="0"/>
    <n v="0"/>
    <x v="0"/>
    <x v="2"/>
  </r>
  <r>
    <s v="F004"/>
    <x v="3"/>
    <s v="A009"/>
    <s v="Sahne 200ml"/>
    <x v="4"/>
    <n v="0.79"/>
    <n v="8"/>
    <x v="7"/>
    <n v="243"/>
    <n v="239"/>
    <n v="-4"/>
    <n v="-1.6460905349794239"/>
    <x v="0"/>
    <n v="3.16"/>
    <n v="6"/>
    <n v="0"/>
    <n v="0.79"/>
    <n v="0.94799999999999995"/>
    <x v="0"/>
    <n v="0"/>
    <s v="Nein"/>
    <n v="0"/>
    <n v="0.79"/>
    <n v="0"/>
    <n v="0"/>
    <x v="0"/>
    <x v="5"/>
  </r>
  <r>
    <s v="F004"/>
    <x v="3"/>
    <s v="A009"/>
    <s v="Sahne 200ml"/>
    <x v="4"/>
    <n v="0.79"/>
    <n v="9"/>
    <x v="8"/>
    <n v="201"/>
    <n v="203"/>
    <n v="2"/>
    <n v="0.99502487562189057"/>
    <x v="1"/>
    <n v="1.58"/>
    <n v="5"/>
    <n v="3"/>
    <n v="0"/>
    <n v="0"/>
    <x v="0"/>
    <n v="2"/>
    <s v="Nein"/>
    <n v="0"/>
    <n v="0.79"/>
    <n v="0"/>
    <n v="0"/>
    <x v="0"/>
    <x v="2"/>
  </r>
  <r>
    <s v="F004"/>
    <x v="3"/>
    <s v="A009"/>
    <s v="Sahne 200ml"/>
    <x v="4"/>
    <n v="0.79"/>
    <n v="10"/>
    <x v="9"/>
    <n v="216"/>
    <n v="210"/>
    <n v="-6"/>
    <n v="-2.7777777777777777"/>
    <x v="0"/>
    <n v="4.74"/>
    <n v="8"/>
    <n v="0"/>
    <n v="1.1850000000000001"/>
    <n v="1.4219999999999999"/>
    <x v="0"/>
    <n v="0"/>
    <s v="Nein"/>
    <n v="0"/>
    <n v="0.79"/>
    <n v="0"/>
    <n v="0"/>
    <x v="0"/>
    <x v="1"/>
  </r>
  <r>
    <s v="F004"/>
    <x v="3"/>
    <s v="A009"/>
    <s v="Sahne 200ml"/>
    <x v="4"/>
    <n v="0.79"/>
    <n v="11"/>
    <x v="10"/>
    <n v="244"/>
    <n v="244"/>
    <n v="0"/>
    <n v="0"/>
    <x v="2"/>
    <n v="0"/>
    <n v="6"/>
    <n v="1"/>
    <n v="0"/>
    <n v="0"/>
    <x v="3"/>
    <n v="0"/>
    <s v="Nein"/>
    <n v="0"/>
    <n v="0.79"/>
    <n v="0"/>
    <n v="0"/>
    <x v="0"/>
    <x v="5"/>
  </r>
  <r>
    <s v="F004"/>
    <x v="3"/>
    <s v="A009"/>
    <s v="Sahne 200ml"/>
    <x v="4"/>
    <n v="0.79"/>
    <n v="12"/>
    <x v="11"/>
    <n v="320"/>
    <n v="325"/>
    <n v="5"/>
    <n v="1.5625"/>
    <x v="1"/>
    <n v="3.95"/>
    <n v="7"/>
    <n v="1"/>
    <n v="0"/>
    <n v="0"/>
    <x v="4"/>
    <n v="5"/>
    <s v="Nein"/>
    <n v="0"/>
    <n v="0.79"/>
    <n v="0"/>
    <n v="0"/>
    <x v="0"/>
    <x v="2"/>
  </r>
  <r>
    <s v="F004"/>
    <x v="3"/>
    <s v="A010"/>
    <s v="Schmand 200g"/>
    <x v="4"/>
    <n v="0.89"/>
    <n v="1"/>
    <x v="0"/>
    <n v="182"/>
    <n v="179"/>
    <n v="-3"/>
    <n v="-1.6483516483516485"/>
    <x v="0"/>
    <n v="2.67"/>
    <n v="11"/>
    <n v="1"/>
    <n v="0.66749999999999998"/>
    <n v="0.80099999999999993"/>
    <x v="0"/>
    <n v="0"/>
    <s v="Nein"/>
    <n v="0"/>
    <n v="0.89"/>
    <n v="0"/>
    <n v="0"/>
    <x v="0"/>
    <x v="5"/>
  </r>
  <r>
    <s v="F004"/>
    <x v="3"/>
    <s v="A010"/>
    <s v="Schmand 200g"/>
    <x v="4"/>
    <n v="0.89"/>
    <n v="2"/>
    <x v="1"/>
    <n v="173"/>
    <n v="170"/>
    <n v="-3"/>
    <n v="-1.7341040462427744"/>
    <x v="0"/>
    <n v="2.67"/>
    <n v="4"/>
    <n v="3"/>
    <n v="0.66749999999999998"/>
    <n v="0.80099999999999993"/>
    <x v="1"/>
    <n v="0"/>
    <s v="Nein"/>
    <n v="0"/>
    <n v="0.89"/>
    <n v="0"/>
    <n v="0"/>
    <x v="0"/>
    <x v="5"/>
  </r>
  <r>
    <s v="F004"/>
    <x v="3"/>
    <s v="A010"/>
    <s v="Schmand 200g"/>
    <x v="4"/>
    <n v="0.89"/>
    <n v="3"/>
    <x v="2"/>
    <n v="200"/>
    <n v="196"/>
    <n v="-4"/>
    <n v="-2"/>
    <x v="0"/>
    <n v="3.56"/>
    <n v="12"/>
    <n v="2"/>
    <n v="0.89"/>
    <n v="1.0680000000000001"/>
    <x v="0"/>
    <n v="0"/>
    <s v="Nein"/>
    <n v="0"/>
    <n v="0.89"/>
    <n v="0"/>
    <n v="0"/>
    <x v="0"/>
    <x v="5"/>
  </r>
  <r>
    <s v="F004"/>
    <x v="3"/>
    <s v="A010"/>
    <s v="Schmand 200g"/>
    <x v="4"/>
    <n v="0.89"/>
    <n v="4"/>
    <x v="3"/>
    <n v="240"/>
    <n v="233"/>
    <n v="-7"/>
    <n v="-2.9166666666666665"/>
    <x v="0"/>
    <n v="6.23"/>
    <n v="3"/>
    <n v="4"/>
    <n v="1.5575000000000001"/>
    <n v="1.869"/>
    <x v="2"/>
    <n v="0"/>
    <s v="Ja - 20% Reduzierung"/>
    <n v="20"/>
    <n v="0.71"/>
    <n v="29"/>
    <n v="5.16"/>
    <x v="3"/>
    <x v="4"/>
  </r>
  <r>
    <s v="F004"/>
    <x v="3"/>
    <s v="A010"/>
    <s v="Schmand 200g"/>
    <x v="4"/>
    <n v="0.89"/>
    <n v="5"/>
    <x v="4"/>
    <n v="196"/>
    <n v="194"/>
    <n v="-2"/>
    <n v="-1.0204081632653061"/>
    <x v="0"/>
    <n v="1.78"/>
    <n v="8"/>
    <n v="2"/>
    <n v="0.44500000000000001"/>
    <n v="0.53400000000000003"/>
    <x v="0"/>
    <n v="0"/>
    <s v="Nein"/>
    <n v="0"/>
    <n v="0.89"/>
    <n v="0"/>
    <n v="0"/>
    <x v="0"/>
    <x v="5"/>
  </r>
  <r>
    <s v="F004"/>
    <x v="3"/>
    <s v="A010"/>
    <s v="Schmand 200g"/>
    <x v="4"/>
    <n v="0.89"/>
    <n v="6"/>
    <x v="5"/>
    <n v="209"/>
    <n v="203"/>
    <n v="-6"/>
    <n v="-2.8708133971291865"/>
    <x v="0"/>
    <n v="5.34"/>
    <n v="0"/>
    <n v="3"/>
    <n v="1.335"/>
    <n v="1.6019999999999999"/>
    <x v="0"/>
    <n v="0"/>
    <s v="Abschreibung"/>
    <n v="100"/>
    <n v="0"/>
    <n v="6"/>
    <n v="5.34"/>
    <x v="1"/>
    <x v="3"/>
  </r>
  <r>
    <s v="F004"/>
    <x v="3"/>
    <s v="A010"/>
    <s v="Schmand 200g"/>
    <x v="4"/>
    <n v="0.89"/>
    <n v="7"/>
    <x v="6"/>
    <n v="233"/>
    <n v="228"/>
    <n v="-5"/>
    <n v="-2.1459227467811157"/>
    <x v="0"/>
    <n v="4.45"/>
    <n v="0"/>
    <n v="4"/>
    <n v="1.1125"/>
    <n v="1.335"/>
    <x v="0"/>
    <n v="0"/>
    <s v="Abschreibung"/>
    <n v="100"/>
    <n v="0"/>
    <n v="5"/>
    <n v="4.45"/>
    <x v="1"/>
    <x v="3"/>
  </r>
  <r>
    <s v="F004"/>
    <x v="3"/>
    <s v="A010"/>
    <s v="Schmand 200g"/>
    <x v="4"/>
    <n v="0.89"/>
    <n v="8"/>
    <x v="7"/>
    <n v="232"/>
    <n v="229"/>
    <n v="-3"/>
    <n v="-1.2931034482758621"/>
    <x v="0"/>
    <n v="2.67"/>
    <n v="1"/>
    <n v="3"/>
    <n v="0.66749999999999998"/>
    <n v="0.80099999999999993"/>
    <x v="0"/>
    <n v="0"/>
    <s v="Ja - 20% Reduzierung"/>
    <n v="20"/>
    <n v="0.71"/>
    <n v="26"/>
    <n v="4.63"/>
    <x v="1"/>
    <x v="5"/>
  </r>
  <r>
    <s v="F004"/>
    <x v="3"/>
    <s v="A010"/>
    <s v="Schmand 200g"/>
    <x v="4"/>
    <n v="0.89"/>
    <n v="9"/>
    <x v="8"/>
    <n v="188"/>
    <n v="184"/>
    <n v="-4"/>
    <n v="-2.1276595744680851"/>
    <x v="0"/>
    <n v="3.56"/>
    <n v="5"/>
    <n v="0"/>
    <n v="0.89"/>
    <n v="1.0680000000000001"/>
    <x v="0"/>
    <n v="0"/>
    <s v="Nein"/>
    <n v="0"/>
    <n v="0.89"/>
    <n v="0"/>
    <n v="0"/>
    <x v="0"/>
    <x v="1"/>
  </r>
  <r>
    <s v="F004"/>
    <x v="3"/>
    <s v="A010"/>
    <s v="Schmand 200g"/>
    <x v="4"/>
    <n v="0.89"/>
    <n v="10"/>
    <x v="9"/>
    <n v="198"/>
    <n v="196"/>
    <n v="-2"/>
    <n v="-1.0101010101010102"/>
    <x v="0"/>
    <n v="1.78"/>
    <n v="13"/>
    <n v="1"/>
    <n v="0.44500000000000001"/>
    <n v="0.53400000000000003"/>
    <x v="0"/>
    <n v="0"/>
    <s v="Nein"/>
    <n v="0"/>
    <n v="0.89"/>
    <n v="0"/>
    <n v="0"/>
    <x v="0"/>
    <x v="5"/>
  </r>
  <r>
    <s v="F004"/>
    <x v="3"/>
    <s v="A010"/>
    <s v="Schmand 200g"/>
    <x v="4"/>
    <n v="0.89"/>
    <n v="11"/>
    <x v="10"/>
    <n v="229"/>
    <n v="225"/>
    <n v="-4"/>
    <n v="-1.7467248908296942"/>
    <x v="0"/>
    <n v="3.56"/>
    <n v="2"/>
    <n v="5"/>
    <n v="0.89"/>
    <n v="1.0680000000000001"/>
    <x v="3"/>
    <n v="0"/>
    <s v="Ja - 20% Reduzierung"/>
    <n v="20"/>
    <n v="0.71"/>
    <n v="27"/>
    <n v="4.8099999999999996"/>
    <x v="1"/>
    <x v="5"/>
  </r>
  <r>
    <s v="F004"/>
    <x v="3"/>
    <s v="A010"/>
    <s v="Schmand 200g"/>
    <x v="4"/>
    <n v="0.89"/>
    <n v="12"/>
    <x v="11"/>
    <n v="283"/>
    <n v="279"/>
    <n v="-4"/>
    <n v="-1.4134275618374559"/>
    <x v="0"/>
    <n v="3.56"/>
    <n v="1"/>
    <n v="1"/>
    <n v="0.89"/>
    <n v="1.0680000000000001"/>
    <x v="4"/>
    <n v="0"/>
    <s v="Ja - 20% Reduzierung"/>
    <n v="20"/>
    <n v="0.71"/>
    <n v="25"/>
    <n v="4.45"/>
    <x v="1"/>
    <x v="5"/>
  </r>
  <r>
    <s v="F004"/>
    <x v="3"/>
    <s v="A011"/>
    <s v="Mozzarella 125g"/>
    <x v="2"/>
    <n v="1.19"/>
    <n v="1"/>
    <x v="0"/>
    <n v="285"/>
    <n v="278"/>
    <n v="-7"/>
    <n v="-2.4561403508771931"/>
    <x v="0"/>
    <n v="8.33"/>
    <n v="8"/>
    <n v="3"/>
    <n v="2.0825"/>
    <n v="2.4990000000000001"/>
    <x v="0"/>
    <n v="0"/>
    <s v="Nein"/>
    <n v="0"/>
    <n v="1.19"/>
    <n v="0"/>
    <n v="0"/>
    <x v="0"/>
    <x v="0"/>
  </r>
  <r>
    <s v="F004"/>
    <x v="3"/>
    <s v="A011"/>
    <s v="Mozzarella 125g"/>
    <x v="2"/>
    <n v="1.19"/>
    <n v="2"/>
    <x v="1"/>
    <n v="272"/>
    <n v="263"/>
    <n v="-9"/>
    <n v="-3.3088235294117649"/>
    <x v="0"/>
    <n v="10.709999999999999"/>
    <n v="5"/>
    <n v="3"/>
    <n v="2.6774999999999998"/>
    <n v="3.2129999999999996"/>
    <x v="1"/>
    <n v="0"/>
    <s v="Nein"/>
    <n v="0"/>
    <n v="1.19"/>
    <n v="0"/>
    <n v="0"/>
    <x v="0"/>
    <x v="0"/>
  </r>
  <r>
    <s v="F004"/>
    <x v="3"/>
    <s v="A011"/>
    <s v="Mozzarella 125g"/>
    <x v="2"/>
    <n v="1.19"/>
    <n v="3"/>
    <x v="2"/>
    <n v="364"/>
    <n v="354"/>
    <n v="-10"/>
    <n v="-2.7472527472527473"/>
    <x v="0"/>
    <n v="11.899999999999999"/>
    <n v="8"/>
    <n v="4"/>
    <n v="2.9749999999999996"/>
    <n v="3.5699999999999994"/>
    <x v="0"/>
    <n v="0"/>
    <s v="Nein"/>
    <n v="0"/>
    <n v="1.19"/>
    <n v="0"/>
    <n v="0"/>
    <x v="0"/>
    <x v="0"/>
  </r>
  <r>
    <s v="F004"/>
    <x v="3"/>
    <s v="A011"/>
    <s v="Mozzarella 125g"/>
    <x v="2"/>
    <n v="1.19"/>
    <n v="4"/>
    <x v="3"/>
    <n v="421"/>
    <n v="398"/>
    <n v="-23"/>
    <n v="-5.4631828978622332"/>
    <x v="0"/>
    <n v="27.369999999999997"/>
    <n v="1"/>
    <n v="1"/>
    <n v="6.8424999999999994"/>
    <n v="8.2109999999999985"/>
    <x v="2"/>
    <n v="0"/>
    <s v="Ja - 20% Reduzierung"/>
    <n v="20"/>
    <n v="0.95"/>
    <n v="21"/>
    <n v="5"/>
    <x v="1"/>
    <x v="1"/>
  </r>
  <r>
    <s v="F004"/>
    <x v="3"/>
    <s v="A011"/>
    <s v="Mozzarella 125g"/>
    <x v="2"/>
    <n v="1.19"/>
    <n v="5"/>
    <x v="4"/>
    <n v="333"/>
    <n v="323"/>
    <n v="-10"/>
    <n v="-3.0030030030030028"/>
    <x v="0"/>
    <n v="11.899999999999999"/>
    <n v="6"/>
    <n v="2"/>
    <n v="2.9749999999999996"/>
    <n v="3.5699999999999994"/>
    <x v="0"/>
    <n v="0"/>
    <s v="Nein"/>
    <n v="0"/>
    <n v="1.19"/>
    <n v="0"/>
    <n v="0"/>
    <x v="0"/>
    <x v="0"/>
  </r>
  <r>
    <s v="F004"/>
    <x v="3"/>
    <s v="A011"/>
    <s v="Mozzarella 125g"/>
    <x v="2"/>
    <n v="1.19"/>
    <n v="6"/>
    <x v="5"/>
    <n v="363"/>
    <n v="351"/>
    <n v="-12"/>
    <n v="-3.3057851239669422"/>
    <x v="0"/>
    <n v="14.28"/>
    <n v="0"/>
    <n v="2"/>
    <n v="3.57"/>
    <n v="4.2839999999999998"/>
    <x v="0"/>
    <n v="0"/>
    <s v="Abschreibung"/>
    <n v="100"/>
    <n v="0"/>
    <n v="7"/>
    <n v="8.33"/>
    <x v="1"/>
    <x v="3"/>
  </r>
  <r>
    <s v="F004"/>
    <x v="3"/>
    <s v="A011"/>
    <s v="Mozzarella 125g"/>
    <x v="2"/>
    <n v="1.19"/>
    <n v="7"/>
    <x v="6"/>
    <n v="376"/>
    <n v="357"/>
    <n v="-19"/>
    <n v="-5.0531914893617014"/>
    <x v="0"/>
    <n v="22.61"/>
    <n v="1"/>
    <n v="1"/>
    <n v="5.6524999999999999"/>
    <n v="6.7829999999999995"/>
    <x v="0"/>
    <n v="0"/>
    <s v="Ja - 20% Reduzierung"/>
    <n v="20"/>
    <n v="0.95"/>
    <n v="23"/>
    <n v="5.47"/>
    <x v="1"/>
    <x v="1"/>
  </r>
  <r>
    <s v="F004"/>
    <x v="3"/>
    <s v="A011"/>
    <s v="Mozzarella 125g"/>
    <x v="2"/>
    <n v="1.19"/>
    <n v="8"/>
    <x v="7"/>
    <n v="398"/>
    <n v="378"/>
    <n v="-20"/>
    <n v="-5.025125628140704"/>
    <x v="0"/>
    <n v="23.799999999999997"/>
    <n v="7"/>
    <n v="3"/>
    <n v="5.9499999999999993"/>
    <n v="7.1399999999999988"/>
    <x v="0"/>
    <n v="0"/>
    <s v="Nein"/>
    <n v="0"/>
    <n v="1.19"/>
    <n v="0"/>
    <n v="0"/>
    <x v="0"/>
    <x v="0"/>
  </r>
  <r>
    <s v="F004"/>
    <x v="3"/>
    <s v="A011"/>
    <s v="Mozzarella 125g"/>
    <x v="2"/>
    <n v="1.19"/>
    <n v="9"/>
    <x v="8"/>
    <n v="304"/>
    <n v="291"/>
    <n v="-13"/>
    <n v="-4.2763157894736841"/>
    <x v="0"/>
    <n v="15.469999999999999"/>
    <n v="7"/>
    <n v="4"/>
    <n v="3.8674999999999997"/>
    <n v="4.6409999999999991"/>
    <x v="0"/>
    <n v="0"/>
    <s v="Nein"/>
    <n v="0"/>
    <n v="1.19"/>
    <n v="0"/>
    <n v="0"/>
    <x v="0"/>
    <x v="0"/>
  </r>
  <r>
    <s v="F004"/>
    <x v="3"/>
    <s v="A011"/>
    <s v="Mozzarella 125g"/>
    <x v="2"/>
    <n v="1.19"/>
    <n v="10"/>
    <x v="9"/>
    <n v="317"/>
    <n v="322"/>
    <n v="5"/>
    <n v="1.5772870662460567"/>
    <x v="1"/>
    <n v="5.9499999999999993"/>
    <n v="9"/>
    <n v="3"/>
    <n v="0"/>
    <n v="0"/>
    <x v="0"/>
    <n v="5"/>
    <s v="Nein"/>
    <n v="0"/>
    <n v="1.19"/>
    <n v="0"/>
    <n v="0"/>
    <x v="0"/>
    <x v="2"/>
  </r>
  <r>
    <s v="F004"/>
    <x v="3"/>
    <s v="A011"/>
    <s v="Mozzarella 125g"/>
    <x v="2"/>
    <n v="1.19"/>
    <n v="11"/>
    <x v="10"/>
    <n v="378"/>
    <n v="361"/>
    <n v="-17"/>
    <n v="-4.4973544973544968"/>
    <x v="0"/>
    <n v="20.23"/>
    <n v="7"/>
    <n v="1"/>
    <n v="5.0575000000000001"/>
    <n v="6.069"/>
    <x v="3"/>
    <n v="0"/>
    <s v="Nein"/>
    <n v="0"/>
    <n v="1.19"/>
    <n v="0"/>
    <n v="0"/>
    <x v="0"/>
    <x v="1"/>
  </r>
  <r>
    <s v="F004"/>
    <x v="3"/>
    <s v="A011"/>
    <s v="Mozzarella 125g"/>
    <x v="2"/>
    <n v="1.19"/>
    <n v="12"/>
    <x v="11"/>
    <n v="444"/>
    <n v="418"/>
    <n v="-26"/>
    <n v="-5.8558558558558556"/>
    <x v="0"/>
    <n v="30.939999999999998"/>
    <n v="0"/>
    <n v="2"/>
    <n v="7.7349999999999994"/>
    <n v="9.2819999999999983"/>
    <x v="4"/>
    <n v="0"/>
    <s v="Abschreibung"/>
    <n v="100"/>
    <n v="0"/>
    <n v="4"/>
    <n v="4.76"/>
    <x v="1"/>
    <x v="3"/>
  </r>
  <r>
    <s v="F004"/>
    <x v="3"/>
    <s v="A012"/>
    <s v="Quark 500g"/>
    <x v="5"/>
    <n v="1.39"/>
    <n v="1"/>
    <x v="0"/>
    <n v="388"/>
    <n v="381"/>
    <n v="-7"/>
    <n v="-1.804123711340206"/>
    <x v="0"/>
    <n v="9.7299999999999986"/>
    <n v="5"/>
    <n v="0"/>
    <n v="2.4324999999999997"/>
    <n v="2.9189999999999996"/>
    <x v="0"/>
    <n v="0"/>
    <s v="Nein"/>
    <n v="0"/>
    <n v="1.39"/>
    <n v="0"/>
    <n v="0"/>
    <x v="0"/>
    <x v="5"/>
  </r>
  <r>
    <s v="F004"/>
    <x v="3"/>
    <s v="A012"/>
    <s v="Quark 500g"/>
    <x v="5"/>
    <n v="1.39"/>
    <n v="2"/>
    <x v="1"/>
    <n v="393"/>
    <n v="383"/>
    <n v="-10"/>
    <n v="-2.5445292620865136"/>
    <x v="0"/>
    <n v="13.899999999999999"/>
    <n v="5"/>
    <n v="0"/>
    <n v="3.4749999999999996"/>
    <n v="4.169999999999999"/>
    <x v="1"/>
    <n v="0"/>
    <s v="Nein"/>
    <n v="0"/>
    <n v="1.39"/>
    <n v="0"/>
    <n v="0"/>
    <x v="0"/>
    <x v="1"/>
  </r>
  <r>
    <s v="F004"/>
    <x v="3"/>
    <s v="A012"/>
    <s v="Quark 500g"/>
    <x v="5"/>
    <n v="1.39"/>
    <n v="3"/>
    <x v="2"/>
    <n v="453"/>
    <n v="439"/>
    <n v="-14"/>
    <n v="-3.0905077262693159"/>
    <x v="0"/>
    <n v="19.459999999999997"/>
    <n v="8"/>
    <n v="5"/>
    <n v="4.8649999999999993"/>
    <n v="5.8379999999999992"/>
    <x v="0"/>
    <n v="0"/>
    <s v="Nein"/>
    <n v="0"/>
    <n v="1.39"/>
    <n v="0"/>
    <n v="0"/>
    <x v="0"/>
    <x v="0"/>
  </r>
  <r>
    <s v="F004"/>
    <x v="3"/>
    <s v="A012"/>
    <s v="Quark 500g"/>
    <x v="5"/>
    <n v="1.39"/>
    <n v="4"/>
    <x v="3"/>
    <n v="534"/>
    <n v="517"/>
    <n v="-17"/>
    <n v="-3.1835205992509366"/>
    <x v="0"/>
    <n v="23.63"/>
    <n v="14"/>
    <n v="2"/>
    <n v="5.9074999999999998"/>
    <n v="7.0889999999999995"/>
    <x v="2"/>
    <n v="0"/>
    <s v="Nein"/>
    <n v="0"/>
    <n v="1.39"/>
    <n v="0"/>
    <n v="0"/>
    <x v="0"/>
    <x v="0"/>
  </r>
  <r>
    <s v="F004"/>
    <x v="3"/>
    <s v="A012"/>
    <s v="Quark 500g"/>
    <x v="5"/>
    <n v="1.39"/>
    <n v="5"/>
    <x v="4"/>
    <n v="453"/>
    <n v="442"/>
    <n v="-11"/>
    <n v="-2.4282560706401766"/>
    <x v="0"/>
    <n v="15.29"/>
    <n v="14"/>
    <n v="0"/>
    <n v="3.8224999999999998"/>
    <n v="4.5869999999999997"/>
    <x v="0"/>
    <n v="0"/>
    <s v="Nein"/>
    <n v="0"/>
    <n v="1.39"/>
    <n v="0"/>
    <n v="0"/>
    <x v="0"/>
    <x v="1"/>
  </r>
  <r>
    <s v="F004"/>
    <x v="3"/>
    <s v="A012"/>
    <s v="Quark 500g"/>
    <x v="5"/>
    <n v="1.39"/>
    <n v="6"/>
    <x v="5"/>
    <n v="479"/>
    <n v="466"/>
    <n v="-13"/>
    <n v="-2.7139874739039667"/>
    <x v="0"/>
    <n v="18.07"/>
    <n v="10"/>
    <n v="5"/>
    <n v="4.5175000000000001"/>
    <n v="5.4210000000000003"/>
    <x v="0"/>
    <n v="0"/>
    <s v="Nein"/>
    <n v="0"/>
    <n v="1.39"/>
    <n v="0"/>
    <n v="0"/>
    <x v="0"/>
    <x v="0"/>
  </r>
  <r>
    <s v="F004"/>
    <x v="3"/>
    <s v="A012"/>
    <s v="Quark 500g"/>
    <x v="5"/>
    <n v="1.39"/>
    <n v="7"/>
    <x v="6"/>
    <n v="512"/>
    <n v="491"/>
    <n v="-21"/>
    <n v="-4.1015625"/>
    <x v="0"/>
    <n v="29.189999999999998"/>
    <n v="10"/>
    <n v="5"/>
    <n v="7.2974999999999994"/>
    <n v="8.7569999999999997"/>
    <x v="0"/>
    <n v="0"/>
    <s v="Nein"/>
    <n v="0"/>
    <n v="1.39"/>
    <n v="0"/>
    <n v="0"/>
    <x v="0"/>
    <x v="0"/>
  </r>
  <r>
    <s v="F004"/>
    <x v="3"/>
    <s v="A012"/>
    <s v="Quark 500g"/>
    <x v="5"/>
    <n v="1.39"/>
    <n v="8"/>
    <x v="7"/>
    <n v="501"/>
    <n v="478"/>
    <n v="-23"/>
    <n v="-4.5908183632734527"/>
    <x v="0"/>
    <n v="31.97"/>
    <n v="5"/>
    <n v="0"/>
    <n v="7.9924999999999997"/>
    <n v="9.5909999999999993"/>
    <x v="0"/>
    <n v="0"/>
    <s v="Nein"/>
    <n v="0"/>
    <n v="1.39"/>
    <n v="0"/>
    <n v="0"/>
    <x v="0"/>
    <x v="1"/>
  </r>
  <r>
    <s v="F004"/>
    <x v="3"/>
    <s v="A012"/>
    <s v="Quark 500g"/>
    <x v="5"/>
    <n v="1.39"/>
    <n v="9"/>
    <x v="8"/>
    <n v="401"/>
    <n v="387"/>
    <n v="-14"/>
    <n v="-3.4912718204488775"/>
    <x v="0"/>
    <n v="19.459999999999997"/>
    <n v="11"/>
    <n v="3"/>
    <n v="4.8649999999999993"/>
    <n v="5.8379999999999992"/>
    <x v="0"/>
    <n v="0"/>
    <s v="Nein"/>
    <n v="0"/>
    <n v="1.39"/>
    <n v="0"/>
    <n v="0"/>
    <x v="0"/>
    <x v="0"/>
  </r>
  <r>
    <s v="F004"/>
    <x v="3"/>
    <s v="A012"/>
    <s v="Quark 500g"/>
    <x v="5"/>
    <n v="1.39"/>
    <n v="10"/>
    <x v="9"/>
    <n v="449"/>
    <n v="437"/>
    <n v="-12"/>
    <n v="-2.6726057906458798"/>
    <x v="0"/>
    <n v="16.68"/>
    <n v="5"/>
    <n v="4"/>
    <n v="4.17"/>
    <n v="5.0039999999999996"/>
    <x v="0"/>
    <n v="0"/>
    <s v="Nein"/>
    <n v="0"/>
    <n v="1.39"/>
    <n v="0"/>
    <n v="0"/>
    <x v="0"/>
    <x v="0"/>
  </r>
  <r>
    <s v="F004"/>
    <x v="3"/>
    <s v="A012"/>
    <s v="Quark 500g"/>
    <x v="5"/>
    <n v="1.39"/>
    <n v="11"/>
    <x v="10"/>
    <n v="484"/>
    <n v="463"/>
    <n v="-21"/>
    <n v="-4.338842975206612"/>
    <x v="0"/>
    <n v="29.189999999999998"/>
    <n v="6"/>
    <n v="0"/>
    <n v="7.2974999999999994"/>
    <n v="8.7569999999999997"/>
    <x v="3"/>
    <n v="0"/>
    <s v="Nein"/>
    <n v="0"/>
    <n v="1.39"/>
    <n v="0"/>
    <n v="0"/>
    <x v="0"/>
    <x v="1"/>
  </r>
  <r>
    <s v="F004"/>
    <x v="3"/>
    <s v="A012"/>
    <s v="Quark 500g"/>
    <x v="5"/>
    <n v="1.39"/>
    <n v="12"/>
    <x v="11"/>
    <n v="622"/>
    <n v="600"/>
    <n v="-22"/>
    <n v="-3.536977491961415"/>
    <x v="0"/>
    <n v="30.58"/>
    <n v="10"/>
    <n v="5"/>
    <n v="7.6449999999999996"/>
    <n v="9.1739999999999995"/>
    <x v="4"/>
    <n v="0"/>
    <s v="Nein"/>
    <n v="0"/>
    <n v="1.39"/>
    <n v="0"/>
    <n v="0"/>
    <x v="0"/>
    <x v="0"/>
  </r>
  <r>
    <s v="F004"/>
    <x v="3"/>
    <s v="A013"/>
    <s v="Skyr 450g"/>
    <x v="3"/>
    <n v="1.99"/>
    <n v="1"/>
    <x v="0"/>
    <n v="248"/>
    <n v="250"/>
    <n v="2"/>
    <n v="0.80645161290322576"/>
    <x v="1"/>
    <n v="3.98"/>
    <n v="3"/>
    <n v="3"/>
    <n v="0"/>
    <n v="0"/>
    <x v="0"/>
    <n v="2"/>
    <s v="Ja - 20% Reduzierung"/>
    <n v="20"/>
    <n v="1.59"/>
    <n v="12"/>
    <n v="4.78"/>
    <x v="1"/>
    <x v="2"/>
  </r>
  <r>
    <s v="F004"/>
    <x v="3"/>
    <s v="A013"/>
    <s v="Skyr 450g"/>
    <x v="3"/>
    <n v="1.99"/>
    <n v="2"/>
    <x v="1"/>
    <n v="224"/>
    <n v="224"/>
    <n v="0"/>
    <n v="0"/>
    <x v="2"/>
    <n v="0"/>
    <n v="16"/>
    <n v="6"/>
    <n v="0"/>
    <n v="0"/>
    <x v="1"/>
    <n v="0"/>
    <s v="Nein"/>
    <n v="0"/>
    <n v="1.99"/>
    <n v="0"/>
    <n v="0"/>
    <x v="0"/>
    <x v="5"/>
  </r>
  <r>
    <s v="F004"/>
    <x v="3"/>
    <s v="A013"/>
    <s v="Skyr 450g"/>
    <x v="3"/>
    <n v="1.99"/>
    <n v="3"/>
    <x v="2"/>
    <n v="297"/>
    <n v="292"/>
    <n v="-5"/>
    <n v="-1.6835016835016834"/>
    <x v="0"/>
    <n v="9.9499999999999993"/>
    <n v="18"/>
    <n v="2"/>
    <n v="2.4874999999999998"/>
    <n v="2.9849999999999999"/>
    <x v="0"/>
    <n v="0"/>
    <s v="Nein"/>
    <n v="0"/>
    <n v="1.99"/>
    <n v="0"/>
    <n v="0"/>
    <x v="0"/>
    <x v="5"/>
  </r>
  <r>
    <s v="F004"/>
    <x v="3"/>
    <s v="A013"/>
    <s v="Skyr 450g"/>
    <x v="3"/>
    <n v="1.99"/>
    <n v="4"/>
    <x v="3"/>
    <n v="333"/>
    <n v="333"/>
    <n v="0"/>
    <n v="0"/>
    <x v="2"/>
    <n v="0"/>
    <n v="0"/>
    <n v="1"/>
    <n v="0"/>
    <n v="0"/>
    <x v="2"/>
    <n v="0"/>
    <s v="Abschreibung"/>
    <n v="100"/>
    <n v="0"/>
    <n v="3"/>
    <n v="5.97"/>
    <x v="1"/>
    <x v="3"/>
  </r>
  <r>
    <s v="F004"/>
    <x v="3"/>
    <s v="A013"/>
    <s v="Skyr 450g"/>
    <x v="3"/>
    <n v="1.99"/>
    <n v="5"/>
    <x v="4"/>
    <n v="272"/>
    <n v="274"/>
    <n v="2"/>
    <n v="0.73529411764705876"/>
    <x v="1"/>
    <n v="3.98"/>
    <n v="3"/>
    <n v="7"/>
    <n v="0"/>
    <n v="0"/>
    <x v="0"/>
    <n v="2"/>
    <s v="Ja - 20% Reduzierung"/>
    <n v="20"/>
    <n v="1.59"/>
    <n v="14"/>
    <n v="5.57"/>
    <x v="1"/>
    <x v="2"/>
  </r>
  <r>
    <s v="F004"/>
    <x v="3"/>
    <s v="A013"/>
    <s v="Skyr 450g"/>
    <x v="3"/>
    <n v="1.99"/>
    <n v="6"/>
    <x v="5"/>
    <n v="296"/>
    <n v="285"/>
    <n v="-11"/>
    <n v="-3.7162162162162162"/>
    <x v="0"/>
    <n v="21.89"/>
    <n v="1"/>
    <n v="7"/>
    <n v="5.4725000000000001"/>
    <n v="6.5670000000000002"/>
    <x v="0"/>
    <n v="0"/>
    <s v="Ja - 20% Reduzierung"/>
    <n v="20"/>
    <n v="1.59"/>
    <n v="27"/>
    <n v="10.75"/>
    <x v="1"/>
    <x v="0"/>
  </r>
  <r>
    <s v="F004"/>
    <x v="3"/>
    <s v="A013"/>
    <s v="Skyr 450g"/>
    <x v="3"/>
    <n v="1.99"/>
    <n v="7"/>
    <x v="6"/>
    <n v="314"/>
    <n v="317"/>
    <n v="3"/>
    <n v="0.95541401273885351"/>
    <x v="1"/>
    <n v="5.97"/>
    <n v="9"/>
    <n v="5"/>
    <n v="0"/>
    <n v="0"/>
    <x v="0"/>
    <n v="3"/>
    <s v="Nein"/>
    <n v="0"/>
    <n v="1.99"/>
    <n v="0"/>
    <n v="0"/>
    <x v="0"/>
    <x v="2"/>
  </r>
  <r>
    <s v="F004"/>
    <x v="3"/>
    <s v="A013"/>
    <s v="Skyr 450g"/>
    <x v="3"/>
    <n v="1.99"/>
    <n v="8"/>
    <x v="7"/>
    <n v="316"/>
    <n v="310"/>
    <n v="-6"/>
    <n v="-1.89873417721519"/>
    <x v="0"/>
    <n v="11.94"/>
    <n v="2"/>
    <n v="0"/>
    <n v="2.9849999999999999"/>
    <n v="3.5819999999999999"/>
    <x v="0"/>
    <n v="0"/>
    <s v="Ja - 20% Reduzierung"/>
    <n v="20"/>
    <n v="1.59"/>
    <n v="25"/>
    <n v="9.9499999999999993"/>
    <x v="4"/>
    <x v="4"/>
  </r>
  <r>
    <s v="F004"/>
    <x v="3"/>
    <s v="A013"/>
    <s v="Skyr 450g"/>
    <x v="3"/>
    <n v="1.99"/>
    <n v="9"/>
    <x v="8"/>
    <n v="256"/>
    <n v="252"/>
    <n v="-4"/>
    <n v="-1.5625"/>
    <x v="0"/>
    <n v="7.96"/>
    <n v="17"/>
    <n v="5"/>
    <n v="1.99"/>
    <n v="2.3879999999999999"/>
    <x v="0"/>
    <n v="0"/>
    <s v="Nein"/>
    <n v="0"/>
    <n v="1.99"/>
    <n v="0"/>
    <n v="0"/>
    <x v="0"/>
    <x v="5"/>
  </r>
  <r>
    <s v="F004"/>
    <x v="3"/>
    <s v="A013"/>
    <s v="Skyr 450g"/>
    <x v="3"/>
    <n v="1.99"/>
    <n v="10"/>
    <x v="9"/>
    <n v="278"/>
    <n v="270"/>
    <n v="-8"/>
    <n v="-2.877697841726619"/>
    <x v="0"/>
    <n v="15.92"/>
    <n v="20"/>
    <n v="3"/>
    <n v="3.98"/>
    <n v="4.7759999999999998"/>
    <x v="0"/>
    <n v="0"/>
    <s v="Nein"/>
    <n v="0"/>
    <n v="1.99"/>
    <n v="0"/>
    <n v="0"/>
    <x v="0"/>
    <x v="0"/>
  </r>
  <r>
    <s v="F004"/>
    <x v="3"/>
    <s v="A013"/>
    <s v="Skyr 450g"/>
    <x v="3"/>
    <n v="1.99"/>
    <n v="11"/>
    <x v="10"/>
    <n v="312"/>
    <n v="312"/>
    <n v="0"/>
    <n v="0"/>
    <x v="2"/>
    <n v="0"/>
    <n v="10"/>
    <n v="4"/>
    <n v="0"/>
    <n v="0"/>
    <x v="3"/>
    <n v="0"/>
    <s v="Nein"/>
    <n v="0"/>
    <n v="1.99"/>
    <n v="0"/>
    <n v="0"/>
    <x v="0"/>
    <x v="5"/>
  </r>
  <r>
    <s v="F004"/>
    <x v="3"/>
    <s v="A013"/>
    <s v="Skyr 450g"/>
    <x v="3"/>
    <n v="1.99"/>
    <n v="12"/>
    <x v="11"/>
    <n v="381"/>
    <n v="365"/>
    <n v="-16"/>
    <n v="-4.1994750656167978"/>
    <x v="0"/>
    <n v="31.84"/>
    <n v="2"/>
    <n v="0"/>
    <n v="7.96"/>
    <n v="9.5519999999999996"/>
    <x v="4"/>
    <n v="0"/>
    <s v="Ja - 20% Reduzierung"/>
    <n v="20"/>
    <n v="1.59"/>
    <n v="19"/>
    <n v="7.56"/>
    <x v="1"/>
    <x v="1"/>
  </r>
  <r>
    <s v="F004"/>
    <x v="3"/>
    <s v="A014"/>
    <s v="Kefir 500ml"/>
    <x v="0"/>
    <n v="1.39"/>
    <n v="1"/>
    <x v="0"/>
    <n v="153"/>
    <n v="149"/>
    <n v="-4"/>
    <n v="-2.6143790849673203"/>
    <x v="0"/>
    <n v="5.56"/>
    <n v="10"/>
    <n v="2"/>
    <n v="1.39"/>
    <n v="1.6679999999999999"/>
    <x v="0"/>
    <n v="0"/>
    <s v="Nein"/>
    <n v="0"/>
    <n v="1.39"/>
    <n v="0"/>
    <n v="0"/>
    <x v="0"/>
    <x v="0"/>
  </r>
  <r>
    <s v="F004"/>
    <x v="3"/>
    <s v="A014"/>
    <s v="Kefir 500ml"/>
    <x v="0"/>
    <n v="1.39"/>
    <n v="2"/>
    <x v="1"/>
    <n v="144"/>
    <n v="144"/>
    <n v="0"/>
    <n v="0"/>
    <x v="2"/>
    <n v="0"/>
    <n v="0"/>
    <n v="0"/>
    <n v="0"/>
    <n v="0"/>
    <x v="1"/>
    <n v="0"/>
    <s v="Abschreibung"/>
    <n v="100"/>
    <n v="0"/>
    <n v="4"/>
    <n v="5.56"/>
    <x v="1"/>
    <x v="3"/>
  </r>
  <r>
    <s v="F004"/>
    <x v="3"/>
    <s v="A014"/>
    <s v="Kefir 500ml"/>
    <x v="0"/>
    <n v="1.39"/>
    <n v="3"/>
    <x v="2"/>
    <n v="178"/>
    <n v="170"/>
    <n v="-8"/>
    <n v="-4.4943820224719104"/>
    <x v="0"/>
    <n v="11.12"/>
    <n v="2"/>
    <n v="3"/>
    <n v="2.78"/>
    <n v="3.3359999999999999"/>
    <x v="0"/>
    <n v="0"/>
    <s v="Ja - 20% Reduzierung"/>
    <n v="20"/>
    <n v="1.1100000000000001"/>
    <n v="11"/>
    <n v="3.06"/>
    <x v="1"/>
    <x v="0"/>
  </r>
  <r>
    <s v="F004"/>
    <x v="3"/>
    <s v="A014"/>
    <s v="Kefir 500ml"/>
    <x v="0"/>
    <n v="1.39"/>
    <n v="4"/>
    <x v="3"/>
    <n v="202"/>
    <n v="196"/>
    <n v="-6"/>
    <n v="-2.9702970297029703"/>
    <x v="0"/>
    <n v="8.34"/>
    <n v="3"/>
    <n v="2"/>
    <n v="2.085"/>
    <n v="2.5019999999999998"/>
    <x v="2"/>
    <n v="0"/>
    <s v="Ja - 20% Reduzierung"/>
    <n v="20"/>
    <n v="1.1100000000000001"/>
    <n v="26"/>
    <n v="7.23"/>
    <x v="1"/>
    <x v="0"/>
  </r>
  <r>
    <s v="F004"/>
    <x v="3"/>
    <s v="A014"/>
    <s v="Kefir 500ml"/>
    <x v="0"/>
    <n v="1.39"/>
    <n v="5"/>
    <x v="4"/>
    <n v="167"/>
    <n v="167"/>
    <n v="0"/>
    <n v="0"/>
    <x v="2"/>
    <n v="0"/>
    <n v="9"/>
    <n v="0"/>
    <n v="0"/>
    <n v="0"/>
    <x v="0"/>
    <n v="0"/>
    <s v="Nein"/>
    <n v="0"/>
    <n v="1.39"/>
    <n v="0"/>
    <n v="0"/>
    <x v="0"/>
    <x v="5"/>
  </r>
  <r>
    <s v="F004"/>
    <x v="3"/>
    <s v="A014"/>
    <s v="Kefir 500ml"/>
    <x v="0"/>
    <n v="1.39"/>
    <n v="6"/>
    <x v="5"/>
    <n v="172"/>
    <n v="172"/>
    <n v="0"/>
    <n v="0"/>
    <x v="2"/>
    <n v="0"/>
    <n v="6"/>
    <n v="2"/>
    <n v="0"/>
    <n v="0"/>
    <x v="0"/>
    <n v="0"/>
    <s v="Nein"/>
    <n v="0"/>
    <n v="1.39"/>
    <n v="0"/>
    <n v="0"/>
    <x v="0"/>
    <x v="5"/>
  </r>
  <r>
    <s v="F004"/>
    <x v="3"/>
    <s v="A014"/>
    <s v="Kefir 500ml"/>
    <x v="0"/>
    <n v="1.39"/>
    <n v="7"/>
    <x v="6"/>
    <n v="190"/>
    <n v="183"/>
    <n v="-7"/>
    <n v="-3.6842105263157889"/>
    <x v="0"/>
    <n v="9.7299999999999986"/>
    <n v="0"/>
    <n v="1"/>
    <n v="2.4324999999999997"/>
    <n v="2.9189999999999996"/>
    <x v="0"/>
    <n v="0"/>
    <s v="Abschreibung"/>
    <n v="100"/>
    <n v="0"/>
    <n v="4"/>
    <n v="5.56"/>
    <x v="1"/>
    <x v="3"/>
  </r>
  <r>
    <s v="F004"/>
    <x v="3"/>
    <s v="A014"/>
    <s v="Kefir 500ml"/>
    <x v="0"/>
    <n v="1.39"/>
    <n v="8"/>
    <x v="7"/>
    <n v="194"/>
    <n v="200"/>
    <n v="6"/>
    <n v="3.0927835051546393"/>
    <x v="1"/>
    <n v="8.34"/>
    <n v="2"/>
    <n v="3"/>
    <n v="0"/>
    <n v="0"/>
    <x v="0"/>
    <n v="6"/>
    <s v="Ja - 20% Reduzierung"/>
    <n v="20"/>
    <n v="1.1100000000000001"/>
    <n v="19"/>
    <n v="5.28"/>
    <x v="1"/>
    <x v="2"/>
  </r>
  <r>
    <s v="F004"/>
    <x v="3"/>
    <s v="A014"/>
    <s v="Kefir 500ml"/>
    <x v="0"/>
    <n v="1.39"/>
    <n v="9"/>
    <x v="8"/>
    <n v="149"/>
    <n v="145"/>
    <n v="-4"/>
    <n v="-2.6845637583892619"/>
    <x v="0"/>
    <n v="5.56"/>
    <n v="2"/>
    <n v="0"/>
    <n v="1.39"/>
    <n v="1.6679999999999999"/>
    <x v="0"/>
    <n v="0"/>
    <s v="Ja - 20% Reduzierung"/>
    <n v="20"/>
    <n v="1.1100000000000001"/>
    <n v="13"/>
    <n v="3.61"/>
    <x v="1"/>
    <x v="1"/>
  </r>
  <r>
    <s v="F004"/>
    <x v="3"/>
    <s v="A014"/>
    <s v="Kefir 500ml"/>
    <x v="0"/>
    <n v="1.39"/>
    <n v="10"/>
    <x v="9"/>
    <n v="158"/>
    <n v="151"/>
    <n v="-7"/>
    <n v="-4.4303797468354427"/>
    <x v="0"/>
    <n v="9.7299999999999986"/>
    <n v="10"/>
    <n v="1"/>
    <n v="2.4324999999999997"/>
    <n v="2.9189999999999996"/>
    <x v="0"/>
    <n v="0"/>
    <s v="Nein"/>
    <n v="0"/>
    <n v="1.39"/>
    <n v="0"/>
    <n v="0"/>
    <x v="0"/>
    <x v="1"/>
  </r>
  <r>
    <s v="F004"/>
    <x v="3"/>
    <s v="A014"/>
    <s v="Kefir 500ml"/>
    <x v="0"/>
    <n v="1.39"/>
    <n v="11"/>
    <x v="10"/>
    <n v="183"/>
    <n v="177"/>
    <n v="-6"/>
    <n v="-3.278688524590164"/>
    <x v="0"/>
    <n v="8.34"/>
    <n v="4"/>
    <n v="2"/>
    <n v="2.085"/>
    <n v="2.5019999999999998"/>
    <x v="3"/>
    <n v="0"/>
    <s v="Nein"/>
    <n v="0"/>
    <n v="1.39"/>
    <n v="0"/>
    <n v="0"/>
    <x v="0"/>
    <x v="0"/>
  </r>
  <r>
    <s v="F004"/>
    <x v="3"/>
    <s v="A014"/>
    <s v="Kefir 500ml"/>
    <x v="0"/>
    <n v="1.39"/>
    <n v="12"/>
    <x v="11"/>
    <n v="236"/>
    <n v="225"/>
    <n v="-11"/>
    <n v="-4.6610169491525424"/>
    <x v="0"/>
    <n v="15.29"/>
    <n v="5"/>
    <n v="3"/>
    <n v="3.8224999999999998"/>
    <n v="4.5869999999999997"/>
    <x v="4"/>
    <n v="0"/>
    <s v="Nein"/>
    <n v="0"/>
    <n v="1.39"/>
    <n v="0"/>
    <n v="0"/>
    <x v="0"/>
    <x v="0"/>
  </r>
  <r>
    <s v="F004"/>
    <x v="3"/>
    <s v="A015"/>
    <s v="Frischkäse 200g"/>
    <x v="2"/>
    <n v="1.49"/>
    <n v="1"/>
    <x v="0"/>
    <n v="208"/>
    <n v="206"/>
    <n v="-2"/>
    <n v="-0.96153846153846156"/>
    <x v="0"/>
    <n v="2.98"/>
    <n v="2"/>
    <n v="6"/>
    <n v="0.745"/>
    <n v="0.89400000000000002"/>
    <x v="0"/>
    <n v="0"/>
    <s v="Ja - 20% Reduzierung"/>
    <n v="20"/>
    <n v="1.19"/>
    <n v="29"/>
    <n v="8.64"/>
    <x v="1"/>
    <x v="5"/>
  </r>
  <r>
    <s v="F004"/>
    <x v="3"/>
    <s v="A015"/>
    <s v="Frischkäse 200g"/>
    <x v="2"/>
    <n v="1.49"/>
    <n v="2"/>
    <x v="1"/>
    <n v="196"/>
    <n v="193"/>
    <n v="-3"/>
    <n v="-1.5306122448979591"/>
    <x v="0"/>
    <n v="4.47"/>
    <n v="8"/>
    <n v="5"/>
    <n v="1.1174999999999999"/>
    <n v="1.341"/>
    <x v="1"/>
    <n v="0"/>
    <s v="Nein"/>
    <n v="0"/>
    <n v="1.49"/>
    <n v="0"/>
    <n v="0"/>
    <x v="0"/>
    <x v="5"/>
  </r>
  <r>
    <s v="F004"/>
    <x v="3"/>
    <s v="A015"/>
    <s v="Frischkäse 200g"/>
    <x v="2"/>
    <n v="1.49"/>
    <n v="3"/>
    <x v="2"/>
    <n v="219"/>
    <n v="215"/>
    <n v="-4"/>
    <n v="-1.8264840182648401"/>
    <x v="0"/>
    <n v="5.96"/>
    <n v="1"/>
    <n v="6"/>
    <n v="1.49"/>
    <n v="1.788"/>
    <x v="0"/>
    <n v="0"/>
    <s v="Ja - 20% Reduzierung"/>
    <n v="20"/>
    <n v="1.19"/>
    <n v="24"/>
    <n v="7.15"/>
    <x v="1"/>
    <x v="5"/>
  </r>
  <r>
    <s v="F004"/>
    <x v="3"/>
    <s v="A015"/>
    <s v="Frischkäse 200g"/>
    <x v="2"/>
    <n v="1.49"/>
    <n v="4"/>
    <x v="3"/>
    <n v="286"/>
    <n v="280"/>
    <n v="-6"/>
    <n v="-2.0979020979020979"/>
    <x v="0"/>
    <n v="8.94"/>
    <n v="16"/>
    <n v="6"/>
    <n v="2.2349999999999999"/>
    <n v="2.6819999999999999"/>
    <x v="2"/>
    <n v="0"/>
    <s v="Nein"/>
    <n v="0"/>
    <n v="1.49"/>
    <n v="0"/>
    <n v="0"/>
    <x v="0"/>
    <x v="0"/>
  </r>
  <r>
    <s v="F004"/>
    <x v="3"/>
    <s v="A015"/>
    <s v="Frischkäse 200g"/>
    <x v="2"/>
    <n v="1.49"/>
    <n v="5"/>
    <x v="4"/>
    <n v="224"/>
    <n v="220"/>
    <n v="-4"/>
    <n v="-1.7857142857142856"/>
    <x v="0"/>
    <n v="5.96"/>
    <n v="4"/>
    <n v="5"/>
    <n v="1.49"/>
    <n v="1.788"/>
    <x v="0"/>
    <n v="0"/>
    <s v="Nein"/>
    <n v="0"/>
    <n v="1.49"/>
    <n v="0"/>
    <n v="0"/>
    <x v="0"/>
    <x v="5"/>
  </r>
  <r>
    <s v="F004"/>
    <x v="3"/>
    <s v="A015"/>
    <s v="Frischkäse 200g"/>
    <x v="2"/>
    <n v="1.49"/>
    <n v="6"/>
    <x v="5"/>
    <n v="247"/>
    <n v="247"/>
    <n v="0"/>
    <n v="0"/>
    <x v="2"/>
    <n v="0"/>
    <n v="8"/>
    <n v="5"/>
    <n v="0"/>
    <n v="0"/>
    <x v="0"/>
    <n v="0"/>
    <s v="Nein"/>
    <n v="0"/>
    <n v="1.49"/>
    <n v="0"/>
    <n v="0"/>
    <x v="0"/>
    <x v="5"/>
  </r>
  <r>
    <s v="F004"/>
    <x v="3"/>
    <s v="A015"/>
    <s v="Frischkäse 200g"/>
    <x v="2"/>
    <n v="1.49"/>
    <n v="7"/>
    <x v="6"/>
    <n v="259"/>
    <n v="256"/>
    <n v="-3"/>
    <n v="-1.1583011583011582"/>
    <x v="0"/>
    <n v="4.47"/>
    <n v="13"/>
    <n v="0"/>
    <n v="1.1174999999999999"/>
    <n v="1.341"/>
    <x v="0"/>
    <n v="0"/>
    <s v="Nein"/>
    <n v="0"/>
    <n v="1.49"/>
    <n v="0"/>
    <n v="0"/>
    <x v="0"/>
    <x v="5"/>
  </r>
  <r>
    <s v="F004"/>
    <x v="3"/>
    <s v="A015"/>
    <s v="Frischkäse 200g"/>
    <x v="2"/>
    <n v="1.49"/>
    <n v="8"/>
    <x v="7"/>
    <n v="245"/>
    <n v="250"/>
    <n v="5"/>
    <n v="2.0408163265306123"/>
    <x v="1"/>
    <n v="7.45"/>
    <n v="13"/>
    <n v="6"/>
    <n v="0"/>
    <n v="0"/>
    <x v="0"/>
    <n v="5"/>
    <s v="Nein"/>
    <n v="0"/>
    <n v="1.49"/>
    <n v="0"/>
    <n v="0"/>
    <x v="0"/>
    <x v="2"/>
  </r>
  <r>
    <s v="F004"/>
    <x v="3"/>
    <s v="A015"/>
    <s v="Frischkäse 200g"/>
    <x v="2"/>
    <n v="1.49"/>
    <n v="9"/>
    <x v="8"/>
    <n v="219"/>
    <n v="216"/>
    <n v="-3"/>
    <n v="-1.3698630136986301"/>
    <x v="0"/>
    <n v="4.47"/>
    <n v="17"/>
    <n v="7"/>
    <n v="1.1174999999999999"/>
    <n v="1.341"/>
    <x v="0"/>
    <n v="0"/>
    <s v="Nein"/>
    <n v="0"/>
    <n v="1.49"/>
    <n v="0"/>
    <n v="0"/>
    <x v="0"/>
    <x v="5"/>
  </r>
  <r>
    <s v="F004"/>
    <x v="3"/>
    <s v="A015"/>
    <s v="Frischkäse 200g"/>
    <x v="2"/>
    <n v="1.49"/>
    <n v="10"/>
    <x v="9"/>
    <n v="216"/>
    <n v="212"/>
    <n v="-4"/>
    <n v="-1.8518518518518516"/>
    <x v="0"/>
    <n v="5.96"/>
    <n v="20"/>
    <n v="5"/>
    <n v="1.49"/>
    <n v="1.788"/>
    <x v="0"/>
    <n v="0"/>
    <s v="Nein"/>
    <n v="0"/>
    <n v="1.49"/>
    <n v="0"/>
    <n v="0"/>
    <x v="0"/>
    <x v="5"/>
  </r>
  <r>
    <s v="F004"/>
    <x v="3"/>
    <s v="A015"/>
    <s v="Frischkäse 200g"/>
    <x v="2"/>
    <n v="1.49"/>
    <n v="11"/>
    <x v="10"/>
    <n v="235"/>
    <n v="235"/>
    <n v="0"/>
    <n v="0"/>
    <x v="2"/>
    <n v="0"/>
    <n v="5"/>
    <n v="0"/>
    <n v="0"/>
    <n v="0"/>
    <x v="3"/>
    <n v="0"/>
    <s v="Nein"/>
    <n v="0"/>
    <n v="1.49"/>
    <n v="0"/>
    <n v="0"/>
    <x v="0"/>
    <x v="5"/>
  </r>
  <r>
    <s v="F004"/>
    <x v="3"/>
    <s v="A015"/>
    <s v="Frischkäse 200g"/>
    <x v="2"/>
    <n v="1.49"/>
    <n v="12"/>
    <x v="11"/>
    <n v="293"/>
    <n v="293"/>
    <n v="0"/>
    <n v="0"/>
    <x v="2"/>
    <n v="0"/>
    <n v="9"/>
    <n v="3"/>
    <n v="0"/>
    <n v="0"/>
    <x v="4"/>
    <n v="0"/>
    <s v="Nein"/>
    <n v="0"/>
    <n v="1.49"/>
    <n v="0"/>
    <n v="0"/>
    <x v="0"/>
    <x v="5"/>
  </r>
  <r>
    <s v="F005"/>
    <x v="4"/>
    <s v="A001"/>
    <s v="Vollmilch 1L"/>
    <x v="0"/>
    <n v="1.19"/>
    <n v="1"/>
    <x v="0"/>
    <n v="567"/>
    <n v="539"/>
    <n v="-28"/>
    <n v="-4.9382716049382713"/>
    <x v="0"/>
    <n v="33.32"/>
    <n v="0"/>
    <n v="1"/>
    <n v="8.33"/>
    <n v="9.9960000000000004"/>
    <x v="0"/>
    <n v="0"/>
    <s v="Abschreibung"/>
    <n v="100"/>
    <n v="0"/>
    <n v="6"/>
    <n v="7.14"/>
    <x v="1"/>
    <x v="3"/>
  </r>
  <r>
    <s v="F005"/>
    <x v="4"/>
    <s v="A001"/>
    <s v="Vollmilch 1L"/>
    <x v="0"/>
    <n v="1.19"/>
    <n v="2"/>
    <x v="1"/>
    <n v="580"/>
    <n v="561"/>
    <n v="-19"/>
    <n v="-3.2758620689655173"/>
    <x v="0"/>
    <n v="22.61"/>
    <n v="1"/>
    <n v="1"/>
    <n v="5.6524999999999999"/>
    <n v="6.7829999999999995"/>
    <x v="1"/>
    <n v="0"/>
    <s v="Ja - 20% Reduzierung"/>
    <n v="20"/>
    <n v="0.95"/>
    <n v="81"/>
    <n v="19.28"/>
    <x v="1"/>
    <x v="6"/>
  </r>
  <r>
    <s v="F005"/>
    <x v="4"/>
    <s v="A001"/>
    <s v="Vollmilch 1L"/>
    <x v="0"/>
    <n v="1.19"/>
    <n v="3"/>
    <x v="2"/>
    <n v="703"/>
    <n v="711"/>
    <n v="8"/>
    <n v="1.1379800853485065"/>
    <x v="1"/>
    <n v="9.52"/>
    <n v="6"/>
    <n v="3"/>
    <n v="0"/>
    <n v="0"/>
    <x v="0"/>
    <n v="8"/>
    <s v="Nein"/>
    <n v="0"/>
    <n v="1.19"/>
    <n v="0"/>
    <n v="0"/>
    <x v="0"/>
    <x v="2"/>
  </r>
  <r>
    <s v="F005"/>
    <x v="4"/>
    <s v="A001"/>
    <s v="Vollmilch 1L"/>
    <x v="0"/>
    <n v="1.19"/>
    <n v="4"/>
    <x v="3"/>
    <n v="845"/>
    <n v="851"/>
    <n v="6"/>
    <n v="0.7100591715976331"/>
    <x v="1"/>
    <n v="7.14"/>
    <n v="3"/>
    <n v="0"/>
    <n v="0"/>
    <n v="0"/>
    <x v="2"/>
    <n v="6"/>
    <s v="Ja - 20% Reduzierung"/>
    <n v="20"/>
    <n v="0.95"/>
    <n v="59"/>
    <n v="14.04"/>
    <x v="1"/>
    <x v="2"/>
  </r>
  <r>
    <s v="F005"/>
    <x v="4"/>
    <s v="A001"/>
    <s v="Vollmilch 1L"/>
    <x v="0"/>
    <n v="1.19"/>
    <n v="5"/>
    <x v="4"/>
    <n v="663"/>
    <n v="637"/>
    <n v="-26"/>
    <n v="-3.9215686274509802"/>
    <x v="0"/>
    <n v="30.939999999999998"/>
    <n v="0"/>
    <n v="3"/>
    <n v="7.7349999999999994"/>
    <n v="9.2819999999999983"/>
    <x v="0"/>
    <n v="0"/>
    <s v="Abschreibung"/>
    <n v="100"/>
    <n v="0"/>
    <n v="13"/>
    <n v="15.47"/>
    <x v="1"/>
    <x v="3"/>
  </r>
  <r>
    <s v="F005"/>
    <x v="4"/>
    <s v="A001"/>
    <s v="Vollmilch 1L"/>
    <x v="0"/>
    <n v="1.19"/>
    <n v="6"/>
    <x v="5"/>
    <n v="751"/>
    <n v="718"/>
    <n v="-33"/>
    <n v="-4.3941411451398134"/>
    <x v="0"/>
    <n v="39.269999999999996"/>
    <n v="2"/>
    <n v="1"/>
    <n v="9.817499999999999"/>
    <n v="11.780999999999999"/>
    <x v="0"/>
    <n v="0"/>
    <s v="Ja - 20% Reduzierung"/>
    <n v="20"/>
    <n v="0.95"/>
    <n v="83"/>
    <n v="19.75"/>
    <x v="5"/>
    <x v="4"/>
  </r>
  <r>
    <s v="F005"/>
    <x v="4"/>
    <s v="A001"/>
    <s v="Vollmilch 1L"/>
    <x v="0"/>
    <n v="1.19"/>
    <n v="7"/>
    <x v="6"/>
    <n v="764"/>
    <n v="736"/>
    <n v="-28"/>
    <n v="-3.664921465968586"/>
    <x v="0"/>
    <n v="33.32"/>
    <n v="2"/>
    <n v="3"/>
    <n v="8.33"/>
    <n v="9.9960000000000004"/>
    <x v="0"/>
    <n v="0"/>
    <s v="Ja - 20% Reduzierung"/>
    <n v="20"/>
    <n v="0.95"/>
    <n v="84"/>
    <n v="19.989999999999998"/>
    <x v="1"/>
    <x v="6"/>
  </r>
  <r>
    <s v="F005"/>
    <x v="4"/>
    <s v="A001"/>
    <s v="Vollmilch 1L"/>
    <x v="0"/>
    <n v="1.19"/>
    <n v="8"/>
    <x v="7"/>
    <n v="777"/>
    <n v="735"/>
    <n v="-42"/>
    <n v="-5.4054054054054053"/>
    <x v="0"/>
    <n v="49.98"/>
    <n v="3"/>
    <n v="1"/>
    <n v="12.494999999999999"/>
    <n v="14.993999999999998"/>
    <x v="0"/>
    <n v="0"/>
    <s v="Ja - 20% Reduzierung"/>
    <n v="20"/>
    <n v="0.95"/>
    <n v="109"/>
    <n v="25.94"/>
    <x v="1"/>
    <x v="6"/>
  </r>
  <r>
    <s v="F005"/>
    <x v="4"/>
    <s v="A001"/>
    <s v="Vollmilch 1L"/>
    <x v="0"/>
    <n v="1.19"/>
    <n v="9"/>
    <x v="8"/>
    <n v="611"/>
    <n v="616"/>
    <n v="5"/>
    <n v="0.81833060556464821"/>
    <x v="1"/>
    <n v="5.9499999999999993"/>
    <n v="7"/>
    <n v="1"/>
    <n v="0"/>
    <n v="0"/>
    <x v="0"/>
    <n v="5"/>
    <s v="Nein"/>
    <n v="0"/>
    <n v="1.19"/>
    <n v="0"/>
    <n v="0"/>
    <x v="0"/>
    <x v="2"/>
  </r>
  <r>
    <s v="F005"/>
    <x v="4"/>
    <s v="A001"/>
    <s v="Vollmilch 1L"/>
    <x v="0"/>
    <n v="1.19"/>
    <n v="10"/>
    <x v="9"/>
    <n v="676"/>
    <n v="638"/>
    <n v="-38"/>
    <n v="-5.6213017751479288"/>
    <x v="0"/>
    <n v="45.22"/>
    <n v="4"/>
    <n v="2"/>
    <n v="11.305"/>
    <n v="13.565999999999999"/>
    <x v="0"/>
    <n v="0"/>
    <s v="Nein"/>
    <n v="0"/>
    <n v="1.19"/>
    <n v="0"/>
    <n v="0"/>
    <x v="0"/>
    <x v="6"/>
  </r>
  <r>
    <s v="F005"/>
    <x v="4"/>
    <s v="A001"/>
    <s v="Vollmilch 1L"/>
    <x v="0"/>
    <n v="1.19"/>
    <n v="11"/>
    <x v="10"/>
    <n v="708"/>
    <n v="683"/>
    <n v="-25"/>
    <n v="-3.5310734463276838"/>
    <x v="0"/>
    <n v="29.75"/>
    <n v="5"/>
    <n v="1"/>
    <n v="7.4375"/>
    <n v="8.9249999999999989"/>
    <x v="3"/>
    <n v="0"/>
    <s v="Nein"/>
    <n v="0"/>
    <n v="1.19"/>
    <n v="0"/>
    <n v="0"/>
    <x v="0"/>
    <x v="6"/>
  </r>
  <r>
    <s v="F005"/>
    <x v="4"/>
    <s v="A001"/>
    <s v="Vollmilch 1L"/>
    <x v="0"/>
    <n v="1.19"/>
    <n v="12"/>
    <x v="11"/>
    <n v="946"/>
    <n v="883"/>
    <n v="-63"/>
    <n v="-6.6596194503171251"/>
    <x v="0"/>
    <n v="74.97"/>
    <n v="4"/>
    <n v="1"/>
    <n v="18.7425"/>
    <n v="22.491"/>
    <x v="4"/>
    <n v="0"/>
    <s v="Nein"/>
    <n v="0"/>
    <n v="1.19"/>
    <n v="0"/>
    <n v="0"/>
    <x v="0"/>
    <x v="6"/>
  </r>
  <r>
    <s v="F005"/>
    <x v="4"/>
    <s v="A002"/>
    <s v="Fettarme Milch 1L"/>
    <x v="0"/>
    <n v="1.0900000000000001"/>
    <n v="1"/>
    <x v="0"/>
    <n v="521"/>
    <n v="499"/>
    <n v="-22"/>
    <n v="-4.2226487523992322"/>
    <x v="0"/>
    <n v="23.98"/>
    <n v="1"/>
    <n v="1"/>
    <n v="5.9950000000000001"/>
    <n v="7.194"/>
    <x v="0"/>
    <n v="0"/>
    <s v="Ja - 20% Reduzierung"/>
    <n v="20"/>
    <n v="0.87"/>
    <n v="47"/>
    <n v="10.25"/>
    <x v="1"/>
    <x v="6"/>
  </r>
  <r>
    <s v="F005"/>
    <x v="4"/>
    <s v="A002"/>
    <s v="Fettarme Milch 1L"/>
    <x v="0"/>
    <n v="1.0900000000000001"/>
    <n v="2"/>
    <x v="1"/>
    <n v="497"/>
    <n v="484"/>
    <n v="-13"/>
    <n v="-2.6156941649899399"/>
    <x v="0"/>
    <n v="14.170000000000002"/>
    <n v="6"/>
    <n v="2"/>
    <n v="3.5425000000000004"/>
    <n v="4.2510000000000003"/>
    <x v="1"/>
    <n v="0"/>
    <s v="Nein"/>
    <n v="0"/>
    <n v="1.0900000000000001"/>
    <n v="0"/>
    <n v="0"/>
    <x v="0"/>
    <x v="0"/>
  </r>
  <r>
    <s v="F005"/>
    <x v="4"/>
    <s v="A002"/>
    <s v="Fettarme Milch 1L"/>
    <x v="0"/>
    <n v="1.0900000000000001"/>
    <n v="3"/>
    <x v="2"/>
    <n v="590"/>
    <n v="591"/>
    <n v="1"/>
    <n v="0.16949152542372881"/>
    <x v="1"/>
    <n v="1.0900000000000001"/>
    <n v="4"/>
    <n v="3"/>
    <n v="0"/>
    <n v="0"/>
    <x v="0"/>
    <n v="1"/>
    <s v="Nein"/>
    <n v="0"/>
    <n v="1.0900000000000001"/>
    <n v="0"/>
    <n v="0"/>
    <x v="0"/>
    <x v="2"/>
  </r>
  <r>
    <s v="F005"/>
    <x v="4"/>
    <s v="A002"/>
    <s v="Fettarme Milch 1L"/>
    <x v="0"/>
    <n v="1.0900000000000001"/>
    <n v="4"/>
    <x v="3"/>
    <n v="739"/>
    <n v="700"/>
    <n v="-39"/>
    <n v="-5.2774018944519625"/>
    <x v="0"/>
    <n v="42.510000000000005"/>
    <n v="5"/>
    <n v="3"/>
    <n v="10.627500000000001"/>
    <n v="12.753000000000002"/>
    <x v="2"/>
    <n v="0"/>
    <s v="Nein"/>
    <n v="0"/>
    <n v="1.0900000000000001"/>
    <n v="0"/>
    <n v="0"/>
    <x v="0"/>
    <x v="6"/>
  </r>
  <r>
    <s v="F005"/>
    <x v="4"/>
    <s v="A002"/>
    <s v="Fettarme Milch 1L"/>
    <x v="0"/>
    <n v="1.0900000000000001"/>
    <n v="5"/>
    <x v="4"/>
    <n v="591"/>
    <n v="595"/>
    <n v="4"/>
    <n v="0.67681895093062605"/>
    <x v="1"/>
    <n v="4.3600000000000003"/>
    <n v="5"/>
    <n v="2"/>
    <n v="0"/>
    <n v="0"/>
    <x v="0"/>
    <n v="4"/>
    <s v="Nein"/>
    <n v="0"/>
    <n v="1.0900000000000001"/>
    <n v="0"/>
    <n v="0"/>
    <x v="0"/>
    <x v="2"/>
  </r>
  <r>
    <s v="F005"/>
    <x v="4"/>
    <s v="A002"/>
    <s v="Fettarme Milch 1L"/>
    <x v="0"/>
    <n v="1.0900000000000001"/>
    <n v="6"/>
    <x v="5"/>
    <n v="669"/>
    <n v="637"/>
    <n v="-32"/>
    <n v="-4.7832585949177879"/>
    <x v="0"/>
    <n v="34.880000000000003"/>
    <n v="3"/>
    <n v="0"/>
    <n v="8.7200000000000006"/>
    <n v="10.464"/>
    <x v="0"/>
    <n v="0"/>
    <s v="Ja - 20% Reduzierung"/>
    <n v="20"/>
    <n v="0.87"/>
    <n v="80"/>
    <n v="17.440000000000001"/>
    <x v="1"/>
    <x v="6"/>
  </r>
  <r>
    <s v="F005"/>
    <x v="4"/>
    <s v="A002"/>
    <s v="Fettarme Milch 1L"/>
    <x v="0"/>
    <n v="1.0900000000000001"/>
    <n v="7"/>
    <x v="6"/>
    <n v="737"/>
    <n v="700"/>
    <n v="-37"/>
    <n v="-5.0203527815468112"/>
    <x v="0"/>
    <n v="40.330000000000005"/>
    <n v="4"/>
    <n v="1"/>
    <n v="10.082500000000001"/>
    <n v="12.099000000000002"/>
    <x v="0"/>
    <n v="0"/>
    <s v="Nein"/>
    <n v="0"/>
    <n v="1.0900000000000001"/>
    <n v="0"/>
    <n v="0"/>
    <x v="0"/>
    <x v="6"/>
  </r>
  <r>
    <s v="F005"/>
    <x v="4"/>
    <s v="A002"/>
    <s v="Fettarme Milch 1L"/>
    <x v="0"/>
    <n v="1.0900000000000001"/>
    <n v="8"/>
    <x v="7"/>
    <n v="659"/>
    <n v="622"/>
    <n v="-37"/>
    <n v="-5.6145675265553869"/>
    <x v="0"/>
    <n v="40.330000000000005"/>
    <n v="3"/>
    <n v="1"/>
    <n v="10.082500000000001"/>
    <n v="12.099000000000002"/>
    <x v="0"/>
    <n v="0"/>
    <s v="Ja - 20% Reduzierung"/>
    <n v="20"/>
    <n v="0.87"/>
    <n v="92"/>
    <n v="20.059999999999999"/>
    <x v="2"/>
    <x v="4"/>
  </r>
  <r>
    <s v="F005"/>
    <x v="4"/>
    <s v="A002"/>
    <s v="Fettarme Milch 1L"/>
    <x v="0"/>
    <n v="1.0900000000000001"/>
    <n v="9"/>
    <x v="8"/>
    <n v="578"/>
    <n v="550"/>
    <n v="-28"/>
    <n v="-4.844290657439446"/>
    <x v="0"/>
    <n v="30.520000000000003"/>
    <n v="6"/>
    <n v="0"/>
    <n v="7.6300000000000008"/>
    <n v="9.1560000000000006"/>
    <x v="0"/>
    <n v="0"/>
    <s v="Nein"/>
    <n v="0"/>
    <n v="1.0900000000000001"/>
    <n v="0"/>
    <n v="0"/>
    <x v="0"/>
    <x v="6"/>
  </r>
  <r>
    <s v="F005"/>
    <x v="4"/>
    <s v="A002"/>
    <s v="Fettarme Milch 1L"/>
    <x v="0"/>
    <n v="1.0900000000000001"/>
    <n v="10"/>
    <x v="9"/>
    <n v="597"/>
    <n v="598"/>
    <n v="1"/>
    <n v="0.16750418760469013"/>
    <x v="1"/>
    <n v="1.0900000000000001"/>
    <n v="5"/>
    <n v="2"/>
    <n v="0"/>
    <n v="0"/>
    <x v="0"/>
    <n v="1"/>
    <s v="Nein"/>
    <n v="0"/>
    <n v="1.0900000000000001"/>
    <n v="0"/>
    <n v="0"/>
    <x v="0"/>
    <x v="2"/>
  </r>
  <r>
    <s v="F005"/>
    <x v="4"/>
    <s v="A002"/>
    <s v="Fettarme Milch 1L"/>
    <x v="0"/>
    <n v="1.0900000000000001"/>
    <n v="11"/>
    <x v="10"/>
    <n v="624"/>
    <n v="590"/>
    <n v="-34"/>
    <n v="-5.4487179487179489"/>
    <x v="0"/>
    <n v="37.06"/>
    <n v="3"/>
    <n v="1"/>
    <n v="9.2650000000000006"/>
    <n v="11.118"/>
    <x v="3"/>
    <n v="0"/>
    <s v="Ja - 20% Reduzierung"/>
    <n v="20"/>
    <n v="0.87"/>
    <n v="56"/>
    <n v="12.21"/>
    <x v="1"/>
    <x v="6"/>
  </r>
  <r>
    <s v="F005"/>
    <x v="4"/>
    <s v="A002"/>
    <s v="Fettarme Milch 1L"/>
    <x v="0"/>
    <n v="1.0900000000000001"/>
    <n v="12"/>
    <x v="11"/>
    <n v="827"/>
    <n v="764"/>
    <n v="-63"/>
    <n v="-7.6178960096735189"/>
    <x v="0"/>
    <n v="68.67"/>
    <n v="7"/>
    <n v="3"/>
    <n v="17.1675"/>
    <n v="20.600999999999999"/>
    <x v="4"/>
    <n v="0"/>
    <s v="Nein"/>
    <n v="0"/>
    <n v="1.0900000000000001"/>
    <n v="0"/>
    <n v="0"/>
    <x v="0"/>
    <x v="6"/>
  </r>
  <r>
    <s v="F005"/>
    <x v="4"/>
    <s v="A003"/>
    <s v="Bio-Milch 1L"/>
    <x v="0"/>
    <n v="1.59"/>
    <n v="1"/>
    <x v="0"/>
    <n v="225"/>
    <n v="220"/>
    <n v="-5"/>
    <n v="-2.2222222222222223"/>
    <x v="0"/>
    <n v="7.95"/>
    <n v="2"/>
    <n v="2"/>
    <n v="1.9875"/>
    <n v="2.3849999999999998"/>
    <x v="0"/>
    <n v="0"/>
    <s v="Ja - 20% Reduzierung"/>
    <n v="20"/>
    <n v="1.27"/>
    <n v="16"/>
    <n v="5.09"/>
    <x v="1"/>
    <x v="0"/>
  </r>
  <r>
    <s v="F005"/>
    <x v="4"/>
    <s v="A003"/>
    <s v="Bio-Milch 1L"/>
    <x v="0"/>
    <n v="1.59"/>
    <n v="2"/>
    <x v="1"/>
    <n v="228"/>
    <n v="219"/>
    <n v="-9"/>
    <n v="-3.9473684210526314"/>
    <x v="0"/>
    <n v="14.31"/>
    <n v="5"/>
    <n v="1"/>
    <n v="3.5775000000000001"/>
    <n v="4.2930000000000001"/>
    <x v="1"/>
    <n v="0"/>
    <s v="Nein"/>
    <n v="0"/>
    <n v="1.59"/>
    <n v="0"/>
    <n v="0"/>
    <x v="0"/>
    <x v="6"/>
  </r>
  <r>
    <s v="F005"/>
    <x v="4"/>
    <s v="A003"/>
    <s v="Bio-Milch 1L"/>
    <x v="0"/>
    <n v="1.59"/>
    <n v="3"/>
    <x v="2"/>
    <n v="270"/>
    <n v="261"/>
    <n v="-9"/>
    <n v="-3.3333333333333335"/>
    <x v="0"/>
    <n v="14.31"/>
    <n v="5"/>
    <n v="2"/>
    <n v="3.5775000000000001"/>
    <n v="4.2930000000000001"/>
    <x v="0"/>
    <n v="0"/>
    <s v="Nein"/>
    <n v="0"/>
    <n v="1.59"/>
    <n v="0"/>
    <n v="0"/>
    <x v="0"/>
    <x v="6"/>
  </r>
  <r>
    <s v="F005"/>
    <x v="4"/>
    <s v="A003"/>
    <s v="Bio-Milch 1L"/>
    <x v="0"/>
    <n v="1.59"/>
    <n v="4"/>
    <x v="3"/>
    <n v="315"/>
    <n v="300"/>
    <n v="-15"/>
    <n v="-4.7619047619047619"/>
    <x v="0"/>
    <n v="23.85"/>
    <n v="3"/>
    <n v="2"/>
    <n v="5.9625000000000004"/>
    <n v="7.1550000000000002"/>
    <x v="2"/>
    <n v="0"/>
    <s v="Ja - 20% Reduzierung"/>
    <n v="20"/>
    <n v="1.27"/>
    <n v="47"/>
    <n v="14.95"/>
    <x v="1"/>
    <x v="6"/>
  </r>
  <r>
    <s v="F005"/>
    <x v="4"/>
    <s v="A003"/>
    <s v="Bio-Milch 1L"/>
    <x v="0"/>
    <n v="1.59"/>
    <n v="5"/>
    <x v="4"/>
    <n v="260"/>
    <n v="263"/>
    <n v="3"/>
    <n v="1.153846153846154"/>
    <x v="1"/>
    <n v="4.7700000000000005"/>
    <n v="0"/>
    <n v="1"/>
    <n v="0"/>
    <n v="0"/>
    <x v="0"/>
    <n v="3"/>
    <s v="Abschreibung"/>
    <n v="100"/>
    <n v="0"/>
    <n v="8"/>
    <n v="12.72"/>
    <x v="1"/>
    <x v="3"/>
  </r>
  <r>
    <s v="F005"/>
    <x v="4"/>
    <s v="A003"/>
    <s v="Bio-Milch 1L"/>
    <x v="0"/>
    <n v="1.59"/>
    <n v="6"/>
    <x v="5"/>
    <n v="280"/>
    <n v="265"/>
    <n v="-15"/>
    <n v="-5.3571428571428568"/>
    <x v="0"/>
    <n v="23.85"/>
    <n v="6"/>
    <n v="3"/>
    <n v="5.9625000000000004"/>
    <n v="7.1550000000000002"/>
    <x v="0"/>
    <n v="0"/>
    <s v="Nein"/>
    <n v="0"/>
    <n v="1.59"/>
    <n v="0"/>
    <n v="0"/>
    <x v="0"/>
    <x v="6"/>
  </r>
  <r>
    <s v="F005"/>
    <x v="4"/>
    <s v="A003"/>
    <s v="Bio-Milch 1L"/>
    <x v="0"/>
    <n v="1.59"/>
    <n v="7"/>
    <x v="6"/>
    <n v="328"/>
    <n v="313"/>
    <n v="-15"/>
    <n v="-4.5731707317073171"/>
    <x v="0"/>
    <n v="23.85"/>
    <n v="4"/>
    <n v="0"/>
    <n v="5.9625000000000004"/>
    <n v="7.1550000000000002"/>
    <x v="0"/>
    <n v="0"/>
    <s v="Nein"/>
    <n v="0"/>
    <n v="1.59"/>
    <n v="0"/>
    <n v="0"/>
    <x v="0"/>
    <x v="6"/>
  </r>
  <r>
    <s v="F005"/>
    <x v="4"/>
    <s v="A003"/>
    <s v="Bio-Milch 1L"/>
    <x v="0"/>
    <n v="1.59"/>
    <n v="8"/>
    <x v="7"/>
    <n v="299"/>
    <n v="286"/>
    <n v="-13"/>
    <n v="-4.3478260869565215"/>
    <x v="0"/>
    <n v="20.67"/>
    <n v="4"/>
    <n v="1"/>
    <n v="5.1675000000000004"/>
    <n v="6.2010000000000005"/>
    <x v="0"/>
    <n v="0"/>
    <s v="Nein"/>
    <n v="0"/>
    <n v="1.59"/>
    <n v="0"/>
    <n v="0"/>
    <x v="0"/>
    <x v="6"/>
  </r>
  <r>
    <s v="F005"/>
    <x v="4"/>
    <s v="A003"/>
    <s v="Bio-Milch 1L"/>
    <x v="0"/>
    <n v="1.59"/>
    <n v="9"/>
    <x v="8"/>
    <n v="254"/>
    <n v="247"/>
    <n v="-7"/>
    <n v="-2.7559055118110236"/>
    <x v="0"/>
    <n v="11.13"/>
    <n v="6"/>
    <n v="3"/>
    <n v="2.7825000000000002"/>
    <n v="3.339"/>
    <x v="0"/>
    <n v="0"/>
    <s v="Nein"/>
    <n v="0"/>
    <n v="1.59"/>
    <n v="0"/>
    <n v="0"/>
    <x v="0"/>
    <x v="0"/>
  </r>
  <r>
    <s v="F005"/>
    <x v="4"/>
    <s v="A003"/>
    <s v="Bio-Milch 1L"/>
    <x v="0"/>
    <n v="1.59"/>
    <n v="10"/>
    <x v="9"/>
    <n v="255"/>
    <n v="244"/>
    <n v="-11"/>
    <n v="-4.3137254901960782"/>
    <x v="0"/>
    <n v="17.490000000000002"/>
    <n v="2"/>
    <n v="3"/>
    <n v="4.3725000000000005"/>
    <n v="5.2470000000000008"/>
    <x v="0"/>
    <n v="0"/>
    <s v="Ja - 20% Reduzierung"/>
    <n v="20"/>
    <n v="1.27"/>
    <n v="31"/>
    <n v="9.86"/>
    <x v="1"/>
    <x v="6"/>
  </r>
  <r>
    <s v="F005"/>
    <x v="4"/>
    <s v="A003"/>
    <s v="Bio-Milch 1L"/>
    <x v="0"/>
    <n v="1.59"/>
    <n v="11"/>
    <x v="10"/>
    <n v="277"/>
    <n v="263"/>
    <n v="-14"/>
    <n v="-5.0541516245487363"/>
    <x v="0"/>
    <n v="22.26"/>
    <n v="0"/>
    <n v="2"/>
    <n v="5.5650000000000004"/>
    <n v="6.6779999999999999"/>
    <x v="3"/>
    <n v="0"/>
    <s v="Abschreibung"/>
    <n v="100"/>
    <n v="0"/>
    <n v="8"/>
    <n v="12.72"/>
    <x v="1"/>
    <x v="3"/>
  </r>
  <r>
    <s v="F005"/>
    <x v="4"/>
    <s v="A003"/>
    <s v="Bio-Milch 1L"/>
    <x v="0"/>
    <n v="1.59"/>
    <n v="12"/>
    <x v="11"/>
    <n v="353"/>
    <n v="361"/>
    <n v="8"/>
    <n v="2.2662889518413598"/>
    <x v="1"/>
    <n v="12.72"/>
    <n v="0"/>
    <n v="2"/>
    <n v="0"/>
    <n v="0"/>
    <x v="4"/>
    <n v="8"/>
    <s v="Abschreibung"/>
    <n v="100"/>
    <n v="0"/>
    <n v="7"/>
    <n v="11.13"/>
    <x v="1"/>
    <x v="3"/>
  </r>
  <r>
    <s v="F005"/>
    <x v="4"/>
    <s v="A004"/>
    <s v="Butter 250g"/>
    <x v="1"/>
    <n v="2.29"/>
    <n v="1"/>
    <x v="0"/>
    <n v="449"/>
    <n v="444"/>
    <n v="-5"/>
    <n v="-1.1135857461024499"/>
    <x v="0"/>
    <n v="11.45"/>
    <n v="7"/>
    <n v="8"/>
    <n v="2.8624999999999998"/>
    <n v="3.4349999999999996"/>
    <x v="0"/>
    <n v="0"/>
    <s v="Nein"/>
    <n v="0"/>
    <n v="2.29"/>
    <n v="0"/>
    <n v="0"/>
    <x v="0"/>
    <x v="5"/>
  </r>
  <r>
    <s v="F005"/>
    <x v="4"/>
    <s v="A004"/>
    <s v="Butter 250g"/>
    <x v="1"/>
    <n v="2.29"/>
    <n v="2"/>
    <x v="1"/>
    <n v="442"/>
    <n v="445"/>
    <n v="3"/>
    <n v="0.67873303167420818"/>
    <x v="1"/>
    <n v="6.87"/>
    <n v="9"/>
    <n v="9"/>
    <n v="0"/>
    <n v="0"/>
    <x v="1"/>
    <n v="3"/>
    <s v="Nein"/>
    <n v="0"/>
    <n v="2.29"/>
    <n v="0"/>
    <n v="0"/>
    <x v="0"/>
    <x v="2"/>
  </r>
  <r>
    <s v="F005"/>
    <x v="4"/>
    <s v="A004"/>
    <s v="Butter 250g"/>
    <x v="1"/>
    <n v="2.29"/>
    <n v="3"/>
    <x v="2"/>
    <n v="519"/>
    <n v="515"/>
    <n v="-4"/>
    <n v="-0.77071290944123316"/>
    <x v="0"/>
    <n v="9.16"/>
    <n v="0"/>
    <n v="7"/>
    <n v="2.29"/>
    <n v="2.7479999999999998"/>
    <x v="0"/>
    <n v="0"/>
    <s v="Abschreibung"/>
    <n v="100"/>
    <n v="0"/>
    <n v="10"/>
    <n v="22.9"/>
    <x v="1"/>
    <x v="3"/>
  </r>
  <r>
    <s v="F005"/>
    <x v="4"/>
    <s v="A004"/>
    <s v="Butter 250g"/>
    <x v="1"/>
    <n v="2.29"/>
    <n v="4"/>
    <x v="3"/>
    <n v="618"/>
    <n v="603"/>
    <n v="-15"/>
    <n v="-2.4271844660194173"/>
    <x v="0"/>
    <n v="34.35"/>
    <n v="4"/>
    <n v="4"/>
    <n v="8.5875000000000004"/>
    <n v="10.305"/>
    <x v="2"/>
    <n v="0"/>
    <s v="Nein"/>
    <n v="0"/>
    <n v="2.29"/>
    <n v="0"/>
    <n v="0"/>
    <x v="0"/>
    <x v="0"/>
  </r>
  <r>
    <s v="F005"/>
    <x v="4"/>
    <s v="A004"/>
    <s v="Butter 250g"/>
    <x v="1"/>
    <n v="2.29"/>
    <n v="5"/>
    <x v="4"/>
    <n v="530"/>
    <n v="523"/>
    <n v="-7"/>
    <n v="-1.3207547169811322"/>
    <x v="0"/>
    <n v="16.03"/>
    <n v="11"/>
    <n v="0"/>
    <n v="4.0075000000000003"/>
    <n v="4.8090000000000002"/>
    <x v="0"/>
    <n v="0"/>
    <s v="Nein"/>
    <n v="0"/>
    <n v="2.29"/>
    <n v="0"/>
    <n v="0"/>
    <x v="0"/>
    <x v="5"/>
  </r>
  <r>
    <s v="F005"/>
    <x v="4"/>
    <s v="A004"/>
    <s v="Butter 250g"/>
    <x v="1"/>
    <n v="2.29"/>
    <n v="6"/>
    <x v="5"/>
    <n v="578"/>
    <n v="572"/>
    <n v="-6"/>
    <n v="-1.0380622837370241"/>
    <x v="0"/>
    <n v="13.74"/>
    <n v="14"/>
    <n v="4"/>
    <n v="3.4350000000000001"/>
    <n v="4.1219999999999999"/>
    <x v="0"/>
    <n v="0"/>
    <s v="Nein"/>
    <n v="0"/>
    <n v="2.29"/>
    <n v="0"/>
    <n v="0"/>
    <x v="0"/>
    <x v="5"/>
  </r>
  <r>
    <s v="F005"/>
    <x v="4"/>
    <s v="A004"/>
    <s v="Butter 250g"/>
    <x v="1"/>
    <n v="2.29"/>
    <n v="7"/>
    <x v="6"/>
    <n v="643"/>
    <n v="649"/>
    <n v="6"/>
    <n v="0.93312597200622094"/>
    <x v="1"/>
    <n v="13.74"/>
    <n v="9"/>
    <n v="10"/>
    <n v="0"/>
    <n v="0"/>
    <x v="0"/>
    <n v="6"/>
    <s v="Nein"/>
    <n v="0"/>
    <n v="2.29"/>
    <n v="0"/>
    <n v="0"/>
    <x v="0"/>
    <x v="2"/>
  </r>
  <r>
    <s v="F005"/>
    <x v="4"/>
    <s v="A004"/>
    <s v="Butter 250g"/>
    <x v="1"/>
    <n v="2.29"/>
    <n v="8"/>
    <x v="7"/>
    <n v="580"/>
    <n v="569"/>
    <n v="-11"/>
    <n v="-1.896551724137931"/>
    <x v="0"/>
    <n v="25.19"/>
    <n v="19"/>
    <n v="5"/>
    <n v="6.2975000000000003"/>
    <n v="7.5570000000000004"/>
    <x v="0"/>
    <n v="0"/>
    <s v="Nein"/>
    <n v="0"/>
    <n v="2.29"/>
    <n v="0"/>
    <n v="0"/>
    <x v="0"/>
    <x v="5"/>
  </r>
  <r>
    <s v="F005"/>
    <x v="4"/>
    <s v="A004"/>
    <s v="Butter 250g"/>
    <x v="1"/>
    <n v="2.29"/>
    <n v="9"/>
    <x v="8"/>
    <n v="519"/>
    <n v="514"/>
    <n v="-5"/>
    <n v="-0.96339113680154131"/>
    <x v="0"/>
    <n v="11.45"/>
    <n v="27"/>
    <n v="6"/>
    <n v="2.8624999999999998"/>
    <n v="3.4349999999999996"/>
    <x v="0"/>
    <n v="0"/>
    <s v="Nein"/>
    <n v="0"/>
    <n v="2.29"/>
    <n v="0"/>
    <n v="0"/>
    <x v="0"/>
    <x v="5"/>
  </r>
  <r>
    <s v="F005"/>
    <x v="4"/>
    <s v="A004"/>
    <s v="Butter 250g"/>
    <x v="1"/>
    <n v="2.29"/>
    <n v="10"/>
    <x v="9"/>
    <n v="530"/>
    <n v="526"/>
    <n v="-4"/>
    <n v="-0.75471698113207553"/>
    <x v="0"/>
    <n v="9.16"/>
    <n v="6"/>
    <n v="6"/>
    <n v="2.29"/>
    <n v="2.7479999999999998"/>
    <x v="0"/>
    <n v="0"/>
    <s v="Nein"/>
    <n v="0"/>
    <n v="2.29"/>
    <n v="0"/>
    <n v="0"/>
    <x v="0"/>
    <x v="5"/>
  </r>
  <r>
    <s v="F005"/>
    <x v="4"/>
    <s v="A004"/>
    <s v="Butter 250g"/>
    <x v="1"/>
    <n v="2.29"/>
    <n v="11"/>
    <x v="10"/>
    <n v="572"/>
    <n v="572"/>
    <n v="0"/>
    <n v="0"/>
    <x v="2"/>
    <n v="0"/>
    <n v="23"/>
    <n v="5"/>
    <n v="0"/>
    <n v="0"/>
    <x v="3"/>
    <n v="0"/>
    <s v="Nein"/>
    <n v="0"/>
    <n v="2.29"/>
    <n v="0"/>
    <n v="0"/>
    <x v="0"/>
    <x v="5"/>
  </r>
  <r>
    <s v="F005"/>
    <x v="4"/>
    <s v="A004"/>
    <s v="Butter 250g"/>
    <x v="1"/>
    <n v="2.29"/>
    <n v="12"/>
    <x v="11"/>
    <n v="764"/>
    <n v="769"/>
    <n v="5"/>
    <n v="0.65445026178010468"/>
    <x v="1"/>
    <n v="11.45"/>
    <n v="9"/>
    <n v="4"/>
    <n v="0"/>
    <n v="0"/>
    <x v="4"/>
    <n v="5"/>
    <s v="Nein"/>
    <n v="0"/>
    <n v="2.29"/>
    <n v="0"/>
    <n v="0"/>
    <x v="0"/>
    <x v="2"/>
  </r>
  <r>
    <s v="F005"/>
    <x v="4"/>
    <s v="A005"/>
    <s v="Gouda 200g"/>
    <x v="2"/>
    <n v="1.99"/>
    <n v="1"/>
    <x v="0"/>
    <n v="340"/>
    <n v="343"/>
    <n v="3"/>
    <n v="0.88235294117647056"/>
    <x v="1"/>
    <n v="5.97"/>
    <n v="9"/>
    <n v="1"/>
    <n v="0"/>
    <n v="0"/>
    <x v="0"/>
    <n v="3"/>
    <s v="Nein"/>
    <n v="0"/>
    <n v="1.99"/>
    <n v="0"/>
    <n v="0"/>
    <x v="0"/>
    <x v="2"/>
  </r>
  <r>
    <s v="F005"/>
    <x v="4"/>
    <s v="A005"/>
    <s v="Gouda 200g"/>
    <x v="2"/>
    <n v="1.99"/>
    <n v="2"/>
    <x v="1"/>
    <n v="318"/>
    <n v="313"/>
    <n v="-5"/>
    <n v="-1.5723270440251573"/>
    <x v="0"/>
    <n v="9.9499999999999993"/>
    <n v="15"/>
    <n v="3"/>
    <n v="2.4874999999999998"/>
    <n v="2.9849999999999999"/>
    <x v="1"/>
    <n v="0"/>
    <s v="Nein"/>
    <n v="0"/>
    <n v="1.99"/>
    <n v="0"/>
    <n v="0"/>
    <x v="0"/>
    <x v="5"/>
  </r>
  <r>
    <s v="F005"/>
    <x v="4"/>
    <s v="A005"/>
    <s v="Gouda 200g"/>
    <x v="2"/>
    <n v="1.99"/>
    <n v="3"/>
    <x v="2"/>
    <n v="430"/>
    <n v="422"/>
    <n v="-8"/>
    <n v="-1.8604651162790697"/>
    <x v="0"/>
    <n v="15.92"/>
    <n v="9"/>
    <n v="3"/>
    <n v="3.98"/>
    <n v="4.7759999999999998"/>
    <x v="0"/>
    <n v="0"/>
    <s v="Nein"/>
    <n v="0"/>
    <n v="1.99"/>
    <n v="0"/>
    <n v="0"/>
    <x v="0"/>
    <x v="5"/>
  </r>
  <r>
    <s v="F005"/>
    <x v="4"/>
    <s v="A005"/>
    <s v="Gouda 200g"/>
    <x v="2"/>
    <n v="1.99"/>
    <n v="4"/>
    <x v="3"/>
    <n v="497"/>
    <n v="490"/>
    <n v="-7"/>
    <n v="-1.4084507042253522"/>
    <x v="0"/>
    <n v="13.93"/>
    <n v="5"/>
    <n v="2"/>
    <n v="3.4824999999999999"/>
    <n v="4.1789999999999994"/>
    <x v="2"/>
    <n v="0"/>
    <s v="Nein"/>
    <n v="0"/>
    <n v="1.99"/>
    <n v="0"/>
    <n v="0"/>
    <x v="0"/>
    <x v="5"/>
  </r>
  <r>
    <s v="F005"/>
    <x v="4"/>
    <s v="A005"/>
    <s v="Gouda 200g"/>
    <x v="2"/>
    <n v="1.99"/>
    <n v="5"/>
    <x v="4"/>
    <n v="402"/>
    <n v="390"/>
    <n v="-12"/>
    <n v="-2.9850746268656714"/>
    <x v="0"/>
    <n v="23.88"/>
    <n v="1"/>
    <n v="6"/>
    <n v="5.97"/>
    <n v="7.1639999999999997"/>
    <x v="0"/>
    <n v="0"/>
    <s v="Ja - 20% Reduzierung"/>
    <n v="20"/>
    <n v="1.59"/>
    <n v="32"/>
    <n v="12.74"/>
    <x v="1"/>
    <x v="0"/>
  </r>
  <r>
    <s v="F005"/>
    <x v="4"/>
    <s v="A005"/>
    <s v="Gouda 200g"/>
    <x v="2"/>
    <n v="1.99"/>
    <n v="6"/>
    <x v="5"/>
    <n v="450"/>
    <n v="451"/>
    <n v="1"/>
    <n v="0.22222222222222221"/>
    <x v="1"/>
    <n v="1.99"/>
    <n v="18"/>
    <n v="3"/>
    <n v="0"/>
    <n v="0"/>
    <x v="0"/>
    <n v="1"/>
    <s v="Nein"/>
    <n v="0"/>
    <n v="1.99"/>
    <n v="0"/>
    <n v="0"/>
    <x v="0"/>
    <x v="2"/>
  </r>
  <r>
    <s v="F005"/>
    <x v="4"/>
    <s v="A005"/>
    <s v="Gouda 200g"/>
    <x v="2"/>
    <n v="1.99"/>
    <n v="7"/>
    <x v="6"/>
    <n v="445"/>
    <n v="438"/>
    <n v="-7"/>
    <n v="-1.5730337078651686"/>
    <x v="0"/>
    <n v="13.93"/>
    <n v="7"/>
    <n v="5"/>
    <n v="3.4824999999999999"/>
    <n v="4.1789999999999994"/>
    <x v="0"/>
    <n v="0"/>
    <s v="Nein"/>
    <n v="0"/>
    <n v="1.99"/>
    <n v="0"/>
    <n v="0"/>
    <x v="0"/>
    <x v="5"/>
  </r>
  <r>
    <s v="F005"/>
    <x v="4"/>
    <s v="A005"/>
    <s v="Gouda 200g"/>
    <x v="2"/>
    <n v="1.99"/>
    <n v="8"/>
    <x v="7"/>
    <n v="462"/>
    <n v="462"/>
    <n v="0"/>
    <n v="0"/>
    <x v="2"/>
    <n v="0"/>
    <n v="15"/>
    <n v="7"/>
    <n v="0"/>
    <n v="0"/>
    <x v="0"/>
    <n v="0"/>
    <s v="Nein"/>
    <n v="0"/>
    <n v="1.99"/>
    <n v="0"/>
    <n v="0"/>
    <x v="0"/>
    <x v="5"/>
  </r>
  <r>
    <s v="F005"/>
    <x v="4"/>
    <s v="A005"/>
    <s v="Gouda 200g"/>
    <x v="2"/>
    <n v="1.99"/>
    <n v="9"/>
    <x v="8"/>
    <n v="352"/>
    <n v="355"/>
    <n v="3"/>
    <n v="0.85227272727272718"/>
    <x v="1"/>
    <n v="5.97"/>
    <n v="12"/>
    <n v="3"/>
    <n v="0"/>
    <n v="0"/>
    <x v="0"/>
    <n v="3"/>
    <s v="Nein"/>
    <n v="0"/>
    <n v="1.99"/>
    <n v="0"/>
    <n v="0"/>
    <x v="0"/>
    <x v="2"/>
  </r>
  <r>
    <s v="F005"/>
    <x v="4"/>
    <s v="A005"/>
    <s v="Gouda 200g"/>
    <x v="2"/>
    <n v="1.99"/>
    <n v="10"/>
    <x v="9"/>
    <n v="406"/>
    <n v="394"/>
    <n v="-12"/>
    <n v="-2.9556650246305418"/>
    <x v="0"/>
    <n v="23.88"/>
    <n v="14"/>
    <n v="0"/>
    <n v="5.97"/>
    <n v="7.1639999999999997"/>
    <x v="0"/>
    <n v="0"/>
    <s v="Nein"/>
    <n v="0"/>
    <n v="1.99"/>
    <n v="0"/>
    <n v="0"/>
    <x v="0"/>
    <x v="1"/>
  </r>
  <r>
    <s v="F005"/>
    <x v="4"/>
    <s v="A005"/>
    <s v="Gouda 200g"/>
    <x v="2"/>
    <n v="1.99"/>
    <n v="11"/>
    <x v="10"/>
    <n v="425"/>
    <n v="412"/>
    <n v="-13"/>
    <n v="-3.0588235294117649"/>
    <x v="0"/>
    <n v="25.87"/>
    <n v="7"/>
    <n v="7"/>
    <n v="6.4675000000000002"/>
    <n v="7.7610000000000001"/>
    <x v="3"/>
    <n v="0"/>
    <s v="Nein"/>
    <n v="0"/>
    <n v="1.99"/>
    <n v="0"/>
    <n v="0"/>
    <x v="0"/>
    <x v="6"/>
  </r>
  <r>
    <s v="F005"/>
    <x v="4"/>
    <s v="A005"/>
    <s v="Gouda 200g"/>
    <x v="2"/>
    <n v="1.99"/>
    <n v="12"/>
    <x v="11"/>
    <n v="562"/>
    <n v="539"/>
    <n v="-23"/>
    <n v="-4.092526690391459"/>
    <x v="0"/>
    <n v="45.77"/>
    <n v="16"/>
    <n v="4"/>
    <n v="11.442500000000001"/>
    <n v="13.731"/>
    <x v="4"/>
    <n v="0"/>
    <s v="Nein"/>
    <n v="0"/>
    <n v="1.99"/>
    <n v="0"/>
    <n v="0"/>
    <x v="0"/>
    <x v="6"/>
  </r>
  <r>
    <s v="F005"/>
    <x v="4"/>
    <s v="A006"/>
    <s v="Emmentaler 200g"/>
    <x v="2"/>
    <n v="2.4900000000000002"/>
    <n v="1"/>
    <x v="0"/>
    <n v="307"/>
    <n v="301"/>
    <n v="-6"/>
    <n v="-1.9543973941368076"/>
    <x v="0"/>
    <n v="14.940000000000001"/>
    <n v="20"/>
    <n v="7"/>
    <n v="3.7350000000000003"/>
    <n v="4.4820000000000002"/>
    <x v="0"/>
    <n v="0"/>
    <s v="Nein"/>
    <n v="0"/>
    <n v="2.4900000000000002"/>
    <n v="0"/>
    <n v="0"/>
    <x v="0"/>
    <x v="5"/>
  </r>
  <r>
    <s v="F005"/>
    <x v="4"/>
    <s v="A006"/>
    <s v="Emmentaler 200g"/>
    <x v="2"/>
    <n v="2.4900000000000002"/>
    <n v="2"/>
    <x v="1"/>
    <n v="268"/>
    <n v="264"/>
    <n v="-4"/>
    <n v="-1.4925373134328357"/>
    <x v="0"/>
    <n v="9.9600000000000009"/>
    <n v="3"/>
    <n v="5"/>
    <n v="2.4900000000000002"/>
    <n v="2.988"/>
    <x v="1"/>
    <n v="0"/>
    <s v="Ja - 20% Reduzierung"/>
    <n v="20"/>
    <n v="1.99"/>
    <n v="40"/>
    <n v="19.920000000000002"/>
    <x v="1"/>
    <x v="5"/>
  </r>
  <r>
    <s v="F005"/>
    <x v="4"/>
    <s v="A006"/>
    <s v="Emmentaler 200g"/>
    <x v="2"/>
    <n v="2.4900000000000002"/>
    <n v="3"/>
    <x v="2"/>
    <n v="328"/>
    <n v="318"/>
    <n v="-10"/>
    <n v="-3.0487804878048781"/>
    <x v="0"/>
    <n v="24.900000000000002"/>
    <n v="18"/>
    <n v="1"/>
    <n v="6.2250000000000005"/>
    <n v="7.4700000000000006"/>
    <x v="0"/>
    <n v="0"/>
    <s v="Nein"/>
    <n v="0"/>
    <n v="2.4900000000000002"/>
    <n v="0"/>
    <n v="0"/>
    <x v="0"/>
    <x v="6"/>
  </r>
  <r>
    <s v="F005"/>
    <x v="4"/>
    <s v="A006"/>
    <s v="Emmentaler 200g"/>
    <x v="2"/>
    <n v="2.4900000000000002"/>
    <n v="4"/>
    <x v="3"/>
    <n v="406"/>
    <n v="397"/>
    <n v="-9"/>
    <n v="-2.2167487684729066"/>
    <x v="0"/>
    <n v="22.410000000000004"/>
    <n v="0"/>
    <n v="3"/>
    <n v="5.6025000000000009"/>
    <n v="6.7230000000000008"/>
    <x v="2"/>
    <n v="0"/>
    <s v="Abschreibung"/>
    <n v="100"/>
    <n v="0"/>
    <n v="12"/>
    <n v="29.88"/>
    <x v="1"/>
    <x v="3"/>
  </r>
  <r>
    <s v="F005"/>
    <x v="4"/>
    <s v="A006"/>
    <s v="Emmentaler 200g"/>
    <x v="2"/>
    <n v="2.4900000000000002"/>
    <n v="5"/>
    <x v="4"/>
    <n v="338"/>
    <n v="331"/>
    <n v="-7"/>
    <n v="-2.0710059171597637"/>
    <x v="0"/>
    <n v="17.43"/>
    <n v="12"/>
    <n v="1"/>
    <n v="4.3574999999999999"/>
    <n v="5.2290000000000001"/>
    <x v="0"/>
    <n v="0"/>
    <s v="Nein"/>
    <n v="0"/>
    <n v="2.4900000000000002"/>
    <n v="0"/>
    <n v="0"/>
    <x v="0"/>
    <x v="1"/>
  </r>
  <r>
    <s v="F005"/>
    <x v="4"/>
    <s v="A006"/>
    <s v="Emmentaler 200g"/>
    <x v="2"/>
    <n v="2.4900000000000002"/>
    <n v="6"/>
    <x v="5"/>
    <n v="343"/>
    <n v="343"/>
    <n v="0"/>
    <n v="0"/>
    <x v="2"/>
    <n v="0"/>
    <n v="13"/>
    <n v="7"/>
    <n v="0"/>
    <n v="0"/>
    <x v="0"/>
    <n v="0"/>
    <s v="Nein"/>
    <n v="0"/>
    <n v="2.4900000000000002"/>
    <n v="0"/>
    <n v="0"/>
    <x v="0"/>
    <x v="5"/>
  </r>
  <r>
    <s v="F005"/>
    <x v="4"/>
    <s v="A006"/>
    <s v="Emmentaler 200g"/>
    <x v="2"/>
    <n v="2.4900000000000002"/>
    <n v="7"/>
    <x v="6"/>
    <n v="390"/>
    <n v="380"/>
    <n v="-10"/>
    <n v="-2.5641025641025639"/>
    <x v="0"/>
    <n v="24.900000000000002"/>
    <n v="8"/>
    <n v="2"/>
    <n v="6.2250000000000005"/>
    <n v="7.4700000000000006"/>
    <x v="0"/>
    <n v="0"/>
    <s v="Nein"/>
    <n v="0"/>
    <n v="2.4900000000000002"/>
    <n v="0"/>
    <n v="0"/>
    <x v="0"/>
    <x v="0"/>
  </r>
  <r>
    <s v="F005"/>
    <x v="4"/>
    <s v="A006"/>
    <s v="Emmentaler 200g"/>
    <x v="2"/>
    <n v="2.4900000000000002"/>
    <n v="8"/>
    <x v="7"/>
    <n v="359"/>
    <n v="350"/>
    <n v="-9"/>
    <n v="-2.5069637883008355"/>
    <x v="0"/>
    <n v="22.410000000000004"/>
    <n v="5"/>
    <n v="1"/>
    <n v="5.6025000000000009"/>
    <n v="6.7230000000000008"/>
    <x v="0"/>
    <n v="0"/>
    <s v="Nein"/>
    <n v="0"/>
    <n v="2.4900000000000002"/>
    <n v="0"/>
    <n v="0"/>
    <x v="0"/>
    <x v="1"/>
  </r>
  <r>
    <s v="F005"/>
    <x v="4"/>
    <s v="A006"/>
    <s v="Emmentaler 200g"/>
    <x v="2"/>
    <n v="2.4900000000000002"/>
    <n v="9"/>
    <x v="8"/>
    <n v="299"/>
    <n v="292"/>
    <n v="-7"/>
    <n v="-2.3411371237458192"/>
    <x v="0"/>
    <n v="17.43"/>
    <n v="18"/>
    <n v="2"/>
    <n v="4.3574999999999999"/>
    <n v="5.2290000000000001"/>
    <x v="0"/>
    <n v="0"/>
    <s v="Nein"/>
    <n v="0"/>
    <n v="2.4900000000000002"/>
    <n v="0"/>
    <n v="0"/>
    <x v="0"/>
    <x v="0"/>
  </r>
  <r>
    <s v="F005"/>
    <x v="4"/>
    <s v="A006"/>
    <s v="Emmentaler 200g"/>
    <x v="2"/>
    <n v="2.4900000000000002"/>
    <n v="10"/>
    <x v="9"/>
    <n v="322"/>
    <n v="315"/>
    <n v="-7"/>
    <n v="-2.1739130434782608"/>
    <x v="0"/>
    <n v="17.43"/>
    <n v="8"/>
    <n v="5"/>
    <n v="4.3574999999999999"/>
    <n v="5.2290000000000001"/>
    <x v="0"/>
    <n v="0"/>
    <s v="Nein"/>
    <n v="0"/>
    <n v="2.4900000000000002"/>
    <n v="0"/>
    <n v="0"/>
    <x v="0"/>
    <x v="0"/>
  </r>
  <r>
    <s v="F005"/>
    <x v="4"/>
    <s v="A006"/>
    <s v="Emmentaler 200g"/>
    <x v="2"/>
    <n v="2.4900000000000002"/>
    <n v="11"/>
    <x v="10"/>
    <n v="361"/>
    <n v="353"/>
    <n v="-8"/>
    <n v="-2.21606648199446"/>
    <x v="0"/>
    <n v="19.920000000000002"/>
    <n v="2"/>
    <n v="5"/>
    <n v="4.9800000000000004"/>
    <n v="5.976"/>
    <x v="3"/>
    <n v="0"/>
    <s v="Ja - 20% Reduzierung"/>
    <n v="20"/>
    <n v="1.99"/>
    <n v="40"/>
    <n v="19.920000000000002"/>
    <x v="5"/>
    <x v="4"/>
  </r>
  <r>
    <s v="F005"/>
    <x v="4"/>
    <s v="A006"/>
    <s v="Emmentaler 200g"/>
    <x v="2"/>
    <n v="2.4900000000000002"/>
    <n v="12"/>
    <x v="11"/>
    <n v="450"/>
    <n v="436"/>
    <n v="-14"/>
    <n v="-3.1111111111111112"/>
    <x v="0"/>
    <n v="34.86"/>
    <n v="6"/>
    <n v="4"/>
    <n v="8.7149999999999999"/>
    <n v="10.458"/>
    <x v="4"/>
    <n v="0"/>
    <s v="Nein"/>
    <n v="0"/>
    <n v="2.4900000000000002"/>
    <n v="0"/>
    <n v="0"/>
    <x v="0"/>
    <x v="6"/>
  </r>
  <r>
    <s v="F005"/>
    <x v="4"/>
    <s v="A007"/>
    <s v="Naturjoghurt 500g"/>
    <x v="3"/>
    <n v="0.89"/>
    <n v="1"/>
    <x v="0"/>
    <n v="676"/>
    <n v="654"/>
    <n v="-22"/>
    <n v="-3.2544378698224854"/>
    <x v="0"/>
    <n v="19.580000000000002"/>
    <n v="2"/>
    <n v="0"/>
    <n v="4.8950000000000005"/>
    <n v="5.8740000000000006"/>
    <x v="0"/>
    <n v="0"/>
    <s v="Ja - 20% Reduzierung"/>
    <n v="20"/>
    <n v="0.71"/>
    <n v="81"/>
    <n v="14.42"/>
    <x v="1"/>
    <x v="6"/>
  </r>
  <r>
    <s v="F005"/>
    <x v="4"/>
    <s v="A007"/>
    <s v="Naturjoghurt 500g"/>
    <x v="3"/>
    <n v="0.89"/>
    <n v="2"/>
    <x v="1"/>
    <n v="583"/>
    <n v="560"/>
    <n v="-23"/>
    <n v="-3.9451114922813035"/>
    <x v="0"/>
    <n v="20.47"/>
    <n v="5"/>
    <n v="4"/>
    <n v="5.1174999999999997"/>
    <n v="6.1409999999999991"/>
    <x v="1"/>
    <n v="0"/>
    <s v="Nein"/>
    <n v="0"/>
    <n v="0.89"/>
    <n v="0"/>
    <n v="0"/>
    <x v="0"/>
    <x v="6"/>
  </r>
  <r>
    <s v="F005"/>
    <x v="4"/>
    <s v="A007"/>
    <s v="Naturjoghurt 500g"/>
    <x v="3"/>
    <n v="0.89"/>
    <n v="3"/>
    <x v="2"/>
    <n v="728"/>
    <n v="699"/>
    <n v="-29"/>
    <n v="-3.9835164835164831"/>
    <x v="0"/>
    <n v="25.81"/>
    <n v="3"/>
    <n v="1"/>
    <n v="6.4524999999999997"/>
    <n v="7.7429999999999994"/>
    <x v="0"/>
    <n v="0"/>
    <s v="Ja - 20% Reduzierung"/>
    <n v="20"/>
    <n v="0.71"/>
    <n v="66"/>
    <n v="11.75"/>
    <x v="1"/>
    <x v="6"/>
  </r>
  <r>
    <s v="F005"/>
    <x v="4"/>
    <s v="A007"/>
    <s v="Naturjoghurt 500g"/>
    <x v="3"/>
    <n v="0.89"/>
    <n v="4"/>
    <x v="3"/>
    <n v="885"/>
    <n v="860"/>
    <n v="-25"/>
    <n v="-2.8248587570621471"/>
    <x v="0"/>
    <n v="22.25"/>
    <n v="12"/>
    <n v="1"/>
    <n v="5.5625"/>
    <n v="6.6749999999999998"/>
    <x v="2"/>
    <n v="0"/>
    <s v="Nein"/>
    <n v="0"/>
    <n v="0.89"/>
    <n v="0"/>
    <n v="0"/>
    <x v="0"/>
    <x v="1"/>
  </r>
  <r>
    <s v="F005"/>
    <x v="4"/>
    <s v="A007"/>
    <s v="Naturjoghurt 500g"/>
    <x v="3"/>
    <n v="0.89"/>
    <n v="5"/>
    <x v="4"/>
    <n v="736"/>
    <n v="716"/>
    <n v="-20"/>
    <n v="-2.7173913043478262"/>
    <x v="0"/>
    <n v="17.8"/>
    <n v="12"/>
    <n v="5"/>
    <n v="4.45"/>
    <n v="5.34"/>
    <x v="0"/>
    <n v="0"/>
    <s v="Nein"/>
    <n v="0"/>
    <n v="0.89"/>
    <n v="0"/>
    <n v="0"/>
    <x v="0"/>
    <x v="0"/>
  </r>
  <r>
    <s v="F005"/>
    <x v="4"/>
    <s v="A007"/>
    <s v="Naturjoghurt 500g"/>
    <x v="3"/>
    <n v="0.89"/>
    <n v="6"/>
    <x v="5"/>
    <n v="794"/>
    <n v="795"/>
    <n v="1"/>
    <n v="0.12594458438287154"/>
    <x v="1"/>
    <n v="0.89"/>
    <n v="2"/>
    <n v="2"/>
    <n v="0"/>
    <n v="0"/>
    <x v="0"/>
    <n v="1"/>
    <s v="Ja - 20% Reduzierung"/>
    <n v="20"/>
    <n v="0.71"/>
    <n v="40"/>
    <n v="7.12"/>
    <x v="1"/>
    <x v="2"/>
  </r>
  <r>
    <s v="F005"/>
    <x v="4"/>
    <s v="A007"/>
    <s v="Naturjoghurt 500g"/>
    <x v="3"/>
    <n v="0.89"/>
    <n v="7"/>
    <x v="6"/>
    <n v="884"/>
    <n v="840"/>
    <n v="-44"/>
    <n v="-4.9773755656108598"/>
    <x v="0"/>
    <n v="39.160000000000004"/>
    <n v="4"/>
    <n v="0"/>
    <n v="9.7900000000000009"/>
    <n v="11.748000000000001"/>
    <x v="0"/>
    <n v="0"/>
    <s v="Nein"/>
    <n v="0"/>
    <n v="0.89"/>
    <n v="0"/>
    <n v="0"/>
    <x v="0"/>
    <x v="6"/>
  </r>
  <r>
    <s v="F005"/>
    <x v="4"/>
    <s v="A007"/>
    <s v="Naturjoghurt 500g"/>
    <x v="3"/>
    <n v="0.89"/>
    <n v="8"/>
    <x v="7"/>
    <n v="789"/>
    <n v="752"/>
    <n v="-37"/>
    <n v="-4.6894803548795947"/>
    <x v="0"/>
    <n v="32.93"/>
    <n v="10"/>
    <n v="3"/>
    <n v="8.2324999999999999"/>
    <n v="9.8789999999999996"/>
    <x v="0"/>
    <n v="0"/>
    <s v="Nein"/>
    <n v="0"/>
    <n v="0.89"/>
    <n v="0"/>
    <n v="0"/>
    <x v="0"/>
    <x v="6"/>
  </r>
  <r>
    <s v="F005"/>
    <x v="4"/>
    <s v="A007"/>
    <s v="Naturjoghurt 500g"/>
    <x v="3"/>
    <n v="0.89"/>
    <n v="9"/>
    <x v="8"/>
    <n v="652"/>
    <n v="626"/>
    <n v="-26"/>
    <n v="-3.9877300613496933"/>
    <x v="0"/>
    <n v="23.14"/>
    <n v="2"/>
    <n v="1"/>
    <n v="5.7850000000000001"/>
    <n v="6.9420000000000002"/>
    <x v="0"/>
    <n v="0"/>
    <s v="Ja - 20% Reduzierung"/>
    <n v="20"/>
    <n v="0.71"/>
    <n v="33"/>
    <n v="5.87"/>
    <x v="1"/>
    <x v="6"/>
  </r>
  <r>
    <s v="F005"/>
    <x v="4"/>
    <s v="A007"/>
    <s v="Naturjoghurt 500g"/>
    <x v="3"/>
    <n v="0.89"/>
    <n v="10"/>
    <x v="9"/>
    <n v="694"/>
    <n v="663"/>
    <n v="-31"/>
    <n v="-4.46685878962536"/>
    <x v="0"/>
    <n v="27.59"/>
    <n v="5"/>
    <n v="1"/>
    <n v="6.8975"/>
    <n v="8.2769999999999992"/>
    <x v="0"/>
    <n v="0"/>
    <s v="Nein"/>
    <n v="0"/>
    <n v="0.89"/>
    <n v="0"/>
    <n v="0"/>
    <x v="0"/>
    <x v="6"/>
  </r>
  <r>
    <s v="F005"/>
    <x v="4"/>
    <s v="A007"/>
    <s v="Naturjoghurt 500g"/>
    <x v="3"/>
    <n v="0.89"/>
    <n v="11"/>
    <x v="10"/>
    <n v="771"/>
    <n v="779"/>
    <n v="8"/>
    <n v="1.0376134889753565"/>
    <x v="1"/>
    <n v="7.12"/>
    <n v="14"/>
    <n v="2"/>
    <n v="0"/>
    <n v="0"/>
    <x v="3"/>
    <n v="8"/>
    <s v="Nein"/>
    <n v="0"/>
    <n v="0.89"/>
    <n v="0"/>
    <n v="0"/>
    <x v="0"/>
    <x v="2"/>
  </r>
  <r>
    <s v="F005"/>
    <x v="4"/>
    <s v="A007"/>
    <s v="Naturjoghurt 500g"/>
    <x v="3"/>
    <n v="0.89"/>
    <n v="12"/>
    <x v="11"/>
    <n v="1011"/>
    <n v="950"/>
    <n v="-61"/>
    <n v="-6.0336300692383782"/>
    <x v="0"/>
    <n v="54.29"/>
    <n v="3"/>
    <n v="3"/>
    <n v="13.5725"/>
    <n v="16.286999999999999"/>
    <x v="4"/>
    <n v="0"/>
    <s v="Ja - 20% Reduzierung"/>
    <n v="20"/>
    <n v="0.71"/>
    <n v="101"/>
    <n v="17.98"/>
    <x v="1"/>
    <x v="6"/>
  </r>
  <r>
    <s v="F005"/>
    <x v="4"/>
    <s v="A008"/>
    <s v="Fruchtjoghurt 4er"/>
    <x v="3"/>
    <n v="1.89"/>
    <n v="1"/>
    <x v="0"/>
    <n v="393"/>
    <n v="376"/>
    <n v="-17"/>
    <n v="-4.3256997455470731"/>
    <x v="0"/>
    <n v="32.129999999999995"/>
    <n v="10"/>
    <n v="5"/>
    <n v="8.0324999999999989"/>
    <n v="9.6389999999999976"/>
    <x v="0"/>
    <n v="0"/>
    <s v="Nein"/>
    <n v="0"/>
    <n v="1.89"/>
    <n v="0"/>
    <n v="0"/>
    <x v="0"/>
    <x v="6"/>
  </r>
  <r>
    <s v="F005"/>
    <x v="4"/>
    <s v="A008"/>
    <s v="Fruchtjoghurt 4er"/>
    <x v="3"/>
    <n v="1.89"/>
    <n v="2"/>
    <x v="1"/>
    <n v="387"/>
    <n v="369"/>
    <n v="-18"/>
    <n v="-4.6511627906976747"/>
    <x v="0"/>
    <n v="34.019999999999996"/>
    <n v="13"/>
    <n v="0"/>
    <n v="8.504999999999999"/>
    <n v="10.205999999999998"/>
    <x v="1"/>
    <n v="0"/>
    <s v="Nein"/>
    <n v="0"/>
    <n v="1.89"/>
    <n v="0"/>
    <n v="0"/>
    <x v="0"/>
    <x v="6"/>
  </r>
  <r>
    <s v="F005"/>
    <x v="4"/>
    <s v="A008"/>
    <s v="Fruchtjoghurt 4er"/>
    <x v="3"/>
    <n v="1.89"/>
    <n v="3"/>
    <x v="2"/>
    <n v="463"/>
    <n v="441"/>
    <n v="-22"/>
    <n v="-4.7516198704103676"/>
    <x v="0"/>
    <n v="41.58"/>
    <n v="13"/>
    <n v="3"/>
    <n v="10.395"/>
    <n v="12.473999999999998"/>
    <x v="0"/>
    <n v="0"/>
    <s v="Nein"/>
    <n v="0"/>
    <n v="1.89"/>
    <n v="0"/>
    <n v="0"/>
    <x v="0"/>
    <x v="6"/>
  </r>
  <r>
    <s v="F005"/>
    <x v="4"/>
    <s v="A008"/>
    <s v="Fruchtjoghurt 4er"/>
    <x v="3"/>
    <n v="1.89"/>
    <n v="4"/>
    <x v="3"/>
    <n v="592"/>
    <n v="556"/>
    <n v="-36"/>
    <n v="-6.0810810810810816"/>
    <x v="0"/>
    <n v="68.039999999999992"/>
    <n v="0"/>
    <n v="2"/>
    <n v="17.009999999999998"/>
    <n v="20.411999999999995"/>
    <x v="2"/>
    <n v="0"/>
    <s v="Abschreibung"/>
    <n v="100"/>
    <n v="0"/>
    <n v="6"/>
    <n v="11.34"/>
    <x v="1"/>
    <x v="3"/>
  </r>
  <r>
    <s v="F005"/>
    <x v="4"/>
    <s v="A008"/>
    <s v="Fruchtjoghurt 4er"/>
    <x v="3"/>
    <n v="1.89"/>
    <n v="5"/>
    <x v="4"/>
    <n v="432"/>
    <n v="415"/>
    <n v="-17"/>
    <n v="-3.9351851851851851"/>
    <x v="0"/>
    <n v="32.129999999999995"/>
    <n v="11"/>
    <n v="1"/>
    <n v="8.0324999999999989"/>
    <n v="9.6389999999999976"/>
    <x v="0"/>
    <n v="0"/>
    <s v="Nein"/>
    <n v="0"/>
    <n v="1.89"/>
    <n v="0"/>
    <n v="0"/>
    <x v="0"/>
    <x v="6"/>
  </r>
  <r>
    <s v="F005"/>
    <x v="4"/>
    <s v="A008"/>
    <s v="Fruchtjoghurt 4er"/>
    <x v="3"/>
    <n v="1.89"/>
    <n v="6"/>
    <x v="5"/>
    <n v="501"/>
    <n v="507"/>
    <n v="6"/>
    <n v="1.1976047904191618"/>
    <x v="1"/>
    <n v="11.34"/>
    <n v="4"/>
    <n v="5"/>
    <n v="0"/>
    <n v="0"/>
    <x v="0"/>
    <n v="6"/>
    <s v="Nein"/>
    <n v="0"/>
    <n v="1.89"/>
    <n v="0"/>
    <n v="0"/>
    <x v="0"/>
    <x v="2"/>
  </r>
  <r>
    <s v="F005"/>
    <x v="4"/>
    <s v="A008"/>
    <s v="Fruchtjoghurt 4er"/>
    <x v="3"/>
    <n v="1.89"/>
    <n v="7"/>
    <x v="6"/>
    <n v="519"/>
    <n v="487"/>
    <n v="-32"/>
    <n v="-6.1657032755298653"/>
    <x v="0"/>
    <n v="60.48"/>
    <n v="1"/>
    <n v="5"/>
    <n v="15.12"/>
    <n v="18.143999999999998"/>
    <x v="0"/>
    <n v="0"/>
    <s v="Ja - 20% Reduzierung"/>
    <n v="20"/>
    <n v="1.51"/>
    <n v="47"/>
    <n v="17.77"/>
    <x v="1"/>
    <x v="6"/>
  </r>
  <r>
    <s v="F005"/>
    <x v="4"/>
    <s v="A008"/>
    <s v="Fruchtjoghurt 4er"/>
    <x v="3"/>
    <n v="1.89"/>
    <n v="8"/>
    <x v="7"/>
    <n v="528"/>
    <n v="534"/>
    <n v="6"/>
    <n v="1.1363636363636365"/>
    <x v="1"/>
    <n v="11.34"/>
    <n v="5"/>
    <n v="5"/>
    <n v="0"/>
    <n v="0"/>
    <x v="0"/>
    <n v="6"/>
    <s v="Nein"/>
    <n v="0"/>
    <n v="1.89"/>
    <n v="0"/>
    <n v="0"/>
    <x v="0"/>
    <x v="2"/>
  </r>
  <r>
    <s v="F005"/>
    <x v="4"/>
    <s v="A008"/>
    <s v="Fruchtjoghurt 4er"/>
    <x v="3"/>
    <n v="1.89"/>
    <n v="9"/>
    <x v="8"/>
    <n v="454"/>
    <n v="459"/>
    <n v="5"/>
    <n v="1.1013215859030838"/>
    <x v="1"/>
    <n v="9.4499999999999993"/>
    <n v="11"/>
    <n v="1"/>
    <n v="0"/>
    <n v="0"/>
    <x v="0"/>
    <n v="5"/>
    <s v="Nein"/>
    <n v="0"/>
    <n v="1.89"/>
    <n v="0"/>
    <n v="0"/>
    <x v="0"/>
    <x v="2"/>
  </r>
  <r>
    <s v="F005"/>
    <x v="4"/>
    <s v="A008"/>
    <s v="Fruchtjoghurt 4er"/>
    <x v="3"/>
    <n v="1.89"/>
    <n v="10"/>
    <x v="9"/>
    <n v="432"/>
    <n v="408"/>
    <n v="-24"/>
    <n v="-5.5555555555555554"/>
    <x v="0"/>
    <n v="45.36"/>
    <n v="1"/>
    <n v="0"/>
    <n v="11.34"/>
    <n v="13.607999999999999"/>
    <x v="0"/>
    <n v="0"/>
    <s v="Ja - 20% Reduzierung"/>
    <n v="20"/>
    <n v="1.51"/>
    <n v="65"/>
    <n v="24.57"/>
    <x v="4"/>
    <x v="4"/>
  </r>
  <r>
    <s v="F005"/>
    <x v="4"/>
    <s v="A008"/>
    <s v="Fruchtjoghurt 4er"/>
    <x v="3"/>
    <n v="1.89"/>
    <n v="11"/>
    <x v="10"/>
    <n v="506"/>
    <n v="506"/>
    <n v="0"/>
    <n v="0"/>
    <x v="2"/>
    <n v="0"/>
    <n v="14"/>
    <n v="2"/>
    <n v="0"/>
    <n v="0"/>
    <x v="3"/>
    <n v="0"/>
    <s v="Nein"/>
    <n v="0"/>
    <n v="1.89"/>
    <n v="0"/>
    <n v="0"/>
    <x v="0"/>
    <x v="5"/>
  </r>
  <r>
    <s v="F005"/>
    <x v="4"/>
    <s v="A008"/>
    <s v="Fruchtjoghurt 4er"/>
    <x v="3"/>
    <n v="1.89"/>
    <n v="12"/>
    <x v="11"/>
    <n v="624"/>
    <n v="587"/>
    <n v="-37"/>
    <n v="-5.9294871794871788"/>
    <x v="0"/>
    <n v="69.929999999999993"/>
    <n v="13"/>
    <n v="1"/>
    <n v="17.482499999999998"/>
    <n v="20.978999999999996"/>
    <x v="4"/>
    <n v="0"/>
    <s v="Nein"/>
    <n v="0"/>
    <n v="1.89"/>
    <n v="0"/>
    <n v="0"/>
    <x v="0"/>
    <x v="6"/>
  </r>
  <r>
    <s v="F005"/>
    <x v="4"/>
    <s v="A009"/>
    <s v="Sahne 200ml"/>
    <x v="4"/>
    <n v="0.79"/>
    <n v="1"/>
    <x v="0"/>
    <n v="243"/>
    <n v="239"/>
    <n v="-4"/>
    <n v="-1.6460905349794239"/>
    <x v="0"/>
    <n v="3.16"/>
    <n v="4"/>
    <n v="4"/>
    <n v="0.79"/>
    <n v="0.94799999999999995"/>
    <x v="0"/>
    <n v="0"/>
    <s v="Nein"/>
    <n v="0"/>
    <n v="0.79"/>
    <n v="0"/>
    <n v="0"/>
    <x v="0"/>
    <x v="5"/>
  </r>
  <r>
    <s v="F005"/>
    <x v="4"/>
    <s v="A009"/>
    <s v="Sahne 200ml"/>
    <x v="4"/>
    <n v="0.79"/>
    <n v="2"/>
    <x v="1"/>
    <n v="214"/>
    <n v="210"/>
    <n v="-4"/>
    <n v="-1.8691588785046727"/>
    <x v="0"/>
    <n v="3.16"/>
    <n v="2"/>
    <n v="1"/>
    <n v="0.79"/>
    <n v="0.94799999999999995"/>
    <x v="1"/>
    <n v="0"/>
    <s v="Ja - 20% Reduzierung"/>
    <n v="20"/>
    <n v="0.63"/>
    <n v="17"/>
    <n v="2.69"/>
    <x v="1"/>
    <x v="5"/>
  </r>
  <r>
    <s v="F005"/>
    <x v="4"/>
    <s v="A009"/>
    <s v="Sahne 200ml"/>
    <x v="4"/>
    <n v="0.79"/>
    <n v="3"/>
    <x v="2"/>
    <n v="265"/>
    <n v="261"/>
    <n v="-4"/>
    <n v="-1.5094339622641511"/>
    <x v="0"/>
    <n v="3.16"/>
    <n v="2"/>
    <n v="4"/>
    <n v="0.79"/>
    <n v="0.94799999999999995"/>
    <x v="0"/>
    <n v="0"/>
    <s v="Ja - 20% Reduzierung"/>
    <n v="20"/>
    <n v="0.63"/>
    <n v="34"/>
    <n v="5.37"/>
    <x v="1"/>
    <x v="5"/>
  </r>
  <r>
    <s v="F005"/>
    <x v="4"/>
    <s v="A009"/>
    <s v="Sahne 200ml"/>
    <x v="4"/>
    <n v="0.79"/>
    <n v="4"/>
    <x v="3"/>
    <n v="322"/>
    <n v="311"/>
    <n v="-11"/>
    <n v="-3.4161490683229814"/>
    <x v="0"/>
    <n v="8.6900000000000013"/>
    <n v="3"/>
    <n v="3"/>
    <n v="2.1725000000000003"/>
    <n v="2.6070000000000002"/>
    <x v="2"/>
    <n v="0"/>
    <s v="Ja - 20% Reduzierung"/>
    <n v="20"/>
    <n v="0.63"/>
    <n v="45"/>
    <n v="7.11"/>
    <x v="1"/>
    <x v="6"/>
  </r>
  <r>
    <s v="F005"/>
    <x v="4"/>
    <s v="A009"/>
    <s v="Sahne 200ml"/>
    <x v="4"/>
    <n v="0.79"/>
    <n v="5"/>
    <x v="4"/>
    <n v="255"/>
    <n v="250"/>
    <n v="-5"/>
    <n v="-1.9607843137254901"/>
    <x v="0"/>
    <n v="3.95"/>
    <n v="10"/>
    <n v="1"/>
    <n v="0.98750000000000004"/>
    <n v="1.1850000000000001"/>
    <x v="0"/>
    <n v="0"/>
    <s v="Nein"/>
    <n v="0"/>
    <n v="0.79"/>
    <n v="0"/>
    <n v="0"/>
    <x v="0"/>
    <x v="5"/>
  </r>
  <r>
    <s v="F005"/>
    <x v="4"/>
    <s v="A009"/>
    <s v="Sahne 200ml"/>
    <x v="4"/>
    <n v="0.79"/>
    <n v="6"/>
    <x v="5"/>
    <n v="286"/>
    <n v="292"/>
    <n v="6"/>
    <n v="2.0979020979020979"/>
    <x v="1"/>
    <n v="4.74"/>
    <n v="0"/>
    <n v="0"/>
    <n v="0"/>
    <n v="0"/>
    <x v="0"/>
    <n v="6"/>
    <s v="Abschreibung"/>
    <n v="100"/>
    <n v="0"/>
    <n v="3"/>
    <n v="2.37"/>
    <x v="1"/>
    <x v="3"/>
  </r>
  <r>
    <s v="F005"/>
    <x v="4"/>
    <s v="A009"/>
    <s v="Sahne 200ml"/>
    <x v="4"/>
    <n v="0.79"/>
    <n v="7"/>
    <x v="6"/>
    <n v="328"/>
    <n v="314"/>
    <n v="-14"/>
    <n v="-4.2682926829268295"/>
    <x v="0"/>
    <n v="11.06"/>
    <n v="5"/>
    <n v="0"/>
    <n v="2.7650000000000001"/>
    <n v="3.3180000000000001"/>
    <x v="0"/>
    <n v="0"/>
    <s v="Nein"/>
    <n v="0"/>
    <n v="0.79"/>
    <n v="0"/>
    <n v="0"/>
    <x v="0"/>
    <x v="6"/>
  </r>
  <r>
    <s v="F005"/>
    <x v="4"/>
    <s v="A009"/>
    <s v="Sahne 200ml"/>
    <x v="4"/>
    <n v="0.79"/>
    <n v="8"/>
    <x v="7"/>
    <n v="302"/>
    <n v="291"/>
    <n v="-11"/>
    <n v="-3.6423841059602649"/>
    <x v="0"/>
    <n v="8.6900000000000013"/>
    <n v="9"/>
    <n v="3"/>
    <n v="2.1725000000000003"/>
    <n v="2.6070000000000002"/>
    <x v="0"/>
    <n v="0"/>
    <s v="Nein"/>
    <n v="0"/>
    <n v="0.79"/>
    <n v="0"/>
    <n v="0"/>
    <x v="0"/>
    <x v="6"/>
  </r>
  <r>
    <s v="F005"/>
    <x v="4"/>
    <s v="A009"/>
    <s v="Sahne 200ml"/>
    <x v="4"/>
    <n v="0.79"/>
    <n v="9"/>
    <x v="8"/>
    <n v="259"/>
    <n v="254"/>
    <n v="-5"/>
    <n v="-1.9305019305019304"/>
    <x v="0"/>
    <n v="3.95"/>
    <n v="2"/>
    <n v="0"/>
    <n v="0.98750000000000004"/>
    <n v="1.1850000000000001"/>
    <x v="0"/>
    <n v="0"/>
    <s v="Ja - 20% Reduzierung"/>
    <n v="20"/>
    <n v="0.63"/>
    <n v="26"/>
    <n v="4.1100000000000003"/>
    <x v="1"/>
    <x v="5"/>
  </r>
  <r>
    <s v="F005"/>
    <x v="4"/>
    <s v="A009"/>
    <s v="Sahne 200ml"/>
    <x v="4"/>
    <n v="0.79"/>
    <n v="10"/>
    <x v="9"/>
    <n v="263"/>
    <n v="255"/>
    <n v="-8"/>
    <n v="-3.041825095057034"/>
    <x v="0"/>
    <n v="6.32"/>
    <n v="6"/>
    <n v="4"/>
    <n v="1.58"/>
    <n v="1.8959999999999999"/>
    <x v="0"/>
    <n v="0"/>
    <s v="Nein"/>
    <n v="0"/>
    <n v="0.79"/>
    <n v="0"/>
    <n v="0"/>
    <x v="0"/>
    <x v="6"/>
  </r>
  <r>
    <s v="F005"/>
    <x v="4"/>
    <s v="A009"/>
    <s v="Sahne 200ml"/>
    <x v="4"/>
    <n v="0.79"/>
    <n v="11"/>
    <x v="10"/>
    <n v="277"/>
    <n v="268"/>
    <n v="-9"/>
    <n v="-3.2490974729241873"/>
    <x v="0"/>
    <n v="7.11"/>
    <n v="7"/>
    <n v="1"/>
    <n v="1.7775000000000001"/>
    <n v="2.133"/>
    <x v="3"/>
    <n v="0"/>
    <s v="Nein"/>
    <n v="0"/>
    <n v="0.79"/>
    <n v="0"/>
    <n v="0"/>
    <x v="0"/>
    <x v="6"/>
  </r>
  <r>
    <s v="F005"/>
    <x v="4"/>
    <s v="A009"/>
    <s v="Sahne 200ml"/>
    <x v="4"/>
    <n v="0.79"/>
    <n v="12"/>
    <x v="11"/>
    <n v="375"/>
    <n v="358"/>
    <n v="-17"/>
    <n v="-4.5333333333333332"/>
    <x v="0"/>
    <n v="13.43"/>
    <n v="7"/>
    <n v="2"/>
    <n v="3.3574999999999999"/>
    <n v="4.0289999999999999"/>
    <x v="4"/>
    <n v="0"/>
    <s v="Nein"/>
    <n v="0"/>
    <n v="0.79"/>
    <n v="0"/>
    <n v="0"/>
    <x v="0"/>
    <x v="6"/>
  </r>
  <r>
    <s v="F005"/>
    <x v="4"/>
    <s v="A010"/>
    <s v="Schmand 200g"/>
    <x v="4"/>
    <n v="0.89"/>
    <n v="1"/>
    <x v="0"/>
    <n v="206"/>
    <n v="202"/>
    <n v="-4"/>
    <n v="-1.9417475728155338"/>
    <x v="0"/>
    <n v="3.56"/>
    <n v="8"/>
    <n v="4"/>
    <n v="0.89"/>
    <n v="1.0680000000000001"/>
    <x v="0"/>
    <n v="0"/>
    <s v="Nein"/>
    <n v="0"/>
    <n v="0.89"/>
    <n v="0"/>
    <n v="0"/>
    <x v="0"/>
    <x v="5"/>
  </r>
  <r>
    <s v="F005"/>
    <x v="4"/>
    <s v="A010"/>
    <s v="Schmand 200g"/>
    <x v="4"/>
    <n v="0.89"/>
    <n v="2"/>
    <x v="1"/>
    <n v="203"/>
    <n v="199"/>
    <n v="-4"/>
    <n v="-1.9704433497536946"/>
    <x v="0"/>
    <n v="3.56"/>
    <n v="2"/>
    <n v="5"/>
    <n v="0.89"/>
    <n v="1.0680000000000001"/>
    <x v="1"/>
    <n v="0"/>
    <s v="Ja - 20% Reduzierung"/>
    <n v="20"/>
    <n v="0.71"/>
    <n v="30"/>
    <n v="5.34"/>
    <x v="1"/>
    <x v="5"/>
  </r>
  <r>
    <s v="F005"/>
    <x v="4"/>
    <s v="A010"/>
    <s v="Schmand 200g"/>
    <x v="4"/>
    <n v="0.89"/>
    <n v="3"/>
    <x v="2"/>
    <n v="241"/>
    <n v="237"/>
    <n v="-4"/>
    <n v="-1.6597510373443984"/>
    <x v="0"/>
    <n v="3.56"/>
    <n v="2"/>
    <n v="3"/>
    <n v="0.89"/>
    <n v="1.0680000000000001"/>
    <x v="0"/>
    <n v="0"/>
    <s v="Ja - 20% Reduzierung"/>
    <n v="20"/>
    <n v="0.71"/>
    <n v="29"/>
    <n v="5.16"/>
    <x v="1"/>
    <x v="5"/>
  </r>
  <r>
    <s v="F005"/>
    <x v="4"/>
    <s v="A010"/>
    <s v="Schmand 200g"/>
    <x v="4"/>
    <n v="0.89"/>
    <n v="4"/>
    <x v="3"/>
    <n v="281"/>
    <n v="272"/>
    <n v="-9"/>
    <n v="-3.2028469750889679"/>
    <x v="0"/>
    <n v="8.01"/>
    <n v="7"/>
    <n v="4"/>
    <n v="2.0024999999999999"/>
    <n v="2.403"/>
    <x v="2"/>
    <n v="0"/>
    <s v="Nein"/>
    <n v="0"/>
    <n v="0.89"/>
    <n v="0"/>
    <n v="0"/>
    <x v="0"/>
    <x v="6"/>
  </r>
  <r>
    <s v="F005"/>
    <x v="4"/>
    <s v="A010"/>
    <s v="Schmand 200g"/>
    <x v="4"/>
    <n v="0.89"/>
    <n v="5"/>
    <x v="4"/>
    <n v="232"/>
    <n v="228"/>
    <n v="-4"/>
    <n v="-1.7241379310344827"/>
    <x v="0"/>
    <n v="3.56"/>
    <n v="3"/>
    <n v="0"/>
    <n v="0.89"/>
    <n v="1.0680000000000001"/>
    <x v="0"/>
    <n v="0"/>
    <s v="Ja - 20% Reduzierung"/>
    <n v="20"/>
    <n v="0.71"/>
    <n v="19"/>
    <n v="3.38"/>
    <x v="1"/>
    <x v="5"/>
  </r>
  <r>
    <s v="F005"/>
    <x v="4"/>
    <s v="A010"/>
    <s v="Schmand 200g"/>
    <x v="4"/>
    <n v="0.89"/>
    <n v="6"/>
    <x v="5"/>
    <n v="245"/>
    <n v="245"/>
    <n v="0"/>
    <n v="0"/>
    <x v="2"/>
    <n v="0"/>
    <n v="6"/>
    <n v="2"/>
    <n v="0"/>
    <n v="0"/>
    <x v="0"/>
    <n v="0"/>
    <s v="Nein"/>
    <n v="0"/>
    <n v="0.89"/>
    <n v="0"/>
    <n v="0"/>
    <x v="0"/>
    <x v="5"/>
  </r>
  <r>
    <s v="F005"/>
    <x v="4"/>
    <s v="A010"/>
    <s v="Schmand 200g"/>
    <x v="4"/>
    <n v="0.89"/>
    <n v="7"/>
    <x v="6"/>
    <n v="270"/>
    <n v="266"/>
    <n v="-4"/>
    <n v="-1.4814814814814816"/>
    <x v="0"/>
    <n v="3.56"/>
    <n v="6"/>
    <n v="4"/>
    <n v="0.89"/>
    <n v="1.0680000000000001"/>
    <x v="0"/>
    <n v="0"/>
    <s v="Nein"/>
    <n v="0"/>
    <n v="0.89"/>
    <n v="0"/>
    <n v="0"/>
    <x v="0"/>
    <x v="5"/>
  </r>
  <r>
    <s v="F005"/>
    <x v="4"/>
    <s v="A010"/>
    <s v="Schmand 200g"/>
    <x v="4"/>
    <n v="0.89"/>
    <n v="8"/>
    <x v="7"/>
    <n v="258"/>
    <n v="252"/>
    <n v="-6"/>
    <n v="-2.3255813953488373"/>
    <x v="0"/>
    <n v="5.34"/>
    <n v="6"/>
    <n v="2"/>
    <n v="1.335"/>
    <n v="1.6019999999999999"/>
    <x v="0"/>
    <n v="0"/>
    <s v="Nein"/>
    <n v="0"/>
    <n v="0.89"/>
    <n v="0"/>
    <n v="0"/>
    <x v="0"/>
    <x v="0"/>
  </r>
  <r>
    <s v="F005"/>
    <x v="4"/>
    <s v="A010"/>
    <s v="Schmand 200g"/>
    <x v="4"/>
    <n v="0.89"/>
    <n v="9"/>
    <x v="8"/>
    <n v="225"/>
    <n v="221"/>
    <n v="-4"/>
    <n v="-1.7777777777777777"/>
    <x v="0"/>
    <n v="3.56"/>
    <n v="6"/>
    <n v="2"/>
    <n v="0.89"/>
    <n v="1.0680000000000001"/>
    <x v="0"/>
    <n v="0"/>
    <s v="Nein"/>
    <n v="0"/>
    <n v="0.89"/>
    <n v="0"/>
    <n v="0"/>
    <x v="0"/>
    <x v="5"/>
  </r>
  <r>
    <s v="F005"/>
    <x v="4"/>
    <s v="A010"/>
    <s v="Schmand 200g"/>
    <x v="4"/>
    <n v="0.89"/>
    <n v="10"/>
    <x v="9"/>
    <n v="225"/>
    <n v="221"/>
    <n v="-4"/>
    <n v="-1.7777777777777777"/>
    <x v="0"/>
    <n v="3.56"/>
    <n v="9"/>
    <n v="2"/>
    <n v="0.89"/>
    <n v="1.0680000000000001"/>
    <x v="0"/>
    <n v="0"/>
    <s v="Nein"/>
    <n v="0"/>
    <n v="0.89"/>
    <n v="0"/>
    <n v="0"/>
    <x v="0"/>
    <x v="5"/>
  </r>
  <r>
    <s v="F005"/>
    <x v="4"/>
    <s v="A010"/>
    <s v="Schmand 200g"/>
    <x v="4"/>
    <n v="0.89"/>
    <n v="11"/>
    <x v="10"/>
    <n v="263"/>
    <n v="257"/>
    <n v="-6"/>
    <n v="-2.2813688212927756"/>
    <x v="0"/>
    <n v="5.34"/>
    <n v="9"/>
    <n v="0"/>
    <n v="1.335"/>
    <n v="1.6019999999999999"/>
    <x v="3"/>
    <n v="0"/>
    <s v="Nein"/>
    <n v="0"/>
    <n v="0.89"/>
    <n v="0"/>
    <n v="0"/>
    <x v="0"/>
    <x v="1"/>
  </r>
  <r>
    <s v="F005"/>
    <x v="4"/>
    <s v="A010"/>
    <s v="Schmand 200g"/>
    <x v="4"/>
    <n v="0.89"/>
    <n v="12"/>
    <x v="11"/>
    <n v="314"/>
    <n v="307"/>
    <n v="-7"/>
    <n v="-2.2292993630573248"/>
    <x v="0"/>
    <n v="6.23"/>
    <n v="5"/>
    <n v="5"/>
    <n v="1.5575000000000001"/>
    <n v="1.869"/>
    <x v="4"/>
    <n v="0"/>
    <s v="Nein"/>
    <n v="0"/>
    <n v="0.89"/>
    <n v="0"/>
    <n v="0"/>
    <x v="0"/>
    <x v="0"/>
  </r>
  <r>
    <s v="F005"/>
    <x v="4"/>
    <s v="A011"/>
    <s v="Mozzarella 125g"/>
    <x v="2"/>
    <n v="1.19"/>
    <n v="1"/>
    <x v="0"/>
    <n v="355"/>
    <n v="343"/>
    <n v="-12"/>
    <n v="-3.3802816901408446"/>
    <x v="0"/>
    <n v="14.28"/>
    <n v="4"/>
    <n v="1"/>
    <n v="3.57"/>
    <n v="4.2839999999999998"/>
    <x v="0"/>
    <n v="0"/>
    <s v="Nein"/>
    <n v="0"/>
    <n v="1.19"/>
    <n v="0"/>
    <n v="0"/>
    <x v="0"/>
    <x v="6"/>
  </r>
  <r>
    <s v="F005"/>
    <x v="4"/>
    <s v="A011"/>
    <s v="Mozzarella 125g"/>
    <x v="2"/>
    <n v="1.19"/>
    <n v="2"/>
    <x v="1"/>
    <n v="332"/>
    <n v="321"/>
    <n v="-11"/>
    <n v="-3.3132530120481931"/>
    <x v="0"/>
    <n v="13.09"/>
    <n v="4"/>
    <n v="0"/>
    <n v="3.2725"/>
    <n v="3.9269999999999996"/>
    <x v="1"/>
    <n v="0"/>
    <s v="Nein"/>
    <n v="0"/>
    <n v="1.19"/>
    <n v="0"/>
    <n v="0"/>
    <x v="0"/>
    <x v="6"/>
  </r>
  <r>
    <s v="F005"/>
    <x v="4"/>
    <s v="A011"/>
    <s v="Mozzarella 125g"/>
    <x v="2"/>
    <n v="1.19"/>
    <n v="3"/>
    <x v="2"/>
    <n v="389"/>
    <n v="390"/>
    <n v="1"/>
    <n v="0.25706940874035988"/>
    <x v="1"/>
    <n v="1.19"/>
    <n v="2"/>
    <n v="1"/>
    <n v="0"/>
    <n v="0"/>
    <x v="0"/>
    <n v="1"/>
    <s v="Ja - 20% Reduzierung"/>
    <n v="20"/>
    <n v="0.95"/>
    <n v="58"/>
    <n v="13.8"/>
    <x v="1"/>
    <x v="2"/>
  </r>
  <r>
    <s v="F005"/>
    <x v="4"/>
    <s v="A011"/>
    <s v="Mozzarella 125g"/>
    <x v="2"/>
    <n v="1.19"/>
    <n v="4"/>
    <x v="3"/>
    <n v="512"/>
    <n v="485"/>
    <n v="-27"/>
    <n v="-5.2734375"/>
    <x v="0"/>
    <n v="32.129999999999995"/>
    <n v="4"/>
    <n v="0"/>
    <n v="8.0324999999999989"/>
    <n v="9.6389999999999976"/>
    <x v="2"/>
    <n v="0"/>
    <s v="Nein"/>
    <n v="0"/>
    <n v="1.19"/>
    <n v="0"/>
    <n v="0"/>
    <x v="0"/>
    <x v="6"/>
  </r>
  <r>
    <s v="F005"/>
    <x v="4"/>
    <s v="A011"/>
    <s v="Mozzarella 125g"/>
    <x v="2"/>
    <n v="1.19"/>
    <n v="5"/>
    <x v="4"/>
    <n v="402"/>
    <n v="385"/>
    <n v="-17"/>
    <n v="-4.2288557213930353"/>
    <x v="0"/>
    <n v="20.23"/>
    <n v="8"/>
    <n v="0"/>
    <n v="5.0575000000000001"/>
    <n v="6.069"/>
    <x v="0"/>
    <n v="0"/>
    <s v="Nein"/>
    <n v="0"/>
    <n v="1.19"/>
    <n v="0"/>
    <n v="0"/>
    <x v="0"/>
    <x v="6"/>
  </r>
  <r>
    <s v="F005"/>
    <x v="4"/>
    <s v="A011"/>
    <s v="Mozzarella 125g"/>
    <x v="2"/>
    <n v="1.19"/>
    <n v="6"/>
    <x v="5"/>
    <n v="420"/>
    <n v="404"/>
    <n v="-16"/>
    <n v="-3.8095238095238098"/>
    <x v="0"/>
    <n v="19.04"/>
    <n v="9"/>
    <n v="0"/>
    <n v="4.76"/>
    <n v="5.7119999999999997"/>
    <x v="0"/>
    <n v="0"/>
    <s v="Nein"/>
    <n v="0"/>
    <n v="1.19"/>
    <n v="0"/>
    <n v="0"/>
    <x v="0"/>
    <x v="6"/>
  </r>
  <r>
    <s v="F005"/>
    <x v="4"/>
    <s v="A011"/>
    <s v="Mozzarella 125g"/>
    <x v="2"/>
    <n v="1.19"/>
    <n v="7"/>
    <x v="6"/>
    <n v="468"/>
    <n v="452"/>
    <n v="-16"/>
    <n v="-3.4188034188034191"/>
    <x v="0"/>
    <n v="19.04"/>
    <n v="9"/>
    <n v="1"/>
    <n v="4.76"/>
    <n v="5.7119999999999997"/>
    <x v="0"/>
    <n v="0"/>
    <s v="Nein"/>
    <n v="0"/>
    <n v="1.19"/>
    <n v="0"/>
    <n v="0"/>
    <x v="0"/>
    <x v="6"/>
  </r>
  <r>
    <s v="F005"/>
    <x v="4"/>
    <s v="A011"/>
    <s v="Mozzarella 125g"/>
    <x v="2"/>
    <n v="1.19"/>
    <n v="8"/>
    <x v="7"/>
    <n v="453"/>
    <n v="457"/>
    <n v="4"/>
    <n v="0.88300220750551872"/>
    <x v="1"/>
    <n v="4.76"/>
    <n v="0"/>
    <n v="4"/>
    <n v="0"/>
    <n v="0"/>
    <x v="0"/>
    <n v="4"/>
    <s v="Abschreibung"/>
    <n v="100"/>
    <n v="0"/>
    <n v="9"/>
    <n v="10.71"/>
    <x v="1"/>
    <x v="3"/>
  </r>
  <r>
    <s v="F005"/>
    <x v="4"/>
    <s v="A011"/>
    <s v="Mozzarella 125g"/>
    <x v="2"/>
    <n v="1.19"/>
    <n v="9"/>
    <x v="8"/>
    <n v="356"/>
    <n v="348"/>
    <n v="-8"/>
    <n v="-2.2471910112359552"/>
    <x v="0"/>
    <n v="9.52"/>
    <n v="5"/>
    <n v="0"/>
    <n v="2.38"/>
    <n v="2.8559999999999999"/>
    <x v="0"/>
    <n v="0"/>
    <s v="Nein"/>
    <n v="0"/>
    <n v="1.19"/>
    <n v="0"/>
    <n v="0"/>
    <x v="0"/>
    <x v="1"/>
  </r>
  <r>
    <s v="F005"/>
    <x v="4"/>
    <s v="A011"/>
    <s v="Mozzarella 125g"/>
    <x v="2"/>
    <n v="1.19"/>
    <n v="10"/>
    <x v="9"/>
    <n v="382"/>
    <n v="370"/>
    <n v="-12"/>
    <n v="-3.1413612565445024"/>
    <x v="0"/>
    <n v="14.28"/>
    <n v="0"/>
    <n v="2"/>
    <n v="3.57"/>
    <n v="4.2839999999999998"/>
    <x v="0"/>
    <n v="0"/>
    <s v="Abschreibung"/>
    <n v="100"/>
    <n v="0"/>
    <n v="4"/>
    <n v="4.76"/>
    <x v="1"/>
    <x v="3"/>
  </r>
  <r>
    <s v="F005"/>
    <x v="4"/>
    <s v="A011"/>
    <s v="Mozzarella 125g"/>
    <x v="2"/>
    <n v="1.19"/>
    <n v="11"/>
    <x v="10"/>
    <n v="442"/>
    <n v="424"/>
    <n v="-18"/>
    <n v="-4.0723981900452486"/>
    <x v="0"/>
    <n v="21.419999999999998"/>
    <n v="3"/>
    <n v="0"/>
    <n v="5.3549999999999995"/>
    <n v="6.4259999999999993"/>
    <x v="3"/>
    <n v="0"/>
    <s v="Ja - 20% Reduzierung"/>
    <n v="20"/>
    <n v="0.95"/>
    <n v="22"/>
    <n v="5.24"/>
    <x v="1"/>
    <x v="6"/>
  </r>
  <r>
    <s v="F005"/>
    <x v="4"/>
    <s v="A011"/>
    <s v="Mozzarella 125g"/>
    <x v="2"/>
    <n v="1.19"/>
    <n v="12"/>
    <x v="11"/>
    <n v="573"/>
    <n v="545"/>
    <n v="-28"/>
    <n v="-4.8865619546247814"/>
    <x v="0"/>
    <n v="33.32"/>
    <n v="10"/>
    <n v="3"/>
    <n v="8.33"/>
    <n v="9.9960000000000004"/>
    <x v="4"/>
    <n v="0"/>
    <s v="Nein"/>
    <n v="0"/>
    <n v="1.19"/>
    <n v="0"/>
    <n v="0"/>
    <x v="0"/>
    <x v="6"/>
  </r>
  <r>
    <s v="F005"/>
    <x v="4"/>
    <s v="A012"/>
    <s v="Quark 500g"/>
    <x v="5"/>
    <n v="1.39"/>
    <n v="1"/>
    <x v="0"/>
    <n v="477"/>
    <n v="479"/>
    <n v="2"/>
    <n v="0.41928721174004197"/>
    <x v="1"/>
    <n v="2.78"/>
    <n v="10"/>
    <n v="5"/>
    <n v="0"/>
    <n v="0"/>
    <x v="0"/>
    <n v="2"/>
    <s v="Nein"/>
    <n v="0"/>
    <n v="1.39"/>
    <n v="0"/>
    <n v="0"/>
    <x v="0"/>
    <x v="2"/>
  </r>
  <r>
    <s v="F005"/>
    <x v="4"/>
    <s v="A012"/>
    <s v="Quark 500g"/>
    <x v="5"/>
    <n v="1.39"/>
    <n v="2"/>
    <x v="1"/>
    <n v="442"/>
    <n v="435"/>
    <n v="-7"/>
    <n v="-1.5837104072398189"/>
    <x v="0"/>
    <n v="9.7299999999999986"/>
    <n v="12"/>
    <n v="2"/>
    <n v="2.4324999999999997"/>
    <n v="2.9189999999999996"/>
    <x v="1"/>
    <n v="0"/>
    <s v="Nein"/>
    <n v="0"/>
    <n v="1.39"/>
    <n v="0"/>
    <n v="0"/>
    <x v="0"/>
    <x v="5"/>
  </r>
  <r>
    <s v="F005"/>
    <x v="4"/>
    <s v="A012"/>
    <s v="Quark 500g"/>
    <x v="5"/>
    <n v="1.39"/>
    <n v="3"/>
    <x v="2"/>
    <n v="519"/>
    <n v="509"/>
    <n v="-10"/>
    <n v="-1.9267822736030826"/>
    <x v="0"/>
    <n v="13.899999999999999"/>
    <n v="5"/>
    <n v="3"/>
    <n v="3.4749999999999996"/>
    <n v="4.169999999999999"/>
    <x v="0"/>
    <n v="0"/>
    <s v="Nein"/>
    <n v="0"/>
    <n v="1.39"/>
    <n v="0"/>
    <n v="0"/>
    <x v="0"/>
    <x v="5"/>
  </r>
  <r>
    <s v="F005"/>
    <x v="4"/>
    <s v="A012"/>
    <s v="Quark 500g"/>
    <x v="5"/>
    <n v="1.39"/>
    <n v="4"/>
    <x v="3"/>
    <n v="637"/>
    <n v="611"/>
    <n v="-26"/>
    <n v="-4.0816326530612246"/>
    <x v="0"/>
    <n v="36.14"/>
    <n v="6"/>
    <n v="2"/>
    <n v="9.0350000000000001"/>
    <n v="10.842000000000001"/>
    <x v="2"/>
    <n v="0"/>
    <s v="Nein"/>
    <n v="0"/>
    <n v="1.39"/>
    <n v="0"/>
    <n v="0"/>
    <x v="0"/>
    <x v="6"/>
  </r>
  <r>
    <s v="F005"/>
    <x v="4"/>
    <s v="A012"/>
    <s v="Quark 500g"/>
    <x v="5"/>
    <n v="1.39"/>
    <n v="5"/>
    <x v="4"/>
    <n v="520"/>
    <n v="510"/>
    <n v="-10"/>
    <n v="-1.9230769230769231"/>
    <x v="0"/>
    <n v="13.899999999999999"/>
    <n v="7"/>
    <n v="2"/>
    <n v="3.4749999999999996"/>
    <n v="4.169999999999999"/>
    <x v="0"/>
    <n v="0"/>
    <s v="Nein"/>
    <n v="0"/>
    <n v="1.39"/>
    <n v="0"/>
    <n v="0"/>
    <x v="0"/>
    <x v="5"/>
  </r>
  <r>
    <s v="F005"/>
    <x v="4"/>
    <s v="A012"/>
    <s v="Quark 500g"/>
    <x v="5"/>
    <n v="1.39"/>
    <n v="6"/>
    <x v="5"/>
    <n v="583"/>
    <n v="564"/>
    <n v="-19"/>
    <n v="-3.2590051457975986"/>
    <x v="0"/>
    <n v="26.409999999999997"/>
    <n v="4"/>
    <n v="4"/>
    <n v="6.6024999999999991"/>
    <n v="7.9229999999999983"/>
    <x v="0"/>
    <n v="0"/>
    <s v="Nein"/>
    <n v="0"/>
    <n v="1.39"/>
    <n v="0"/>
    <n v="0"/>
    <x v="0"/>
    <x v="6"/>
  </r>
  <r>
    <s v="F005"/>
    <x v="4"/>
    <s v="A012"/>
    <s v="Quark 500g"/>
    <x v="5"/>
    <n v="1.39"/>
    <n v="7"/>
    <x v="6"/>
    <n v="618"/>
    <n v="603"/>
    <n v="-15"/>
    <n v="-2.4271844660194173"/>
    <x v="0"/>
    <n v="20.849999999999998"/>
    <n v="12"/>
    <n v="3"/>
    <n v="5.2124999999999995"/>
    <n v="6.254999999999999"/>
    <x v="0"/>
    <n v="0"/>
    <s v="Nein"/>
    <n v="0"/>
    <n v="1.39"/>
    <n v="0"/>
    <n v="0"/>
    <x v="0"/>
    <x v="0"/>
  </r>
  <r>
    <s v="F005"/>
    <x v="4"/>
    <s v="A012"/>
    <s v="Quark 500g"/>
    <x v="5"/>
    <n v="1.39"/>
    <n v="8"/>
    <x v="7"/>
    <n v="568"/>
    <n v="551"/>
    <n v="-17"/>
    <n v="-2.992957746478873"/>
    <x v="0"/>
    <n v="23.63"/>
    <n v="8"/>
    <n v="2"/>
    <n v="5.9074999999999998"/>
    <n v="7.0889999999999995"/>
    <x v="0"/>
    <n v="0"/>
    <s v="Nein"/>
    <n v="0"/>
    <n v="1.39"/>
    <n v="0"/>
    <n v="0"/>
    <x v="0"/>
    <x v="0"/>
  </r>
  <r>
    <s v="F005"/>
    <x v="4"/>
    <s v="A012"/>
    <s v="Quark 500g"/>
    <x v="5"/>
    <n v="1.39"/>
    <n v="9"/>
    <x v="8"/>
    <n v="494"/>
    <n v="476"/>
    <n v="-18"/>
    <n v="-3.6437246963562751"/>
    <x v="0"/>
    <n v="25.02"/>
    <n v="7"/>
    <n v="3"/>
    <n v="6.2549999999999999"/>
    <n v="7.5059999999999993"/>
    <x v="0"/>
    <n v="0"/>
    <s v="Nein"/>
    <n v="0"/>
    <n v="1.39"/>
    <n v="0"/>
    <n v="0"/>
    <x v="0"/>
    <x v="6"/>
  </r>
  <r>
    <s v="F005"/>
    <x v="4"/>
    <s v="A012"/>
    <s v="Quark 500g"/>
    <x v="5"/>
    <n v="1.39"/>
    <n v="10"/>
    <x v="9"/>
    <n v="546"/>
    <n v="533"/>
    <n v="-13"/>
    <n v="-2.3809523809523809"/>
    <x v="0"/>
    <n v="18.07"/>
    <n v="9"/>
    <n v="3"/>
    <n v="4.5175000000000001"/>
    <n v="5.4210000000000003"/>
    <x v="0"/>
    <n v="0"/>
    <s v="Nein"/>
    <n v="0"/>
    <n v="1.39"/>
    <n v="0"/>
    <n v="0"/>
    <x v="0"/>
    <x v="0"/>
  </r>
  <r>
    <s v="F005"/>
    <x v="4"/>
    <s v="A012"/>
    <s v="Quark 500g"/>
    <x v="5"/>
    <n v="1.39"/>
    <n v="11"/>
    <x v="10"/>
    <n v="572"/>
    <n v="550"/>
    <n v="-22"/>
    <n v="-3.8461538461538463"/>
    <x v="0"/>
    <n v="30.58"/>
    <n v="4"/>
    <n v="1"/>
    <n v="7.6449999999999996"/>
    <n v="9.1739999999999995"/>
    <x v="3"/>
    <n v="0"/>
    <s v="Nein"/>
    <n v="0"/>
    <n v="1.39"/>
    <n v="0"/>
    <n v="0"/>
    <x v="0"/>
    <x v="6"/>
  </r>
  <r>
    <s v="F005"/>
    <x v="4"/>
    <s v="A012"/>
    <s v="Quark 500g"/>
    <x v="5"/>
    <n v="1.39"/>
    <n v="12"/>
    <x v="11"/>
    <n v="735"/>
    <n v="735"/>
    <n v="0"/>
    <n v="0"/>
    <x v="2"/>
    <n v="0"/>
    <n v="7"/>
    <n v="1"/>
    <n v="0"/>
    <n v="0"/>
    <x v="4"/>
    <n v="0"/>
    <s v="Nein"/>
    <n v="0"/>
    <n v="1.39"/>
    <n v="0"/>
    <n v="0"/>
    <x v="0"/>
    <x v="5"/>
  </r>
  <r>
    <s v="F005"/>
    <x v="4"/>
    <s v="A013"/>
    <s v="Skyr 450g"/>
    <x v="3"/>
    <n v="1.99"/>
    <n v="1"/>
    <x v="0"/>
    <n v="295"/>
    <n v="300"/>
    <n v="5"/>
    <n v="1.6949152542372881"/>
    <x v="1"/>
    <n v="9.9499999999999993"/>
    <n v="11"/>
    <n v="4"/>
    <n v="0"/>
    <n v="0"/>
    <x v="0"/>
    <n v="5"/>
    <s v="Nein"/>
    <n v="0"/>
    <n v="1.99"/>
    <n v="0"/>
    <n v="0"/>
    <x v="0"/>
    <x v="2"/>
  </r>
  <r>
    <s v="F005"/>
    <x v="4"/>
    <s v="A013"/>
    <s v="Skyr 450g"/>
    <x v="3"/>
    <n v="1.99"/>
    <n v="2"/>
    <x v="1"/>
    <n v="287"/>
    <n v="294"/>
    <n v="7"/>
    <n v="2.4390243902439024"/>
    <x v="1"/>
    <n v="13.93"/>
    <n v="21"/>
    <n v="5"/>
    <n v="0"/>
    <n v="0"/>
    <x v="1"/>
    <n v="7"/>
    <s v="Nein"/>
    <n v="0"/>
    <n v="1.99"/>
    <n v="0"/>
    <n v="0"/>
    <x v="0"/>
    <x v="2"/>
  </r>
  <r>
    <s v="F005"/>
    <x v="4"/>
    <s v="A013"/>
    <s v="Skyr 450g"/>
    <x v="3"/>
    <n v="1.99"/>
    <n v="3"/>
    <x v="2"/>
    <n v="328"/>
    <n v="330"/>
    <n v="2"/>
    <n v="0.6097560975609756"/>
    <x v="1"/>
    <n v="3.98"/>
    <n v="9"/>
    <n v="7"/>
    <n v="0"/>
    <n v="0"/>
    <x v="0"/>
    <n v="2"/>
    <s v="Nein"/>
    <n v="0"/>
    <n v="1.99"/>
    <n v="0"/>
    <n v="0"/>
    <x v="0"/>
    <x v="2"/>
  </r>
  <r>
    <s v="F005"/>
    <x v="4"/>
    <s v="A013"/>
    <s v="Skyr 450g"/>
    <x v="3"/>
    <n v="1.99"/>
    <n v="4"/>
    <x v="3"/>
    <n v="386"/>
    <n v="369"/>
    <n v="-17"/>
    <n v="-4.4041450777202069"/>
    <x v="0"/>
    <n v="33.83"/>
    <n v="2"/>
    <n v="7"/>
    <n v="8.4574999999999996"/>
    <n v="10.148999999999999"/>
    <x v="2"/>
    <n v="0"/>
    <s v="Ja - 20% Reduzierung"/>
    <n v="20"/>
    <n v="1.59"/>
    <n v="35"/>
    <n v="13.93"/>
    <x v="2"/>
    <x v="4"/>
  </r>
  <r>
    <s v="F005"/>
    <x v="4"/>
    <s v="A013"/>
    <s v="Skyr 450g"/>
    <x v="3"/>
    <n v="1.99"/>
    <n v="5"/>
    <x v="4"/>
    <n v="341"/>
    <n v="334"/>
    <n v="-7"/>
    <n v="-2.0527859237536656"/>
    <x v="0"/>
    <n v="13.93"/>
    <n v="16"/>
    <n v="3"/>
    <n v="3.4824999999999999"/>
    <n v="4.1789999999999994"/>
    <x v="0"/>
    <n v="0"/>
    <s v="Nein"/>
    <n v="0"/>
    <n v="1.99"/>
    <n v="0"/>
    <n v="0"/>
    <x v="0"/>
    <x v="0"/>
  </r>
  <r>
    <s v="F005"/>
    <x v="4"/>
    <s v="A013"/>
    <s v="Skyr 450g"/>
    <x v="3"/>
    <n v="1.99"/>
    <n v="6"/>
    <x v="5"/>
    <n v="354"/>
    <n v="342"/>
    <n v="-12"/>
    <n v="-3.3898305084745761"/>
    <x v="0"/>
    <n v="23.88"/>
    <n v="3"/>
    <n v="6"/>
    <n v="5.97"/>
    <n v="7.1639999999999997"/>
    <x v="0"/>
    <n v="0"/>
    <s v="Ja - 20% Reduzierung"/>
    <n v="20"/>
    <n v="1.59"/>
    <n v="39"/>
    <n v="15.52"/>
    <x v="1"/>
    <x v="6"/>
  </r>
  <r>
    <s v="F005"/>
    <x v="4"/>
    <s v="A013"/>
    <s v="Skyr 450g"/>
    <x v="3"/>
    <n v="1.99"/>
    <n v="7"/>
    <x v="6"/>
    <n v="382"/>
    <n v="370"/>
    <n v="-12"/>
    <n v="-3.1413612565445024"/>
    <x v="0"/>
    <n v="23.88"/>
    <n v="21"/>
    <n v="0"/>
    <n v="5.97"/>
    <n v="7.1639999999999997"/>
    <x v="0"/>
    <n v="0"/>
    <s v="Nein"/>
    <n v="0"/>
    <n v="1.99"/>
    <n v="0"/>
    <n v="0"/>
    <x v="0"/>
    <x v="6"/>
  </r>
  <r>
    <s v="F005"/>
    <x v="4"/>
    <s v="A013"/>
    <s v="Skyr 450g"/>
    <x v="3"/>
    <n v="1.99"/>
    <n v="8"/>
    <x v="7"/>
    <n v="355"/>
    <n v="345"/>
    <n v="-10"/>
    <n v="-2.8169014084507045"/>
    <x v="0"/>
    <n v="19.899999999999999"/>
    <n v="5"/>
    <n v="2"/>
    <n v="4.9749999999999996"/>
    <n v="5.97"/>
    <x v="0"/>
    <n v="0"/>
    <s v="Nein"/>
    <n v="0"/>
    <n v="1.99"/>
    <n v="0"/>
    <n v="0"/>
    <x v="0"/>
    <x v="0"/>
  </r>
  <r>
    <s v="F005"/>
    <x v="4"/>
    <s v="A013"/>
    <s v="Skyr 450g"/>
    <x v="3"/>
    <n v="1.99"/>
    <n v="9"/>
    <x v="8"/>
    <n v="299"/>
    <n v="301"/>
    <n v="2"/>
    <n v="0.66889632107023411"/>
    <x v="1"/>
    <n v="3.98"/>
    <n v="1"/>
    <n v="6"/>
    <n v="0"/>
    <n v="0"/>
    <x v="0"/>
    <n v="2"/>
    <s v="Ja - 20% Reduzierung"/>
    <n v="20"/>
    <n v="1.59"/>
    <n v="42"/>
    <n v="16.72"/>
    <x v="1"/>
    <x v="2"/>
  </r>
  <r>
    <s v="F005"/>
    <x v="4"/>
    <s v="A013"/>
    <s v="Skyr 450g"/>
    <x v="3"/>
    <n v="1.99"/>
    <n v="10"/>
    <x v="9"/>
    <n v="322"/>
    <n v="328"/>
    <n v="6"/>
    <n v="1.8633540372670807"/>
    <x v="1"/>
    <n v="11.94"/>
    <n v="17"/>
    <n v="4"/>
    <n v="0"/>
    <n v="0"/>
    <x v="0"/>
    <n v="6"/>
    <s v="Nein"/>
    <n v="0"/>
    <n v="1.99"/>
    <n v="0"/>
    <n v="0"/>
    <x v="0"/>
    <x v="2"/>
  </r>
  <r>
    <s v="F005"/>
    <x v="4"/>
    <s v="A013"/>
    <s v="Skyr 450g"/>
    <x v="3"/>
    <n v="1.99"/>
    <n v="11"/>
    <x v="10"/>
    <n v="347"/>
    <n v="338"/>
    <n v="-9"/>
    <n v="-2.5936599423631126"/>
    <x v="0"/>
    <n v="17.91"/>
    <n v="8"/>
    <n v="4"/>
    <n v="4.4775"/>
    <n v="5.3730000000000002"/>
    <x v="3"/>
    <n v="0"/>
    <s v="Nein"/>
    <n v="0"/>
    <n v="1.99"/>
    <n v="0"/>
    <n v="0"/>
    <x v="0"/>
    <x v="0"/>
  </r>
  <r>
    <s v="F005"/>
    <x v="4"/>
    <s v="A013"/>
    <s v="Skyr 450g"/>
    <x v="3"/>
    <n v="1.99"/>
    <n v="12"/>
    <x v="11"/>
    <n v="478"/>
    <n v="456"/>
    <n v="-22"/>
    <n v="-4.6025104602510458"/>
    <x v="0"/>
    <n v="43.78"/>
    <n v="9"/>
    <n v="6"/>
    <n v="10.945"/>
    <n v="13.134"/>
    <x v="4"/>
    <n v="0"/>
    <s v="Nein"/>
    <n v="0"/>
    <n v="1.99"/>
    <n v="0"/>
    <n v="0"/>
    <x v="0"/>
    <x v="6"/>
  </r>
  <r>
    <s v="F005"/>
    <x v="4"/>
    <s v="A014"/>
    <s v="Kefir 500ml"/>
    <x v="0"/>
    <n v="1.39"/>
    <n v="1"/>
    <x v="0"/>
    <n v="170"/>
    <n v="166"/>
    <n v="-4"/>
    <n v="-2.3529411764705883"/>
    <x v="0"/>
    <n v="5.56"/>
    <n v="0"/>
    <n v="1"/>
    <n v="1.39"/>
    <n v="1.6679999999999999"/>
    <x v="0"/>
    <n v="0"/>
    <s v="Abschreibung"/>
    <n v="100"/>
    <n v="0"/>
    <n v="5"/>
    <n v="6.95"/>
    <x v="1"/>
    <x v="3"/>
  </r>
  <r>
    <s v="F005"/>
    <x v="4"/>
    <s v="A014"/>
    <s v="Kefir 500ml"/>
    <x v="0"/>
    <n v="1.39"/>
    <n v="2"/>
    <x v="1"/>
    <n v="167"/>
    <n v="163"/>
    <n v="-4"/>
    <n v="-2.3952095808383236"/>
    <x v="0"/>
    <n v="5.56"/>
    <n v="3"/>
    <n v="1"/>
    <n v="1.39"/>
    <n v="1.6679999999999999"/>
    <x v="1"/>
    <n v="0"/>
    <s v="Ja - 20% Reduzierung"/>
    <n v="20"/>
    <n v="1.1100000000000001"/>
    <n v="20"/>
    <n v="5.56"/>
    <x v="1"/>
    <x v="1"/>
  </r>
  <r>
    <s v="F005"/>
    <x v="4"/>
    <s v="A014"/>
    <s v="Kefir 500ml"/>
    <x v="0"/>
    <n v="1.39"/>
    <n v="3"/>
    <x v="2"/>
    <n v="211"/>
    <n v="205"/>
    <n v="-6"/>
    <n v="-2.8436018957345972"/>
    <x v="0"/>
    <n v="8.34"/>
    <n v="0"/>
    <n v="0"/>
    <n v="2.085"/>
    <n v="2.5019999999999998"/>
    <x v="0"/>
    <n v="0"/>
    <s v="Abschreibung"/>
    <n v="100"/>
    <n v="0"/>
    <n v="4"/>
    <n v="5.56"/>
    <x v="1"/>
    <x v="3"/>
  </r>
  <r>
    <s v="F005"/>
    <x v="4"/>
    <s v="A014"/>
    <s v="Kefir 500ml"/>
    <x v="0"/>
    <n v="1.39"/>
    <n v="4"/>
    <x v="3"/>
    <n v="234"/>
    <n v="223"/>
    <n v="-11"/>
    <n v="-4.700854700854701"/>
    <x v="0"/>
    <n v="15.29"/>
    <n v="5"/>
    <n v="0"/>
    <n v="3.8224999999999998"/>
    <n v="4.5869999999999997"/>
    <x v="2"/>
    <n v="0"/>
    <s v="Nein"/>
    <n v="0"/>
    <n v="1.39"/>
    <n v="0"/>
    <n v="0"/>
    <x v="0"/>
    <x v="6"/>
  </r>
  <r>
    <s v="F005"/>
    <x v="4"/>
    <s v="A014"/>
    <s v="Kefir 500ml"/>
    <x v="0"/>
    <n v="1.39"/>
    <n v="5"/>
    <x v="4"/>
    <n v="205"/>
    <n v="196"/>
    <n v="-9"/>
    <n v="-4.3902439024390238"/>
    <x v="0"/>
    <n v="12.51"/>
    <n v="10"/>
    <n v="4"/>
    <n v="3.1274999999999999"/>
    <n v="3.7529999999999997"/>
    <x v="0"/>
    <n v="0"/>
    <s v="Nein"/>
    <n v="0"/>
    <n v="1.39"/>
    <n v="0"/>
    <n v="0"/>
    <x v="0"/>
    <x v="6"/>
  </r>
  <r>
    <s v="F005"/>
    <x v="4"/>
    <s v="A014"/>
    <s v="Kefir 500ml"/>
    <x v="0"/>
    <n v="1.39"/>
    <n v="6"/>
    <x v="5"/>
    <n v="204"/>
    <n v="199"/>
    <n v="-5"/>
    <n v="-2.4509803921568629"/>
    <x v="0"/>
    <n v="6.9499999999999993"/>
    <n v="1"/>
    <n v="2"/>
    <n v="1.7374999999999998"/>
    <n v="2.0849999999999995"/>
    <x v="0"/>
    <n v="0"/>
    <s v="Ja - 20% Reduzierung"/>
    <n v="20"/>
    <n v="1.1100000000000001"/>
    <n v="24"/>
    <n v="6.67"/>
    <x v="2"/>
    <x v="4"/>
  </r>
  <r>
    <s v="F005"/>
    <x v="4"/>
    <s v="A014"/>
    <s v="Kefir 500ml"/>
    <x v="0"/>
    <n v="1.39"/>
    <n v="7"/>
    <x v="6"/>
    <n v="225"/>
    <n v="227"/>
    <n v="2"/>
    <n v="0.88888888888888884"/>
    <x v="1"/>
    <n v="2.78"/>
    <n v="0"/>
    <n v="3"/>
    <n v="0"/>
    <n v="0"/>
    <x v="0"/>
    <n v="2"/>
    <s v="Abschreibung"/>
    <n v="100"/>
    <n v="0"/>
    <n v="7"/>
    <n v="9.73"/>
    <x v="1"/>
    <x v="3"/>
  </r>
  <r>
    <s v="F005"/>
    <x v="4"/>
    <s v="A014"/>
    <s v="Kefir 500ml"/>
    <x v="0"/>
    <n v="1.39"/>
    <n v="8"/>
    <x v="7"/>
    <n v="220"/>
    <n v="220"/>
    <n v="0"/>
    <n v="0"/>
    <x v="2"/>
    <n v="0"/>
    <n v="6"/>
    <n v="2"/>
    <n v="0"/>
    <n v="0"/>
    <x v="0"/>
    <n v="0"/>
    <s v="Nein"/>
    <n v="0"/>
    <n v="1.39"/>
    <n v="0"/>
    <n v="0"/>
    <x v="0"/>
    <x v="5"/>
  </r>
  <r>
    <s v="F005"/>
    <x v="4"/>
    <s v="A014"/>
    <s v="Kefir 500ml"/>
    <x v="0"/>
    <n v="1.39"/>
    <n v="9"/>
    <x v="8"/>
    <n v="178"/>
    <n v="174"/>
    <n v="-4"/>
    <n v="-2.2471910112359552"/>
    <x v="0"/>
    <n v="5.56"/>
    <n v="10"/>
    <n v="3"/>
    <n v="1.39"/>
    <n v="1.6679999999999999"/>
    <x v="0"/>
    <n v="0"/>
    <s v="Nein"/>
    <n v="0"/>
    <n v="1.39"/>
    <n v="0"/>
    <n v="0"/>
    <x v="0"/>
    <x v="0"/>
  </r>
  <r>
    <s v="F005"/>
    <x v="4"/>
    <s v="A014"/>
    <s v="Kefir 500ml"/>
    <x v="0"/>
    <n v="1.39"/>
    <n v="10"/>
    <x v="9"/>
    <n v="201"/>
    <n v="195"/>
    <n v="-6"/>
    <n v="-2.9850746268656714"/>
    <x v="0"/>
    <n v="8.34"/>
    <n v="10"/>
    <n v="2"/>
    <n v="2.085"/>
    <n v="2.5019999999999998"/>
    <x v="0"/>
    <n v="0"/>
    <s v="Nein"/>
    <n v="0"/>
    <n v="1.39"/>
    <n v="0"/>
    <n v="0"/>
    <x v="0"/>
    <x v="0"/>
  </r>
  <r>
    <s v="F005"/>
    <x v="4"/>
    <s v="A014"/>
    <s v="Kefir 500ml"/>
    <x v="0"/>
    <n v="1.39"/>
    <n v="11"/>
    <x v="10"/>
    <n v="212"/>
    <n v="212"/>
    <n v="0"/>
    <n v="0"/>
    <x v="2"/>
    <n v="0"/>
    <n v="10"/>
    <n v="4"/>
    <n v="0"/>
    <n v="0"/>
    <x v="3"/>
    <n v="0"/>
    <s v="Nein"/>
    <n v="0"/>
    <n v="1.39"/>
    <n v="0"/>
    <n v="0"/>
    <x v="0"/>
    <x v="5"/>
  </r>
  <r>
    <s v="F005"/>
    <x v="4"/>
    <s v="A014"/>
    <s v="Kefir 500ml"/>
    <x v="0"/>
    <n v="1.39"/>
    <n v="12"/>
    <x v="11"/>
    <n v="284"/>
    <n v="273"/>
    <n v="-11"/>
    <n v="-3.873239436619718"/>
    <x v="0"/>
    <n v="15.29"/>
    <n v="8"/>
    <n v="0"/>
    <n v="3.8224999999999998"/>
    <n v="4.5869999999999997"/>
    <x v="4"/>
    <n v="0"/>
    <s v="Nein"/>
    <n v="0"/>
    <n v="1.39"/>
    <n v="0"/>
    <n v="0"/>
    <x v="0"/>
    <x v="6"/>
  </r>
  <r>
    <s v="F005"/>
    <x v="4"/>
    <s v="A015"/>
    <s v="Frischkäse 200g"/>
    <x v="2"/>
    <n v="1.49"/>
    <n v="1"/>
    <x v="0"/>
    <n v="241"/>
    <n v="236"/>
    <n v="-5"/>
    <n v="-2.0746887966804977"/>
    <x v="0"/>
    <n v="7.45"/>
    <n v="7"/>
    <n v="6"/>
    <n v="1.8625"/>
    <n v="2.2349999999999999"/>
    <x v="0"/>
    <n v="0"/>
    <s v="Nein"/>
    <n v="0"/>
    <n v="1.49"/>
    <n v="0"/>
    <n v="0"/>
    <x v="0"/>
    <x v="0"/>
  </r>
  <r>
    <s v="F005"/>
    <x v="4"/>
    <s v="A015"/>
    <s v="Frischkäse 200g"/>
    <x v="2"/>
    <n v="1.49"/>
    <n v="2"/>
    <x v="1"/>
    <n v="219"/>
    <n v="216"/>
    <n v="-3"/>
    <n v="-1.3698630136986301"/>
    <x v="0"/>
    <n v="4.47"/>
    <n v="2"/>
    <n v="5"/>
    <n v="1.1174999999999999"/>
    <n v="1.341"/>
    <x v="1"/>
    <n v="0"/>
    <s v="Ja - 20% Reduzierung"/>
    <n v="20"/>
    <n v="1.19"/>
    <n v="26"/>
    <n v="7.75"/>
    <x v="1"/>
    <x v="5"/>
  </r>
  <r>
    <s v="F005"/>
    <x v="4"/>
    <s v="A015"/>
    <s v="Frischkäse 200g"/>
    <x v="2"/>
    <n v="1.49"/>
    <n v="3"/>
    <x v="2"/>
    <n v="278"/>
    <n v="271"/>
    <n v="-7"/>
    <n v="-2.5179856115107913"/>
    <x v="0"/>
    <n v="10.43"/>
    <n v="21"/>
    <n v="1"/>
    <n v="2.6074999999999999"/>
    <n v="3.129"/>
    <x v="0"/>
    <n v="0"/>
    <s v="Nein"/>
    <n v="0"/>
    <n v="1.49"/>
    <n v="0"/>
    <n v="0"/>
    <x v="0"/>
    <x v="1"/>
  </r>
  <r>
    <s v="F005"/>
    <x v="4"/>
    <s v="A015"/>
    <s v="Frischkäse 200g"/>
    <x v="2"/>
    <n v="1.49"/>
    <n v="4"/>
    <x v="3"/>
    <n v="325"/>
    <n v="318"/>
    <n v="-7"/>
    <n v="-2.1538461538461537"/>
    <x v="0"/>
    <n v="10.43"/>
    <n v="5"/>
    <n v="2"/>
    <n v="2.6074999999999999"/>
    <n v="3.129"/>
    <x v="2"/>
    <n v="0"/>
    <s v="Nein"/>
    <n v="0"/>
    <n v="1.49"/>
    <n v="0"/>
    <n v="0"/>
    <x v="0"/>
    <x v="0"/>
  </r>
  <r>
    <s v="F005"/>
    <x v="4"/>
    <s v="A015"/>
    <s v="Frischkäse 200g"/>
    <x v="2"/>
    <n v="1.49"/>
    <n v="5"/>
    <x v="4"/>
    <n v="247"/>
    <n v="240"/>
    <n v="-7"/>
    <n v="-2.834008097165992"/>
    <x v="0"/>
    <n v="10.43"/>
    <n v="12"/>
    <n v="6"/>
    <n v="2.6074999999999999"/>
    <n v="3.129"/>
    <x v="0"/>
    <n v="0"/>
    <s v="Nein"/>
    <n v="0"/>
    <n v="1.49"/>
    <n v="0"/>
    <n v="0"/>
    <x v="0"/>
    <x v="0"/>
  </r>
  <r>
    <s v="F005"/>
    <x v="4"/>
    <s v="A015"/>
    <s v="Frischkäse 200g"/>
    <x v="2"/>
    <n v="1.49"/>
    <n v="6"/>
    <x v="5"/>
    <n v="289"/>
    <n v="280"/>
    <n v="-9"/>
    <n v="-3.1141868512110724"/>
    <x v="0"/>
    <n v="13.41"/>
    <n v="3"/>
    <n v="1"/>
    <n v="3.3525"/>
    <n v="4.0229999999999997"/>
    <x v="0"/>
    <n v="0"/>
    <s v="Ja - 20% Reduzierung"/>
    <n v="20"/>
    <n v="1.19"/>
    <n v="26"/>
    <n v="7.75"/>
    <x v="3"/>
    <x v="4"/>
  </r>
  <r>
    <s v="F005"/>
    <x v="4"/>
    <s v="A015"/>
    <s v="Frischkäse 200g"/>
    <x v="2"/>
    <n v="1.49"/>
    <n v="7"/>
    <x v="6"/>
    <n v="309"/>
    <n v="300"/>
    <n v="-9"/>
    <n v="-2.912621359223301"/>
    <x v="0"/>
    <n v="13.41"/>
    <n v="9"/>
    <n v="7"/>
    <n v="3.3525"/>
    <n v="4.0229999999999997"/>
    <x v="0"/>
    <n v="0"/>
    <s v="Nein"/>
    <n v="0"/>
    <n v="1.49"/>
    <n v="0"/>
    <n v="0"/>
    <x v="0"/>
    <x v="0"/>
  </r>
  <r>
    <s v="F005"/>
    <x v="4"/>
    <s v="A015"/>
    <s v="Frischkäse 200g"/>
    <x v="2"/>
    <n v="1.49"/>
    <n v="8"/>
    <x v="7"/>
    <n v="302"/>
    <n v="293"/>
    <n v="-9"/>
    <n v="-2.9801324503311259"/>
    <x v="0"/>
    <n v="13.41"/>
    <n v="2"/>
    <n v="3"/>
    <n v="3.3525"/>
    <n v="4.0229999999999997"/>
    <x v="0"/>
    <n v="0"/>
    <s v="Ja - 20% Reduzierung"/>
    <n v="20"/>
    <n v="1.19"/>
    <n v="42"/>
    <n v="12.52"/>
    <x v="1"/>
    <x v="0"/>
  </r>
  <r>
    <s v="F005"/>
    <x v="4"/>
    <s v="A015"/>
    <s v="Frischkäse 200g"/>
    <x v="2"/>
    <n v="1.49"/>
    <n v="9"/>
    <x v="8"/>
    <n v="237"/>
    <n v="237"/>
    <n v="0"/>
    <n v="0"/>
    <x v="2"/>
    <n v="0"/>
    <n v="13"/>
    <n v="1"/>
    <n v="0"/>
    <n v="0"/>
    <x v="0"/>
    <n v="0"/>
    <s v="Nein"/>
    <n v="0"/>
    <n v="1.49"/>
    <n v="0"/>
    <n v="0"/>
    <x v="0"/>
    <x v="5"/>
  </r>
  <r>
    <s v="F005"/>
    <x v="4"/>
    <s v="A015"/>
    <s v="Frischkäse 200g"/>
    <x v="2"/>
    <n v="1.49"/>
    <n v="10"/>
    <x v="9"/>
    <n v="263"/>
    <n v="264"/>
    <n v="1"/>
    <n v="0.38022813688212925"/>
    <x v="1"/>
    <n v="1.49"/>
    <n v="15"/>
    <n v="3"/>
    <n v="0"/>
    <n v="0"/>
    <x v="0"/>
    <n v="1"/>
    <s v="Nein"/>
    <n v="0"/>
    <n v="1.49"/>
    <n v="0"/>
    <n v="0"/>
    <x v="0"/>
    <x v="2"/>
  </r>
  <r>
    <s v="F005"/>
    <x v="4"/>
    <s v="A015"/>
    <s v="Frischkäse 200g"/>
    <x v="2"/>
    <n v="1.49"/>
    <n v="11"/>
    <x v="10"/>
    <n v="289"/>
    <n v="285"/>
    <n v="-4"/>
    <n v="-1.3840830449826991"/>
    <x v="0"/>
    <n v="5.96"/>
    <n v="0"/>
    <n v="0"/>
    <n v="1.49"/>
    <n v="1.788"/>
    <x v="3"/>
    <n v="0"/>
    <s v="Abschreibung"/>
    <n v="100"/>
    <n v="0"/>
    <n v="3"/>
    <n v="4.47"/>
    <x v="3"/>
    <x v="3"/>
  </r>
  <r>
    <s v="F005"/>
    <x v="4"/>
    <s v="A015"/>
    <s v="Frischkäse 200g"/>
    <x v="2"/>
    <n v="1.49"/>
    <n v="12"/>
    <x v="11"/>
    <n v="371"/>
    <n v="373"/>
    <n v="2"/>
    <n v="0.53908355795148255"/>
    <x v="1"/>
    <n v="2.98"/>
    <n v="9"/>
    <n v="0"/>
    <n v="0"/>
    <n v="0"/>
    <x v="4"/>
    <n v="2"/>
    <s v="Nein"/>
    <n v="0"/>
    <n v="1.49"/>
    <n v="0"/>
    <n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9D060-CEFE-4F37-9173-80C8472B9CC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Kategorie">
  <location ref="A39:C46" firstHeaderRow="0" firstDataRow="1" firstDataCol="1"/>
  <pivotFields count="27">
    <pivotField showAll="0"/>
    <pivotField showAll="0"/>
    <pivotField showAll="0"/>
    <pivotField showAll="0"/>
    <pivotField axis="axisRow" showAll="0">
      <items count="7">
        <item x="1"/>
        <item x="3"/>
        <item x="2"/>
        <item x="0"/>
        <item x="5"/>
        <item x="4"/>
        <item t="default"/>
      </items>
    </pivotField>
    <pivotField numFmtId="164" showAll="0"/>
    <pivotField showAll="0"/>
    <pivotField showAll="0"/>
    <pivotField showAll="0"/>
    <pivotField showAll="0"/>
    <pivotField showAll="0"/>
    <pivotField dataField="1" numFmtId="2" showAll="0"/>
    <pivotField showAll="0"/>
    <pivotField dataField="1" numFmtId="164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weichung_Wert_EUR" fld="13" baseField="0" baseItem="0" numFmtId="164"/>
    <dataField name="Average of Bestandsabweichung_%" fld="11" subtotal="average" baseField="4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D916F-2EDF-482A-AE15-50A2090A8E5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at_Name">
  <location ref="A18:B31" firstHeaderRow="1" firstDataRow="1" firstDataCol="1"/>
  <pivotFields count="27"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numFmtId="2" showAll="0"/>
    <pivotField showAll="0"/>
    <pivotField dataField="1" numFmtId="164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bweichung_Wert_EUR" fld="13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08C94-24F5-4EF9-9145-DE1EB5AD67B1}" name="Schwund_By_Filiale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 rowHeaderCaption="Filiale_Name">
  <location ref="A4:C10" firstHeaderRow="0" firstDataRow="1" firstDataCol="1"/>
  <pivotFields count="27">
    <pivotField showAll="0"/>
    <pivotField axis="axisRow" showAll="0">
      <items count="7">
        <item m="1" x="5"/>
        <item x="0"/>
        <item x="2"/>
        <item x="1"/>
        <item x="4"/>
        <item x="3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numFmtId="2" showAll="0"/>
    <pivotField showAll="0"/>
    <pivotField dataField="1" numFmtId="164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weichung_Wert_EUR" fld="13" baseField="1" baseItem="0" numFmtId="164"/>
    <dataField name="Average of Bestandsabweichung_%" fld="11" subtotal="average" baseField="1" baseItem="0" numFmtId="2"/>
  </dataFields>
  <formats count="2">
    <format dxfId="35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34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F217D-BB16-4446-BDFC-C90FF2996DA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HD_Prozess_Fehler">
  <location ref="A93:B100" firstHeaderRow="1" firstDataRow="1" firstDataCol="1"/>
  <pivotFields count="27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2" showAll="0"/>
    <pivotField showAll="0"/>
    <pivotField numFmtId="164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164" showAll="0"/>
    <pivotField showAll="0"/>
    <pivotField numFmtId="164" showAll="0"/>
    <pivotField axis="axisRow" dataField="1" showAll="0">
      <items count="7">
        <item x="3"/>
        <item x="0"/>
        <item x="1"/>
        <item x="4"/>
        <item x="2"/>
        <item x="5"/>
        <item t="default"/>
      </items>
    </pivotField>
    <pivotField showAll="0"/>
  </pivotFields>
  <rowFields count="1">
    <field x="2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MHD_Prozess_Fehler" fld="25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3EED9-3C5F-4621-8062-1C6DB421BD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Ereignis">
  <location ref="A75:B81" firstHeaderRow="1" firstDataRow="1" firstDataCol="1"/>
  <pivotFields count="27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2" showAll="0"/>
    <pivotField showAll="0"/>
    <pivotField dataField="1" numFmtId="164" showAll="0"/>
    <pivotField showAll="0"/>
    <pivotField showAll="0"/>
    <pivotField numFmtId="164" showAll="0"/>
    <pivotField numFmtId="164"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showAll="0"/>
    <pivotField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bweichung_Wert_EUR" fld="1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440EF-3C19-419D-A265-30743B24C8E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bweichung_typ">
  <location ref="A57:B61" firstHeaderRow="1" firstDataRow="1" firstDataCol="1"/>
  <pivotFields count="27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2" showAll="0"/>
    <pivotField axis="axisRow" dataField="1" showAll="0">
      <items count="4">
        <item x="2"/>
        <item x="0"/>
        <item x="1"/>
        <item t="default"/>
      </items>
    </pivotField>
    <pivotField numFmtId="164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bweichung_Typ" fld="12" subtotal="count" baseField="0" baseItem="0"/>
  </dataFields>
  <chartFormats count="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9E5BF-C320-4480-9C83-B1FE72FDD56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Ursachen">
  <location ref="A4:C12" firstHeaderRow="0" firstDataRow="1" firstDataCol="1"/>
  <pivotFields count="27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2" showAll="0"/>
    <pivotField showAll="0"/>
    <pivotField dataField="1" numFmtId="164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axis="axisRow" dataField="1" showAll="0">
      <items count="8">
        <item x="1"/>
        <item x="6"/>
        <item x="2"/>
        <item x="4"/>
        <item x="5"/>
        <item x="0"/>
        <item x="3"/>
        <item t="default"/>
      </items>
    </pivotField>
  </pivotFields>
  <rowFields count="1">
    <field x="2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rsachen" fld="26" subtotal="count" baseField="0" baseItem="0"/>
    <dataField name="Sum of Abweichung_Wert_EUR" fld="13" baseField="0" baseItem="0" numFmtId="164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6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6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6" count="1" selected="0">
            <x v="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26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26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26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26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26" count="1" selected="0">
            <x v="5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2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7F005-A497-4D42-B7FA-83ECD06EE0A7}" name="Inventurdaten" displayName="Inventurdaten" ref="A4:AA904" totalsRowShown="0" headerRowDxfId="96" headerRowBorderDxfId="95" tableBorderDxfId="94" totalsRowBorderDxfId="93">
  <autoFilter ref="A4:AA904" xr:uid="{C9F7F005-A497-4D42-B7FA-83ECD06EE0A7}"/>
  <tableColumns count="27">
    <tableColumn id="1" xr3:uid="{1E551E81-347C-446D-8A05-C5C9C4F7C640}" name="Filiale_ID" dataDxfId="92"/>
    <tableColumn id="2" xr3:uid="{578C6EA6-717A-44AA-80D8-8AD9128DF0ED}" name="Filiale_Name" dataDxfId="91">
      <calculatedColumnFormula>VLOOKUP(A5,Stammdaten!$A$3:$B$7,2,FALSE)</calculatedColumnFormula>
    </tableColumn>
    <tableColumn id="3" xr3:uid="{1C4B1E83-486D-4C30-8DCE-3329DFA5F33F}" name="Artikel_ID" dataDxfId="90">
      <calculatedColumnFormula array="1">INDEX(Stammdaten!$A$11:$A$25,INT((ROW()-5)/12)+1 - INT((ROW()-5)/180)*15)</calculatedColumnFormula>
    </tableColumn>
    <tableColumn id="4" xr3:uid="{8B81A84F-B6A4-466A-B2C6-F8115ED14384}" name="Artikel_Name" dataDxfId="89">
      <calculatedColumnFormula>VLOOKUP(C5,Stammdaten!$A$11:$B$25,2,FALSE)</calculatedColumnFormula>
    </tableColumn>
    <tableColumn id="5" xr3:uid="{49C4A2E3-0F96-40A2-B91C-D578BECA4D02}" name="Kategorie" dataDxfId="88">
      <calculatedColumnFormula>VLOOKUP(C5,Stammdaten!$A$11:$C$25,3,FALSE)</calculatedColumnFormula>
    </tableColumn>
    <tableColumn id="6" xr3:uid="{D0A6A52F-60B1-4EBC-8E33-FA2928AA2D27}" name="VK_Preis_EUR" dataDxfId="87">
      <calculatedColumnFormula>VLOOKUP(C5,Stammdaten!$A$11:$D$25,4,FALSE)</calculatedColumnFormula>
    </tableColumn>
    <tableColumn id="7" xr3:uid="{1AA05629-8B05-42A3-A30F-02028D877616}" name="Monat_Nr" dataDxfId="86">
      <calculatedColumnFormula>MOD(ROW()-5,12)+1</calculatedColumnFormula>
    </tableColumn>
    <tableColumn id="8" xr3:uid="{ADAEE326-5EE1-473C-A540-66B24CBEC620}" name="Monat_Name" dataDxfId="85">
      <calculatedColumnFormula>VLOOKUP(G5,Stammdaten!$A$30:$B$41,2,FALSE)</calculatedColumnFormula>
    </tableColumn>
    <tableColumn id="9" xr3:uid="{B1CF6C59-E85A-4E03-9689-144E4304F4E5}" name="Soll_Bestand" dataDxfId="84"/>
    <tableColumn id="10" xr3:uid="{EDE805AF-8BBB-4FA8-AEEA-BC0B1A26A633}" name="Ist_Bestand" dataDxfId="83"/>
    <tableColumn id="11" xr3:uid="{4B1FFFED-C1C0-4ECE-A344-EA13609BD72D}" name="Differenz" dataDxfId="82">
      <calculatedColumnFormula>J5-I5</calculatedColumnFormula>
    </tableColumn>
    <tableColumn id="12" xr3:uid="{081326EA-3F4D-4711-BE86-FEEC3608060A}" name="Bestandsabweichung_%" dataDxfId="81" dataCellStyle="Percent">
      <calculatedColumnFormula>IF(I5=0,0,(K5)/I5*100)</calculatedColumnFormula>
    </tableColumn>
    <tableColumn id="13" xr3:uid="{F8CE5ABB-FC81-405A-B737-E1933A185268}" name="Abweichung_Typ" dataDxfId="80" dataCellStyle="Percent">
      <calculatedColumnFormula>IF(K5=0,"Perfekt",IF(K5&lt;0,"Schwund","Überbestand"))</calculatedColumnFormula>
    </tableColumn>
    <tableColumn id="14" xr3:uid="{F8D7D727-9CA3-4003-AE74-90A33F56EB52}" name="Abweichung_Wert_EUR" dataDxfId="79">
      <calculatedColumnFormula>ABS(K5)*F5</calculatedColumnFormula>
    </tableColumn>
    <tableColumn id="15" xr3:uid="{BF251917-7491-4E59-AAF8-740EDA6D2869}" name="MHD_Tage" dataDxfId="78"/>
    <tableColumn id="16" xr3:uid="{D8B8B276-5F9F-4267-A22C-25DF5DDF5F6C}" name="Tage_seit_Lieferung" dataDxfId="77"/>
    <tableColumn id="17" xr3:uid="{FB199090-93FF-4D03-902F-B0CC4816343E}" name="Freitag_Schwund_EUR" dataDxfId="76">
      <calculatedColumnFormula>IF(K5&lt;0,ABS(N5)*0.25,0)</calculatedColumnFormula>
    </tableColumn>
    <tableColumn id="18" xr3:uid="{9D3DF0A3-3443-406A-9087-8163AA943A5A}" name="Samstag_Schwund_EUR" dataDxfId="75">
      <calculatedColumnFormula>IF(K5&lt;0,ABS(N5)*0.3,0)</calculatedColumnFormula>
    </tableColumn>
    <tableColumn id="19" xr3:uid="{1AEA28C7-0B91-4C04-997E-6CFE8AFF9592}" name="Ereignis" dataDxfId="74">
      <calculatedColumnFormula>IF(G5=4,"Ostern",IF(G5=12,"Weihnachten/Silvester",IF(G5=11,"Black Friday",IF(G5=2,"Karneval","Normal"))))</calculatedColumnFormula>
    </tableColumn>
    <tableColumn id="20" xr3:uid="{C86D8921-E46E-4A5E-B0D1-F2BFE9218ECA}" name="Kassenfehler_Einfluss" dataDxfId="73"/>
    <tableColumn id="21" xr3:uid="{3EA4FE28-A12C-4402-B5E8-55A6B113453E}" name="Reduziert_Ja_Nein" dataDxfId="72">
      <calculatedColumnFormula>IF(O5&lt;=0,"Abschreibung",IF(O5&lt;=3,"Ja - 20% Reduzierung","Nein"))</calculatedColumnFormula>
    </tableColumn>
    <tableColumn id="22" xr3:uid="{67E046B1-95EC-4761-AE95-0E0A7544229D}" name="Rabatt_%" dataDxfId="71">
      <calculatedColumnFormula>IF(O5&lt;=0,100,IF(O5&lt;=3,20,0))</calculatedColumnFormula>
    </tableColumn>
    <tableColumn id="23" xr3:uid="{A7A8B1AA-5205-410A-B927-0D5B34D6BB6F}" name="Reduzierter_Preis_EUR" dataDxfId="70">
      <calculatedColumnFormula>IF(V5=100,0,ROUND(F5*(1-V5/100),2))</calculatedColumnFormula>
    </tableColumn>
    <tableColumn id="24" xr3:uid="{092A5A9D-7828-449D-9008-576BCB1B5BA9}" name="Reduzierte_Menge" dataDxfId="69"/>
    <tableColumn id="25" xr3:uid="{343CCD9D-542B-437D-950B-17C090C1C153}" name="Umsatzverlust_EUR" dataDxfId="68">
      <calculatedColumnFormula>ROUND(X5*F5*(V5/100),2)</calculatedColumnFormula>
    </tableColumn>
    <tableColumn id="26" xr3:uid="{042E57C1-60A7-481A-AD52-42C4022C5C3C}" name="MHD_Prozess_Fehler" dataDxfId="67"/>
    <tableColumn id="27" xr3:uid="{3EABBD95-0C06-406B-BC97-47C97F11BAE4}" name="Ursachen">
      <calculatedColumnFormula>IF(O5&lt;=0,"Verderb - Abgelaufen",IF(AND(O5&lt;=3,Z5&lt;&gt;"Korrekt",Z5&lt;&gt;"Kein MHD - Prozess"),"MHD - Prozessfehler",IF(K5&gt;0,"Kassenfehler (Überbestand)",IF(AND(ABS(L5)&gt;3,A5="F005"),"Diebstahlrisiko",IF(AND(ABS(L5)&gt;2,P5&lt;2),"Buchungsfehler Wareneingang",IF(ABS(L5)&gt;2,"Prozessfehler","Normal/Gering"))))))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B712B7-ABEA-4E21-A888-E227FA10B863}" name="ABC_Analyse" displayName="ABC_Analyse" ref="A4:M19" totalsRowShown="0" headerRowDxfId="66" headerRowBorderDxfId="65" tableBorderDxfId="64" totalsRowBorderDxfId="63">
  <autoFilter ref="A4:M19" xr:uid="{45B712B7-ABEA-4E21-A888-E227FA10B863}"/>
  <sortState xmlns:xlrd2="http://schemas.microsoft.com/office/spreadsheetml/2017/richdata2" ref="A5:M19">
    <sortCondition descending="1" ref="H4:H19"/>
  </sortState>
  <tableColumns count="13">
    <tableColumn id="1" xr3:uid="{19CBFB31-14D5-4EAC-A0B5-75A57E777731}" name="Artikel_ID" dataDxfId="62"/>
    <tableColumn id="2" xr3:uid="{D09AB7BD-923A-4DA9-B492-9E3F0199BFE8}" name="Artikel_Name" dataDxfId="61">
      <calculatedColumnFormula>VLOOKUP(A5,Stammdaten!$A$11:$B$25,2,FALSE)</calculatedColumnFormula>
    </tableColumn>
    <tableColumn id="3" xr3:uid="{2ED81616-F37A-43DD-8901-3AD1A4FD9BD6}" name="Kategorie" dataDxfId="60">
      <calculatedColumnFormula>VLOOKUP(A5,Stammdaten!$A$11:$C$25,3,FALSE)</calculatedColumnFormula>
    </tableColumn>
    <tableColumn id="4" xr3:uid="{3BD0CCF9-EFF9-4787-B3F8-29803C1AFD6C}" name="VK_Preis_EUR" dataDxfId="59">
      <calculatedColumnFormula>VLOOKUP(A5,Stammdaten!$A$11:$D$25,4,FALSE)</calculatedColumnFormula>
    </tableColumn>
    <tableColumn id="5" xr3:uid="{FC5929B8-4F9E-4527-96C2-3B2813EA214B}" name="Gesamt_Soll" dataDxfId="58">
      <calculatedColumnFormula>SUMIFS(Rohdaten!I:I,Rohdaten!C:C,A5)</calculatedColumnFormula>
    </tableColumn>
    <tableColumn id="6" xr3:uid="{786EA79D-2CBE-44AC-9DE0-827224C26032}" name="Gesamt_Ist" dataDxfId="57">
      <calculatedColumnFormula>SUMIFS(Rohdaten!J:J,Rohdaten!C:C,A5)</calculatedColumnFormula>
    </tableColumn>
    <tableColumn id="7" xr3:uid="{9517A3F6-3F3C-4051-BD82-7BB5C9F9E5B1}" name="Gesamt_Differenz" dataDxfId="56">
      <calculatedColumnFormula>F5-E5</calculatedColumnFormula>
    </tableColumn>
    <tableColumn id="8" xr3:uid="{8CFAE89A-4577-415E-B1FC-8541C1BE1FFE}" name="Gesamt_Schwund_Wert_EUR" dataDxfId="55">
      <calculatedColumnFormula>SUMIFS(Rohdaten!N:N,Rohdaten!C:C,A5)</calculatedColumnFormula>
    </tableColumn>
    <tableColumn id="9" xr3:uid="{CD097F92-CBA0-47F5-8FED-03D795D9D0BA}" name="_x0009_Ø_Schwundquote_%" dataDxfId="54">
      <calculatedColumnFormula>AVERAGEIFS(Rohdaten!L:L,Rohdaten!C:C,A5)</calculatedColumnFormula>
    </tableColumn>
    <tableColumn id="10" xr3:uid="{B07F7C53-9816-45AB-B33C-C6C5D80A6B89}" name="Anteil_am_Gesamtschwund_%" dataDxfId="53" dataCellStyle="Percent">
      <calculatedColumnFormula>H5/$H$20*100</calculatedColumnFormula>
    </tableColumn>
    <tableColumn id="11" xr3:uid="{7E98CAFC-9B05-4666-91E0-1CAC1BD4BF81}" name="Kumuliert_%" dataDxfId="52">
      <calculatedColumnFormula>J5+K4</calculatedColumnFormula>
    </tableColumn>
    <tableColumn id="12" xr3:uid="{2C7F9431-D38C-4221-BC2D-D2B2338C2435}" name="ABC_Klasse" dataDxfId="51">
      <calculatedColumnFormula>IF(K5&lt;=80,"A",IF(K5&lt;=95,"B","C"))</calculatedColumnFormula>
    </tableColumn>
    <tableColumn id="13" xr3:uid="{8ECD27FE-A9DA-4A4D-90E8-67A3F88FD23F}" name="Zähl_Frequenz" dataDxfId="50">
      <calculatedColumnFormula>IF(L5="A","Wöchentlich",IF(L5="B","Monatlich","Quartalsweise"))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D844E6-B276-46A2-9EC0-37478FEE654D}" name="ABC_Zusammenfassung" displayName="ABC_Zusammenfassung" ref="A23:E26" totalsRowShown="0" headerRowDxfId="49" headerRowBorderDxfId="48" tableBorderDxfId="47" totalsRowBorderDxfId="46">
  <autoFilter ref="A23:E26" xr:uid="{6AD844E6-B276-46A2-9EC0-37478FEE654D}"/>
  <tableColumns count="5">
    <tableColumn id="1" xr3:uid="{5F74514A-B378-4930-9FC9-C42453B6ACAD}" name="ABC_Klasse" dataDxfId="45"/>
    <tableColumn id="2" xr3:uid="{776171C2-FACD-4EBA-BEE1-674AFA280BBF}" name="Anzahl_Artikel" dataDxfId="44"/>
    <tableColumn id="3" xr3:uid="{9DEFE613-C4B1-4928-99D5-83C7B3DBA807}" name="Anteil_Artikel_%" dataDxfId="43">
      <calculatedColumnFormula>B24/15*100</calculatedColumnFormula>
    </tableColumn>
    <tableColumn id="4" xr3:uid="{024BBCBE-401B-4E69-AE49-5CFD3D547362}" name="Anteil_Schwund_%" dataDxfId="42"/>
    <tableColumn id="5" xr3:uid="{0C92FEA2-87CE-43AE-91E9-DCC270113D12}" name="Zähl_Frequenz" dataDxf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052582-B4A1-4778-86F0-CD35F4EA20E7}" name="Table3" displayName="Table3" ref="A67:B73" totalsRowShown="0" headerRowBorderDxfId="40" tableBorderDxfId="39" totalsRowBorderDxfId="38">
  <autoFilter ref="A67:B73" xr:uid="{B3052582-B4A1-4778-86F0-CD35F4EA20E7}"/>
  <tableColumns count="2">
    <tableColumn id="1" xr3:uid="{063E2BFD-55E3-4FE1-96F2-6873EE196836}" name="Empfehlung" dataDxfId="37"/>
    <tableColumn id="2" xr3:uid="{966519D4-BFB1-4D5C-8D96-0D3F81FD95AE}" name="Erwarteter Nutzen" dataDxfId="3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DB0474-3337-4A92-A80B-127408F43293}" name="Table4" displayName="Table4" ref="A4:G16" totalsRowShown="0" headerRowDxfId="33" dataDxfId="32">
  <autoFilter ref="A4:G16" xr:uid="{6CDB0474-3337-4A92-A80B-127408F43293}"/>
  <tableColumns count="7">
    <tableColumn id="1" xr3:uid="{B9885C02-90D4-4EA1-9A3D-458C449AF6E5}" name="Monat_Nr" dataDxfId="31"/>
    <tableColumn id="2" xr3:uid="{52F983FB-C55F-40E4-B711-5C81BE610D97}" name="Monat_Name" dataDxfId="30"/>
    <tableColumn id="3" xr3:uid="{BDF1E0A5-CFA3-43CB-96A9-5FB60147C4C0}" name="Actual_Schwund_EUR" dataDxfId="29">
      <calculatedColumnFormula>SUMIFS(Rohdaten!N:N,Rohdaten!G:G,A5)</calculatedColumnFormula>
    </tableColumn>
    <tableColumn id="4" xr3:uid="{BFF66BA4-535B-4402-86F8-ADB400A7B1B4}" name="3-Monats-Durchschnitt" dataDxfId="28">
      <calculatedColumnFormula>AVERAGE(C2:C4)</calculatedColumnFormula>
    </tableColumn>
    <tableColumn id="5" xr3:uid="{FC33FA16-90E7-4C11-9C5E-F4B900338759}" name="Prognose" dataDxfId="27">
      <calculatedColumnFormula>D5</calculatedColumnFormula>
    </tableColumn>
    <tableColumn id="6" xr3:uid="{DC0F0C2A-A201-48A3-9C08-346C094A9AE3}" name="Absoluter_Fehler" dataDxfId="26">
      <calculatedColumnFormula>ABS(C5-D5)</calculatedColumnFormula>
    </tableColumn>
    <tableColumn id="7" xr3:uid="{CDA7121F-3A04-4D10-BEB8-AE433EAFB121}" name="Prozentualer_Fehler_%" dataDxfId="25">
      <calculatedColumnFormula>IF(C5=0,0,F5/C5*100)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4545-C995-474F-A8D5-5ACD87124C2B}">
  <sheetPr>
    <tabColor rgb="FFFFFF00"/>
  </sheetPr>
  <dimension ref="A1:H84"/>
  <sheetViews>
    <sheetView workbookViewId="0">
      <pane ySplit="1" topLeftCell="A52" activePane="bottomLeft" state="frozen"/>
      <selection pane="bottomLeft" activeCell="M20" sqref="M20"/>
    </sheetView>
  </sheetViews>
  <sheetFormatPr defaultRowHeight="14.5" x14ac:dyDescent="0.35"/>
  <cols>
    <col min="1" max="1" width="22.90625" bestFit="1" customWidth="1"/>
    <col min="2" max="2" width="32.7265625" customWidth="1"/>
    <col min="3" max="3" width="24.453125" bestFit="1" customWidth="1"/>
    <col min="4" max="4" width="14.36328125" customWidth="1"/>
    <col min="5" max="5" width="18.08984375" bestFit="1" customWidth="1"/>
    <col min="6" max="6" width="15.6328125" bestFit="1" customWidth="1"/>
    <col min="7" max="7" width="13" customWidth="1"/>
    <col min="8" max="8" width="14.54296875" bestFit="1" customWidth="1"/>
  </cols>
  <sheetData>
    <row r="1" spans="1:8" ht="18.5" x14ac:dyDescent="0.35">
      <c r="A1" s="103" t="s">
        <v>133</v>
      </c>
      <c r="B1" s="103"/>
      <c r="C1" s="103"/>
    </row>
    <row r="2" spans="1:8" ht="16" x14ac:dyDescent="0.35">
      <c r="A2" s="18" t="s">
        <v>1</v>
      </c>
      <c r="B2" s="18" t="s">
        <v>2</v>
      </c>
      <c r="C2" s="18" t="s">
        <v>116</v>
      </c>
    </row>
    <row r="3" spans="1:8" x14ac:dyDescent="0.35">
      <c r="A3" s="4" t="s">
        <v>14</v>
      </c>
      <c r="B3" s="5" t="s">
        <v>19</v>
      </c>
      <c r="C3" s="21">
        <v>1</v>
      </c>
    </row>
    <row r="4" spans="1:8" x14ac:dyDescent="0.35">
      <c r="A4" s="4" t="s">
        <v>15</v>
      </c>
      <c r="B4" s="5" t="s">
        <v>20</v>
      </c>
      <c r="C4" s="21">
        <v>0.8</v>
      </c>
    </row>
    <row r="5" spans="1:8" x14ac:dyDescent="0.35">
      <c r="A5" s="4" t="s">
        <v>16</v>
      </c>
      <c r="B5" s="5" t="s">
        <v>21</v>
      </c>
      <c r="C5" s="21">
        <v>0.9</v>
      </c>
    </row>
    <row r="6" spans="1:8" x14ac:dyDescent="0.35">
      <c r="A6" s="4" t="s">
        <v>17</v>
      </c>
      <c r="B6" s="5" t="s">
        <v>225</v>
      </c>
      <c r="C6" s="21">
        <v>1.1000000000000001</v>
      </c>
    </row>
    <row r="7" spans="1:8" x14ac:dyDescent="0.35">
      <c r="A7" s="4" t="s">
        <v>18</v>
      </c>
      <c r="B7" s="5" t="s">
        <v>22</v>
      </c>
      <c r="C7" s="21">
        <v>1.3</v>
      </c>
    </row>
    <row r="9" spans="1:8" ht="18.5" x14ac:dyDescent="0.35">
      <c r="A9" s="103" t="s">
        <v>66</v>
      </c>
      <c r="B9" s="103"/>
      <c r="C9" s="103"/>
      <c r="D9" s="103"/>
      <c r="E9" s="103"/>
      <c r="F9" s="103"/>
      <c r="G9" s="103"/>
      <c r="H9" s="103"/>
    </row>
    <row r="10" spans="1:8" ht="16" x14ac:dyDescent="0.35">
      <c r="A10" s="6" t="s">
        <v>3</v>
      </c>
      <c r="B10" s="6" t="s">
        <v>4</v>
      </c>
      <c r="C10" s="6" t="s">
        <v>5</v>
      </c>
      <c r="D10" s="6" t="s">
        <v>23</v>
      </c>
      <c r="E10" s="6" t="s">
        <v>24</v>
      </c>
      <c r="F10" s="6" t="s">
        <v>25</v>
      </c>
      <c r="G10" s="6" t="s">
        <v>26</v>
      </c>
      <c r="H10" s="6" t="s">
        <v>134</v>
      </c>
    </row>
    <row r="11" spans="1:8" x14ac:dyDescent="0.35">
      <c r="A11" s="9" t="s">
        <v>27</v>
      </c>
      <c r="B11" s="9" t="s">
        <v>42</v>
      </c>
      <c r="C11" s="10" t="s">
        <v>60</v>
      </c>
      <c r="D11" s="11">
        <v>1.19</v>
      </c>
      <c r="E11" s="89">
        <v>3</v>
      </c>
      <c r="F11" s="89">
        <v>6</v>
      </c>
      <c r="G11" s="8">
        <v>7</v>
      </c>
      <c r="H11" s="4">
        <v>3</v>
      </c>
    </row>
    <row r="12" spans="1:8" x14ac:dyDescent="0.35">
      <c r="A12" s="9" t="s">
        <v>28</v>
      </c>
      <c r="B12" s="9" t="s">
        <v>43</v>
      </c>
      <c r="C12" s="10" t="s">
        <v>60</v>
      </c>
      <c r="D12" s="11">
        <v>1.0900000000000001</v>
      </c>
      <c r="E12" s="89">
        <v>3</v>
      </c>
      <c r="F12" s="89">
        <v>5.5</v>
      </c>
      <c r="G12" s="8">
        <v>7</v>
      </c>
      <c r="H12" s="3">
        <v>3</v>
      </c>
    </row>
    <row r="13" spans="1:8" x14ac:dyDescent="0.35">
      <c r="A13" s="9" t="s">
        <v>29</v>
      </c>
      <c r="B13" s="9" t="s">
        <v>44</v>
      </c>
      <c r="C13" s="10" t="s">
        <v>60</v>
      </c>
      <c r="D13" s="11">
        <v>1.59</v>
      </c>
      <c r="E13" s="89">
        <v>2.5</v>
      </c>
      <c r="F13" s="89">
        <v>5</v>
      </c>
      <c r="G13" s="8">
        <v>7</v>
      </c>
      <c r="H13" s="3">
        <v>3</v>
      </c>
    </row>
    <row r="14" spans="1:8" x14ac:dyDescent="0.35">
      <c r="A14" s="9" t="s">
        <v>30</v>
      </c>
      <c r="B14" s="9" t="s">
        <v>45</v>
      </c>
      <c r="C14" s="10" t="s">
        <v>61</v>
      </c>
      <c r="D14" s="11">
        <v>2.29</v>
      </c>
      <c r="E14" s="89">
        <v>0.5</v>
      </c>
      <c r="F14" s="89">
        <v>2</v>
      </c>
      <c r="G14" s="8">
        <v>30</v>
      </c>
      <c r="H14" s="3">
        <v>10</v>
      </c>
    </row>
    <row r="15" spans="1:8" x14ac:dyDescent="0.35">
      <c r="A15" s="9" t="s">
        <v>31</v>
      </c>
      <c r="B15" s="9" t="s">
        <v>46</v>
      </c>
      <c r="C15" s="10" t="s">
        <v>64</v>
      </c>
      <c r="D15" s="11">
        <v>1.99</v>
      </c>
      <c r="E15" s="89">
        <v>1</v>
      </c>
      <c r="F15" s="89">
        <v>3</v>
      </c>
      <c r="G15" s="8">
        <v>21</v>
      </c>
      <c r="H15" s="3">
        <v>7</v>
      </c>
    </row>
    <row r="16" spans="1:8" x14ac:dyDescent="0.35">
      <c r="A16" s="9" t="s">
        <v>32</v>
      </c>
      <c r="B16" s="9" t="s">
        <v>47</v>
      </c>
      <c r="C16" s="10" t="s">
        <v>64</v>
      </c>
      <c r="D16" s="11">
        <v>2.4900000000000002</v>
      </c>
      <c r="E16" s="89">
        <v>1</v>
      </c>
      <c r="F16" s="89">
        <v>3</v>
      </c>
      <c r="G16" s="8">
        <v>21</v>
      </c>
      <c r="H16" s="3">
        <v>7</v>
      </c>
    </row>
    <row r="17" spans="1:8" x14ac:dyDescent="0.35">
      <c r="A17" s="9" t="s">
        <v>33</v>
      </c>
      <c r="B17" s="9" t="s">
        <v>48</v>
      </c>
      <c r="C17" s="10" t="s">
        <v>65</v>
      </c>
      <c r="D17" s="11">
        <v>0.89</v>
      </c>
      <c r="E17" s="89">
        <v>2</v>
      </c>
      <c r="F17" s="89">
        <v>5</v>
      </c>
      <c r="G17" s="8">
        <v>14</v>
      </c>
      <c r="H17" s="3">
        <v>5</v>
      </c>
    </row>
    <row r="18" spans="1:8" x14ac:dyDescent="0.35">
      <c r="A18" s="9" t="s">
        <v>34</v>
      </c>
      <c r="B18" s="9" t="s">
        <v>49</v>
      </c>
      <c r="C18" s="10" t="s">
        <v>65</v>
      </c>
      <c r="D18" s="11">
        <v>1.89</v>
      </c>
      <c r="E18" s="89">
        <v>2.5</v>
      </c>
      <c r="F18" s="89">
        <v>5.5</v>
      </c>
      <c r="G18" s="8">
        <v>14</v>
      </c>
      <c r="H18" s="3">
        <v>5</v>
      </c>
    </row>
    <row r="19" spans="1:8" x14ac:dyDescent="0.35">
      <c r="A19" s="9" t="s">
        <v>35</v>
      </c>
      <c r="B19" s="9" t="s">
        <v>50</v>
      </c>
      <c r="C19" s="10" t="s">
        <v>62</v>
      </c>
      <c r="D19" s="11">
        <v>0.79</v>
      </c>
      <c r="E19" s="89">
        <v>1.5</v>
      </c>
      <c r="F19" s="89">
        <v>3.5</v>
      </c>
      <c r="G19" s="8">
        <v>10</v>
      </c>
      <c r="H19" s="3">
        <v>4</v>
      </c>
    </row>
    <row r="20" spans="1:8" x14ac:dyDescent="0.35">
      <c r="A20" s="9" t="s">
        <v>36</v>
      </c>
      <c r="B20" s="9" t="s">
        <v>51</v>
      </c>
      <c r="C20" s="10" t="s">
        <v>62</v>
      </c>
      <c r="D20" s="11">
        <v>0.89</v>
      </c>
      <c r="E20" s="89">
        <v>1</v>
      </c>
      <c r="F20" s="89">
        <v>2.5</v>
      </c>
      <c r="G20" s="8">
        <v>14</v>
      </c>
      <c r="H20" s="3">
        <v>5</v>
      </c>
    </row>
    <row r="21" spans="1:8" x14ac:dyDescent="0.35">
      <c r="A21" s="9" t="s">
        <v>37</v>
      </c>
      <c r="B21" s="9" t="s">
        <v>52</v>
      </c>
      <c r="C21" s="10" t="s">
        <v>64</v>
      </c>
      <c r="D21" s="11">
        <v>1.19</v>
      </c>
      <c r="E21" s="89">
        <v>2</v>
      </c>
      <c r="F21" s="89">
        <v>5</v>
      </c>
      <c r="G21" s="8">
        <v>10</v>
      </c>
      <c r="H21" s="3">
        <v>4</v>
      </c>
    </row>
    <row r="22" spans="1:8" x14ac:dyDescent="0.35">
      <c r="A22" s="9" t="s">
        <v>38</v>
      </c>
      <c r="B22" s="9" t="s">
        <v>53</v>
      </c>
      <c r="C22" s="10" t="s">
        <v>63</v>
      </c>
      <c r="D22" s="11">
        <v>1.39</v>
      </c>
      <c r="E22" s="89">
        <v>1.5</v>
      </c>
      <c r="F22" s="89">
        <v>4</v>
      </c>
      <c r="G22" s="8">
        <v>14</v>
      </c>
      <c r="H22" s="3">
        <v>5</v>
      </c>
    </row>
    <row r="23" spans="1:8" x14ac:dyDescent="0.35">
      <c r="A23" s="9" t="s">
        <v>39</v>
      </c>
      <c r="B23" s="9" t="s">
        <v>54</v>
      </c>
      <c r="C23" s="10" t="s">
        <v>65</v>
      </c>
      <c r="D23" s="11">
        <v>1.99</v>
      </c>
      <c r="E23" s="89">
        <v>1.5</v>
      </c>
      <c r="F23" s="89">
        <v>3.5</v>
      </c>
      <c r="G23" s="8">
        <v>21</v>
      </c>
      <c r="H23" s="3">
        <v>7</v>
      </c>
    </row>
    <row r="24" spans="1:8" x14ac:dyDescent="0.35">
      <c r="A24" s="9" t="s">
        <v>40</v>
      </c>
      <c r="B24" s="9" t="s">
        <v>55</v>
      </c>
      <c r="C24" s="10" t="s">
        <v>60</v>
      </c>
      <c r="D24" s="11">
        <v>1.39</v>
      </c>
      <c r="E24" s="89">
        <v>2</v>
      </c>
      <c r="F24" s="89">
        <v>4.5</v>
      </c>
      <c r="G24" s="8">
        <v>10</v>
      </c>
      <c r="H24" s="3">
        <v>4</v>
      </c>
    </row>
    <row r="25" spans="1:8" x14ac:dyDescent="0.35">
      <c r="A25" s="9" t="s">
        <v>41</v>
      </c>
      <c r="B25" s="9" t="s">
        <v>56</v>
      </c>
      <c r="C25" s="10" t="s">
        <v>64</v>
      </c>
      <c r="D25" s="11">
        <v>1.49</v>
      </c>
      <c r="E25" s="89">
        <v>1</v>
      </c>
      <c r="F25" s="89">
        <v>3</v>
      </c>
      <c r="G25" s="8">
        <v>21</v>
      </c>
      <c r="H25" s="3">
        <v>7</v>
      </c>
    </row>
    <row r="26" spans="1:8" x14ac:dyDescent="0.35">
      <c r="A26" s="104" t="s">
        <v>71</v>
      </c>
      <c r="B26" s="104"/>
      <c r="C26" s="104"/>
      <c r="D26" s="104"/>
      <c r="E26" s="104"/>
      <c r="F26" s="104"/>
      <c r="G26" s="104"/>
      <c r="H26" s="104"/>
    </row>
    <row r="28" spans="1:8" ht="21" x14ac:dyDescent="0.35">
      <c r="A28" s="105" t="s">
        <v>113</v>
      </c>
      <c r="B28" s="105"/>
      <c r="C28" s="105"/>
      <c r="D28" s="105"/>
      <c r="E28" s="105"/>
      <c r="F28" s="105"/>
      <c r="G28" s="105"/>
    </row>
    <row r="29" spans="1:8" ht="16" x14ac:dyDescent="0.35">
      <c r="A29" s="6" t="s">
        <v>7</v>
      </c>
      <c r="B29" s="6" t="s">
        <v>8</v>
      </c>
      <c r="C29" s="6" t="s">
        <v>67</v>
      </c>
      <c r="D29" s="6" t="s">
        <v>68</v>
      </c>
      <c r="E29" s="6" t="s">
        <v>69</v>
      </c>
      <c r="F29" s="6" t="s">
        <v>70</v>
      </c>
      <c r="G29" s="6" t="s">
        <v>72</v>
      </c>
    </row>
    <row r="30" spans="1:8" ht="29" x14ac:dyDescent="0.35">
      <c r="A30" s="13">
        <v>1</v>
      </c>
      <c r="B30" s="14" t="s">
        <v>73</v>
      </c>
      <c r="C30" s="12">
        <v>0.9</v>
      </c>
      <c r="D30" s="4" t="s">
        <v>97</v>
      </c>
      <c r="E30" s="4" t="s">
        <v>97</v>
      </c>
      <c r="F30" s="16" t="s">
        <v>100</v>
      </c>
      <c r="G30" s="17" t="s">
        <v>85</v>
      </c>
    </row>
    <row r="31" spans="1:8" ht="43.5" x14ac:dyDescent="0.35">
      <c r="A31" s="13">
        <v>2</v>
      </c>
      <c r="B31" s="14" t="s">
        <v>74</v>
      </c>
      <c r="C31" s="12">
        <v>0.85</v>
      </c>
      <c r="D31" s="4" t="s">
        <v>97</v>
      </c>
      <c r="E31" s="4" t="s">
        <v>97</v>
      </c>
      <c r="F31" s="16" t="s">
        <v>101</v>
      </c>
      <c r="G31" s="17" t="s">
        <v>86</v>
      </c>
    </row>
    <row r="32" spans="1:8" ht="29" x14ac:dyDescent="0.35">
      <c r="A32" s="13">
        <v>3</v>
      </c>
      <c r="B32" s="14" t="s">
        <v>75</v>
      </c>
      <c r="C32" s="12">
        <v>1.05</v>
      </c>
      <c r="D32" s="4" t="s">
        <v>98</v>
      </c>
      <c r="E32" s="4" t="s">
        <v>97</v>
      </c>
      <c r="F32" s="16" t="s">
        <v>102</v>
      </c>
      <c r="G32" s="17" t="s">
        <v>87</v>
      </c>
    </row>
    <row r="33" spans="1:7" ht="58" x14ac:dyDescent="0.35">
      <c r="A33" s="13">
        <v>4</v>
      </c>
      <c r="B33" s="14" t="s">
        <v>76</v>
      </c>
      <c r="C33" s="12">
        <v>1.25</v>
      </c>
      <c r="D33" s="15" t="s">
        <v>99</v>
      </c>
      <c r="E33" s="4" t="s">
        <v>97</v>
      </c>
      <c r="F33" s="16" t="s">
        <v>103</v>
      </c>
      <c r="G33" s="17" t="s">
        <v>88</v>
      </c>
    </row>
    <row r="34" spans="1:7" ht="58" x14ac:dyDescent="0.35">
      <c r="A34" s="13">
        <v>5</v>
      </c>
      <c r="B34" s="14" t="s">
        <v>77</v>
      </c>
      <c r="C34" s="12">
        <v>1</v>
      </c>
      <c r="D34" s="4" t="s">
        <v>97</v>
      </c>
      <c r="E34" s="4" t="s">
        <v>97</v>
      </c>
      <c r="F34" s="16" t="s">
        <v>104</v>
      </c>
      <c r="G34" s="17" t="s">
        <v>89</v>
      </c>
    </row>
    <row r="35" spans="1:7" ht="43.5" x14ac:dyDescent="0.35">
      <c r="A35" s="13">
        <v>6</v>
      </c>
      <c r="B35" s="14" t="s">
        <v>78</v>
      </c>
      <c r="C35" s="12">
        <v>1.1000000000000001</v>
      </c>
      <c r="D35" s="4" t="s">
        <v>97</v>
      </c>
      <c r="E35" s="4" t="s">
        <v>97</v>
      </c>
      <c r="F35" s="16" t="s">
        <v>105</v>
      </c>
      <c r="G35" s="17" t="s">
        <v>90</v>
      </c>
    </row>
    <row r="36" spans="1:7" ht="43.5" x14ac:dyDescent="0.35">
      <c r="A36" s="13">
        <v>7</v>
      </c>
      <c r="B36" s="14" t="s">
        <v>79</v>
      </c>
      <c r="C36" s="12">
        <v>1.2</v>
      </c>
      <c r="D36" s="4" t="s">
        <v>97</v>
      </c>
      <c r="E36" s="4" t="s">
        <v>97</v>
      </c>
      <c r="F36" s="16" t="s">
        <v>106</v>
      </c>
      <c r="G36" s="17" t="s">
        <v>91</v>
      </c>
    </row>
    <row r="37" spans="1:7" ht="43.5" x14ac:dyDescent="0.35">
      <c r="A37" s="13">
        <v>8</v>
      </c>
      <c r="B37" s="14" t="s">
        <v>80</v>
      </c>
      <c r="C37" s="12">
        <v>1.1499999999999999</v>
      </c>
      <c r="D37" s="4" t="s">
        <v>97</v>
      </c>
      <c r="E37" s="4" t="s">
        <v>97</v>
      </c>
      <c r="F37" s="16" t="s">
        <v>107</v>
      </c>
      <c r="G37" s="17" t="s">
        <v>92</v>
      </c>
    </row>
    <row r="38" spans="1:7" x14ac:dyDescent="0.35">
      <c r="A38" s="13">
        <v>9</v>
      </c>
      <c r="B38" s="14" t="s">
        <v>81</v>
      </c>
      <c r="C38" s="12">
        <v>0.95</v>
      </c>
      <c r="D38" s="4" t="s">
        <v>97</v>
      </c>
      <c r="E38" s="4" t="s">
        <v>97</v>
      </c>
      <c r="F38" s="16" t="s">
        <v>108</v>
      </c>
      <c r="G38" s="17" t="s">
        <v>93</v>
      </c>
    </row>
    <row r="39" spans="1:7" x14ac:dyDescent="0.35">
      <c r="A39" s="13">
        <v>10</v>
      </c>
      <c r="B39" s="14" t="s">
        <v>82</v>
      </c>
      <c r="C39" s="12">
        <v>1</v>
      </c>
      <c r="D39" s="4" t="s">
        <v>97</v>
      </c>
      <c r="E39" s="4" t="s">
        <v>97</v>
      </c>
      <c r="F39" s="16" t="s">
        <v>109</v>
      </c>
      <c r="G39" s="17" t="s">
        <v>94</v>
      </c>
    </row>
    <row r="40" spans="1:7" ht="43.5" x14ac:dyDescent="0.35">
      <c r="A40" s="13">
        <v>11</v>
      </c>
      <c r="B40" s="14" t="s">
        <v>83</v>
      </c>
      <c r="C40" s="12">
        <v>1.1000000000000001</v>
      </c>
      <c r="D40" s="4" t="s">
        <v>97</v>
      </c>
      <c r="E40" s="4" t="s">
        <v>97</v>
      </c>
      <c r="F40" s="16" t="s">
        <v>110</v>
      </c>
      <c r="G40" s="17" t="s">
        <v>95</v>
      </c>
    </row>
    <row r="41" spans="1:7" ht="43.5" x14ac:dyDescent="0.35">
      <c r="A41" s="13">
        <v>12</v>
      </c>
      <c r="B41" s="14" t="s">
        <v>84</v>
      </c>
      <c r="C41" s="12">
        <v>1.4</v>
      </c>
      <c r="D41" s="4" t="s">
        <v>97</v>
      </c>
      <c r="E41" s="15" t="s">
        <v>99</v>
      </c>
      <c r="F41" s="16" t="s">
        <v>111</v>
      </c>
      <c r="G41" s="17" t="s">
        <v>96</v>
      </c>
    </row>
    <row r="43" spans="1:7" ht="18.5" x14ac:dyDescent="0.35">
      <c r="A43" s="103" t="s">
        <v>114</v>
      </c>
      <c r="B43" s="103"/>
    </row>
    <row r="44" spans="1:7" ht="16" x14ac:dyDescent="0.35">
      <c r="A44" s="18" t="s">
        <v>3</v>
      </c>
      <c r="B44" s="18" t="s">
        <v>115</v>
      </c>
    </row>
    <row r="45" spans="1:7" x14ac:dyDescent="0.35">
      <c r="A45" s="4" t="s">
        <v>27</v>
      </c>
      <c r="B45" s="5">
        <v>500</v>
      </c>
    </row>
    <row r="46" spans="1:7" x14ac:dyDescent="0.35">
      <c r="A46" s="4" t="s">
        <v>28</v>
      </c>
      <c r="B46" s="5">
        <v>450</v>
      </c>
    </row>
    <row r="47" spans="1:7" x14ac:dyDescent="0.35">
      <c r="A47" s="4" t="s">
        <v>29</v>
      </c>
      <c r="B47" s="5">
        <v>200</v>
      </c>
    </row>
    <row r="48" spans="1:7" x14ac:dyDescent="0.35">
      <c r="A48" s="4" t="s">
        <v>30</v>
      </c>
      <c r="B48" s="5">
        <v>400</v>
      </c>
    </row>
    <row r="49" spans="1:3" x14ac:dyDescent="0.35">
      <c r="A49" s="4" t="s">
        <v>31</v>
      </c>
      <c r="B49" s="5">
        <v>300</v>
      </c>
    </row>
    <row r="50" spans="1:3" x14ac:dyDescent="0.35">
      <c r="A50" s="4" t="s">
        <v>32</v>
      </c>
      <c r="B50" s="5">
        <v>250</v>
      </c>
    </row>
    <row r="51" spans="1:3" x14ac:dyDescent="0.35">
      <c r="A51" s="4" t="s">
        <v>33</v>
      </c>
      <c r="B51" s="5">
        <v>550</v>
      </c>
    </row>
    <row r="52" spans="1:3" x14ac:dyDescent="0.35">
      <c r="A52" s="4" t="s">
        <v>34</v>
      </c>
      <c r="B52" s="5">
        <v>350</v>
      </c>
    </row>
    <row r="53" spans="1:3" x14ac:dyDescent="0.35">
      <c r="A53" s="4" t="s">
        <v>35</v>
      </c>
      <c r="B53" s="5">
        <v>200</v>
      </c>
    </row>
    <row r="54" spans="1:3" x14ac:dyDescent="0.35">
      <c r="A54" s="4" t="s">
        <v>36</v>
      </c>
      <c r="B54" s="5">
        <v>180</v>
      </c>
    </row>
    <row r="55" spans="1:3" x14ac:dyDescent="0.35">
      <c r="A55" s="4" t="s">
        <v>37</v>
      </c>
      <c r="B55" s="5">
        <v>300</v>
      </c>
    </row>
    <row r="56" spans="1:3" x14ac:dyDescent="0.35">
      <c r="A56" s="4" t="s">
        <v>38</v>
      </c>
      <c r="B56" s="5">
        <v>400</v>
      </c>
    </row>
    <row r="57" spans="1:3" x14ac:dyDescent="0.35">
      <c r="A57" s="4" t="s">
        <v>39</v>
      </c>
      <c r="B57" s="5">
        <v>250</v>
      </c>
    </row>
    <row r="58" spans="1:3" x14ac:dyDescent="0.35">
      <c r="A58" s="4" t="s">
        <v>40</v>
      </c>
      <c r="B58" s="5">
        <v>150</v>
      </c>
    </row>
    <row r="59" spans="1:3" x14ac:dyDescent="0.35">
      <c r="A59" s="4" t="s">
        <v>41</v>
      </c>
      <c r="B59" s="5">
        <v>200</v>
      </c>
    </row>
    <row r="61" spans="1:3" ht="18.5" x14ac:dyDescent="0.35">
      <c r="A61" s="103" t="s">
        <v>135</v>
      </c>
      <c r="B61" s="103"/>
      <c r="C61" s="103"/>
    </row>
    <row r="62" spans="1:3" ht="16" x14ac:dyDescent="0.35">
      <c r="A62" s="18" t="s">
        <v>136</v>
      </c>
      <c r="B62" s="18" t="s">
        <v>137</v>
      </c>
      <c r="C62" s="18" t="s">
        <v>138</v>
      </c>
    </row>
    <row r="63" spans="1:3" x14ac:dyDescent="0.35">
      <c r="A63" s="4" t="s">
        <v>139</v>
      </c>
      <c r="B63" s="29">
        <v>0.1</v>
      </c>
      <c r="C63" s="21" t="s">
        <v>145</v>
      </c>
    </row>
    <row r="64" spans="1:3" x14ac:dyDescent="0.35">
      <c r="A64" s="4" t="s">
        <v>140</v>
      </c>
      <c r="B64" s="29">
        <v>0.1</v>
      </c>
      <c r="C64" s="21" t="s">
        <v>94</v>
      </c>
    </row>
    <row r="65" spans="1:3" x14ac:dyDescent="0.35">
      <c r="A65" s="4" t="s">
        <v>141</v>
      </c>
      <c r="B65" s="29">
        <v>0.12</v>
      </c>
      <c r="C65" s="21" t="s">
        <v>146</v>
      </c>
    </row>
    <row r="66" spans="1:3" x14ac:dyDescent="0.35">
      <c r="A66" s="4" t="s">
        <v>142</v>
      </c>
      <c r="B66" s="29">
        <v>0.13</v>
      </c>
      <c r="C66" s="21" t="s">
        <v>147</v>
      </c>
    </row>
    <row r="67" spans="1:3" x14ac:dyDescent="0.35">
      <c r="A67" s="4" t="s">
        <v>143</v>
      </c>
      <c r="B67" s="29">
        <v>0.25</v>
      </c>
      <c r="C67" s="21" t="s">
        <v>148</v>
      </c>
    </row>
    <row r="68" spans="1:3" x14ac:dyDescent="0.35">
      <c r="A68" s="4" t="s">
        <v>144</v>
      </c>
      <c r="B68" s="29">
        <v>0.3</v>
      </c>
      <c r="C68" s="21" t="s">
        <v>149</v>
      </c>
    </row>
    <row r="70" spans="1:3" ht="18.5" x14ac:dyDescent="0.35">
      <c r="A70" s="103" t="s">
        <v>155</v>
      </c>
      <c r="B70" s="103"/>
    </row>
    <row r="71" spans="1:3" ht="16" x14ac:dyDescent="0.35">
      <c r="A71" s="18" t="s">
        <v>150</v>
      </c>
      <c r="B71" s="18" t="s">
        <v>151</v>
      </c>
    </row>
    <row r="72" spans="1:3" x14ac:dyDescent="0.35">
      <c r="A72" s="4" t="s">
        <v>152</v>
      </c>
      <c r="B72" s="26">
        <v>7.0000000000000007E-2</v>
      </c>
    </row>
    <row r="73" spans="1:3" x14ac:dyDescent="0.35">
      <c r="A73" s="4" t="s">
        <v>153</v>
      </c>
      <c r="B73" s="26">
        <v>-0.05</v>
      </c>
    </row>
    <row r="74" spans="1:3" x14ac:dyDescent="0.35">
      <c r="A74" s="4" t="s">
        <v>154</v>
      </c>
      <c r="B74" s="26">
        <v>0.05</v>
      </c>
    </row>
    <row r="76" spans="1:3" ht="18.5" x14ac:dyDescent="0.35">
      <c r="A76" s="103" t="s">
        <v>156</v>
      </c>
      <c r="B76" s="103"/>
    </row>
    <row r="77" spans="1:3" ht="16" x14ac:dyDescent="0.35">
      <c r="A77" s="18" t="s">
        <v>150</v>
      </c>
      <c r="B77" s="18" t="s">
        <v>151</v>
      </c>
    </row>
    <row r="78" spans="1:3" x14ac:dyDescent="0.35">
      <c r="A78" s="4" t="s">
        <v>157</v>
      </c>
      <c r="B78" s="30">
        <v>0.2</v>
      </c>
    </row>
    <row r="79" spans="1:3" x14ac:dyDescent="0.35">
      <c r="A79" s="4" t="s">
        <v>158</v>
      </c>
      <c r="B79" s="5">
        <v>3</v>
      </c>
    </row>
    <row r="80" spans="1:3" x14ac:dyDescent="0.35">
      <c r="A80" s="4" t="s">
        <v>159</v>
      </c>
      <c r="B80" s="30">
        <v>0.12</v>
      </c>
    </row>
    <row r="81" spans="1:2" x14ac:dyDescent="0.35">
      <c r="A81" s="4" t="s">
        <v>160</v>
      </c>
      <c r="B81" s="5" t="s">
        <v>164</v>
      </c>
    </row>
    <row r="82" spans="1:2" x14ac:dyDescent="0.35">
      <c r="A82" s="4" t="s">
        <v>161</v>
      </c>
      <c r="B82" s="5" t="s">
        <v>165</v>
      </c>
    </row>
    <row r="83" spans="1:2" x14ac:dyDescent="0.35">
      <c r="A83" s="4" t="s">
        <v>162</v>
      </c>
      <c r="B83" s="5" t="s">
        <v>166</v>
      </c>
    </row>
    <row r="84" spans="1:2" x14ac:dyDescent="0.35">
      <c r="A84" s="4" t="s">
        <v>163</v>
      </c>
      <c r="B84" s="5" t="s">
        <v>167</v>
      </c>
    </row>
  </sheetData>
  <mergeCells count="8">
    <mergeCell ref="A43:B43"/>
    <mergeCell ref="A61:C61"/>
    <mergeCell ref="A70:B70"/>
    <mergeCell ref="A76:B76"/>
    <mergeCell ref="A1:C1"/>
    <mergeCell ref="A9:H9"/>
    <mergeCell ref="A26:H26"/>
    <mergeCell ref="A28:G28"/>
  </mergeCells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958E-249B-4F7F-95A7-D847A063724B}">
  <sheetPr>
    <tabColor rgb="FF0070C0"/>
  </sheetPr>
  <dimension ref="A1:AA933"/>
  <sheetViews>
    <sheetView zoomScale="85" zoomScaleNormal="85" workbookViewId="0">
      <pane ySplit="4" topLeftCell="A35" activePane="bottomLeft" state="frozen"/>
      <selection pane="bottomLeft" activeCell="O880" sqref="O880"/>
    </sheetView>
  </sheetViews>
  <sheetFormatPr defaultRowHeight="14.5" x14ac:dyDescent="0.35"/>
  <cols>
    <col min="1" max="1" width="10.6328125" customWidth="1"/>
    <col min="2" max="2" width="13.1796875" bestFit="1" customWidth="1"/>
    <col min="3" max="3" width="10.6328125" style="1" customWidth="1"/>
    <col min="4" max="4" width="20.6328125" customWidth="1"/>
    <col min="5" max="5" width="7" style="1" bestFit="1" customWidth="1"/>
    <col min="6" max="6" width="6.1796875" bestFit="1" customWidth="1"/>
    <col min="7" max="7" width="10.6328125" customWidth="1"/>
    <col min="8" max="8" width="11.81640625" customWidth="1"/>
    <col min="9" max="9" width="5.453125" customWidth="1"/>
    <col min="10" max="10" width="6.54296875" customWidth="1"/>
    <col min="11" max="11" width="14.453125" bestFit="1" customWidth="1"/>
    <col min="12" max="12" width="16.81640625" customWidth="1"/>
    <col min="13" max="13" width="20.6328125" customWidth="1"/>
    <col min="14" max="14" width="12.81640625" customWidth="1"/>
    <col min="15" max="15" width="15.6328125" bestFit="1" customWidth="1"/>
    <col min="16" max="16" width="23.81640625" bestFit="1" customWidth="1"/>
    <col min="17" max="17" width="26.26953125" style="7" bestFit="1" customWidth="1"/>
    <col min="18" max="18" width="27.81640625" style="7" bestFit="1" customWidth="1"/>
    <col min="19" max="19" width="20.6328125" customWidth="1"/>
    <col min="20" max="20" width="26.08984375" bestFit="1" customWidth="1"/>
    <col min="21" max="21" width="20.6328125" customWidth="1"/>
    <col min="22" max="22" width="14.54296875" bestFit="1" customWidth="1"/>
    <col min="23" max="23" width="6.1796875" style="7" bestFit="1" customWidth="1"/>
    <col min="24" max="24" width="3.08984375" bestFit="1" customWidth="1"/>
    <col min="25" max="25" width="7.26953125" bestFit="1" customWidth="1"/>
    <col min="26" max="26" width="20.6328125" customWidth="1"/>
    <col min="27" max="28" width="26.26953125" bestFit="1" customWidth="1"/>
    <col min="29" max="29" width="12" bestFit="1" customWidth="1"/>
    <col min="30" max="30" width="28.08984375" customWidth="1"/>
  </cols>
  <sheetData>
    <row r="1" spans="1:27" ht="21" x14ac:dyDescent="0.35">
      <c r="A1" s="100" t="s">
        <v>0</v>
      </c>
      <c r="B1" s="100"/>
      <c r="C1" s="100"/>
      <c r="D1" s="100"/>
      <c r="E1" s="100"/>
      <c r="F1" s="100"/>
      <c r="G1" s="100"/>
      <c r="H1" s="100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7" x14ac:dyDescent="0.35">
      <c r="A2" s="101" t="s">
        <v>174</v>
      </c>
      <c r="B2" s="101"/>
      <c r="C2" s="101"/>
      <c r="D2" s="101"/>
      <c r="E2" s="101"/>
      <c r="F2" s="101"/>
      <c r="G2" s="101"/>
      <c r="H2" s="101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7" x14ac:dyDescent="0.35">
      <c r="A3" s="102" t="s">
        <v>175</v>
      </c>
      <c r="B3" s="102"/>
      <c r="C3" s="102"/>
      <c r="D3" s="102"/>
      <c r="E3" s="102"/>
      <c r="F3" s="102"/>
      <c r="G3" s="102"/>
      <c r="H3" s="102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7" s="57" customFormat="1" ht="30" customHeight="1" x14ac:dyDescent="0.4">
      <c r="A4" s="43" t="s">
        <v>1</v>
      </c>
      <c r="B4" s="44" t="s">
        <v>2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  <c r="H4" s="44" t="s">
        <v>8</v>
      </c>
      <c r="I4" s="44" t="s">
        <v>9</v>
      </c>
      <c r="J4" s="44" t="s">
        <v>10</v>
      </c>
      <c r="K4" s="44" t="s">
        <v>11</v>
      </c>
      <c r="L4" s="45" t="s">
        <v>130</v>
      </c>
      <c r="M4" s="45" t="s">
        <v>131</v>
      </c>
      <c r="N4" s="44" t="s">
        <v>132</v>
      </c>
      <c r="O4" s="44" t="s">
        <v>12</v>
      </c>
      <c r="P4" s="44" t="s">
        <v>13</v>
      </c>
      <c r="Q4" s="48" t="s">
        <v>57</v>
      </c>
      <c r="R4" s="49" t="s">
        <v>58</v>
      </c>
      <c r="S4" s="46" t="s">
        <v>59</v>
      </c>
      <c r="T4" s="46" t="s">
        <v>112</v>
      </c>
      <c r="U4" s="44" t="s">
        <v>124</v>
      </c>
      <c r="V4" s="44" t="s">
        <v>125</v>
      </c>
      <c r="W4" s="48" t="s">
        <v>126</v>
      </c>
      <c r="X4" s="44" t="s">
        <v>127</v>
      </c>
      <c r="Y4" s="44" t="s">
        <v>128</v>
      </c>
      <c r="Z4" s="47" t="s">
        <v>129</v>
      </c>
      <c r="AA4" s="44" t="s">
        <v>277</v>
      </c>
    </row>
    <row r="5" spans="1:27" x14ac:dyDescent="0.35">
      <c r="A5" s="32" t="s">
        <v>14</v>
      </c>
      <c r="B5" s="2" t="str">
        <f>VLOOKUP(A5,Stammdaten!$A$3:$B$7,2,FALSE)</f>
        <v>Filiale Nord</v>
      </c>
      <c r="C5" s="3" t="str" cm="1">
        <f t="array" ref="C5">INDEX(Stammdaten!$A$11:$A$25,INT((ROW()-5)/12)+1 - INT((ROW()-5)/180)*15)</f>
        <v>A001</v>
      </c>
      <c r="D5" s="2" t="str">
        <f>VLOOKUP(C5,Stammdaten!$A$11:$B$25,2,FALSE)</f>
        <v>Vollmilch 1L</v>
      </c>
      <c r="E5" s="3" t="str">
        <f>VLOOKUP(C5,Stammdaten!$A$11:$C$25,3,FALSE)</f>
        <v>Milch</v>
      </c>
      <c r="F5" s="19">
        <f>VLOOKUP(C5,Stammdaten!$A$11:$D$25,4,FALSE)</f>
        <v>1.19</v>
      </c>
      <c r="G5" s="4">
        <f>MOD(ROW()-5,12)+1</f>
        <v>1</v>
      </c>
      <c r="H5" s="20" t="str">
        <f>VLOOKUP(G5,Stammdaten!$A$30:$B$41,2,FALSE)</f>
        <v>Januar</v>
      </c>
      <c r="I5" s="4">
        <v>455</v>
      </c>
      <c r="J5" s="4">
        <v>437</v>
      </c>
      <c r="K5" s="4">
        <f>J5-I5</f>
        <v>-18</v>
      </c>
      <c r="L5" s="27">
        <f>IF(I5=0,0,(K5)/I5*100)</f>
        <v>-3.9560439560439558</v>
      </c>
      <c r="M5" s="52" t="str">
        <f>IF(K5=0,"Perfekt",IF(K5&lt;0,"Schwund","Überbestand"))</f>
        <v>Schwund</v>
      </c>
      <c r="N5" s="28">
        <f>ABS(K5)*F5</f>
        <v>21.419999999999998</v>
      </c>
      <c r="O5" s="5">
        <v>6</v>
      </c>
      <c r="P5" s="4">
        <v>2</v>
      </c>
      <c r="Q5" s="28">
        <f>IF(K5&lt;0,ABS(N5)*0.25,0)</f>
        <v>5.3549999999999995</v>
      </c>
      <c r="R5" s="50">
        <f>IF(K5&lt;0,ABS(N5)*0.3,0)</f>
        <v>6.4259999999999993</v>
      </c>
      <c r="S5" s="2" t="str">
        <f>IF(G5=4,"Ostern",IF(G5=12,"Weihnachten/Silvester",IF(G5=11,"Black Friday",IF(G5=2,"Karneval","Normal"))))</f>
        <v>Normal</v>
      </c>
      <c r="T5" s="4">
        <v>0</v>
      </c>
      <c r="U5" s="4" t="str">
        <f>IF(O5&lt;=0,"Abschreibung",IF(O5&lt;=3,"Ja - 20% Reduzierung","Nein"))</f>
        <v>Nein</v>
      </c>
      <c r="V5" s="4">
        <f>IF(O5&lt;=0,100,IF(O5&lt;=3,20,0))</f>
        <v>0</v>
      </c>
      <c r="W5" s="19">
        <f>IF(V5=100,0,ROUND(F5*(1-V5/100),2))</f>
        <v>1.19</v>
      </c>
      <c r="X5" s="5">
        <v>0</v>
      </c>
      <c r="Y5" s="28">
        <f>ROUND(X5*F5*(V5/100),2)</f>
        <v>0</v>
      </c>
      <c r="Z5" s="31" t="s">
        <v>172</v>
      </c>
      <c r="AA5" t="str">
        <f>IF(O5&lt;=0,"Verderb - Abgelaufen",IF(AND(O5&lt;=3,Z5&lt;&gt;"Korrekt",Z5&lt;&gt;"Kein MHD - Prozess"),"MHD - Prozessfehler",IF(K5&gt;0,"Kassenfehler (Überbestand)",IF(AND(ABS(L5)&gt;3,A5="F005"),"Diebstahlrisiko",IF(AND(ABS(L5)&gt;2,P5&lt;2),"Buchungsfehler Wareneingang",IF(ABS(L5)&gt;2,"Prozessfehler","Normal/Gering"))))))</f>
        <v>Prozessfehler</v>
      </c>
    </row>
    <row r="6" spans="1:27" x14ac:dyDescent="0.35">
      <c r="A6" s="32" t="s">
        <v>14</v>
      </c>
      <c r="B6" s="2" t="str">
        <f>VLOOKUP(A6,Stammdaten!$A$3:$B$7,2,FALSE)</f>
        <v>Filiale Nord</v>
      </c>
      <c r="C6" s="3" t="str" cm="1">
        <f t="array" ref="C6">INDEX(Stammdaten!$A$11:$A$25,INT((ROW()-5)/12)+1 - INT((ROW()-5)/180)*15)</f>
        <v>A001</v>
      </c>
      <c r="D6" s="2" t="str">
        <f>VLOOKUP(C6,Stammdaten!$A$11:$B$25,2,FALSE)</f>
        <v>Vollmilch 1L</v>
      </c>
      <c r="E6" s="3" t="str">
        <f>VLOOKUP(C6,Stammdaten!$A$11:$C$25,3,FALSE)</f>
        <v>Milch</v>
      </c>
      <c r="F6" s="19">
        <f>VLOOKUP(C6,Stammdaten!$A$11:$D$25,4,FALSE)</f>
        <v>1.19</v>
      </c>
      <c r="G6" s="4">
        <f t="shared" ref="G6:G69" si="0">MOD(ROW()-5,12)+1</f>
        <v>2</v>
      </c>
      <c r="H6" s="20" t="str">
        <f>VLOOKUP(G6,Stammdaten!$A$30:$B$41,2,FALSE)</f>
        <v>Februar</v>
      </c>
      <c r="I6" s="4">
        <v>438</v>
      </c>
      <c r="J6" s="4">
        <v>418</v>
      </c>
      <c r="K6" s="4">
        <f t="shared" ref="K6:K69" si="1">J6-I6</f>
        <v>-20</v>
      </c>
      <c r="L6" s="27">
        <f t="shared" ref="L6:L69" si="2">IF(I6=0,0,(K6)/I6*100)</f>
        <v>-4.5662100456620998</v>
      </c>
      <c r="M6" s="52" t="str">
        <f t="shared" ref="M6:M69" si="3">IF(K6=0,"Perfekt",IF(K6&lt;0,"Schwund","Überbestand"))</f>
        <v>Schwund</v>
      </c>
      <c r="N6" s="28">
        <f t="shared" ref="N6:N69" si="4">ABS(K6)*F6</f>
        <v>23.799999999999997</v>
      </c>
      <c r="O6" s="5">
        <v>6</v>
      </c>
      <c r="P6" s="4">
        <v>1</v>
      </c>
      <c r="Q6" s="28">
        <f t="shared" ref="Q6:Q69" si="5">IF(K6&lt;0,ABS(N6)*0.25,0)</f>
        <v>5.9499999999999993</v>
      </c>
      <c r="R6" s="50">
        <f t="shared" ref="R6:R69" si="6">IF(K6&lt;0,ABS(N6)*0.3,0)</f>
        <v>7.1399999999999988</v>
      </c>
      <c r="S6" s="2" t="str">
        <f t="shared" ref="S6:S69" si="7">IF(G6=4,"Ostern",IF(G6=12,"Weihnachten/Silvester",IF(G6=11,"Black Friday",IF(G6=2,"Karneval","Normal"))))</f>
        <v>Karneval</v>
      </c>
      <c r="T6" s="4">
        <v>0</v>
      </c>
      <c r="U6" s="4" t="str">
        <f t="shared" ref="U6:U69" si="8">IF(O6&lt;=0,"Abschreibung",IF(O6&lt;=3,"Ja - 20% Reduzierung","Nein"))</f>
        <v>Nein</v>
      </c>
      <c r="V6" s="4">
        <f t="shared" ref="V6:V69" si="9">IF(O6&lt;=0,100,IF(O6&lt;=3,20,0))</f>
        <v>0</v>
      </c>
      <c r="W6" s="19">
        <f t="shared" ref="W6:W69" si="10">IF(V6=100,0,ROUND(F6*(1-V6/100),2))</f>
        <v>1.19</v>
      </c>
      <c r="X6" s="5">
        <v>0</v>
      </c>
      <c r="Y6" s="28">
        <f t="shared" ref="Y6:Y69" si="11">ROUND(X6*F6*(V6/100),2)</f>
        <v>0</v>
      </c>
      <c r="Z6" s="31" t="s">
        <v>172</v>
      </c>
      <c r="AA6" t="str">
        <f t="shared" ref="AA6:AA69" si="12">IF(O6&lt;=0,"Verderb - Abgelaufen",IF(AND(O6&lt;=3,Z6&lt;&gt;"Korrekt",Z6&lt;&gt;"Kein MHD - Prozess"),"MHD - Prozessfehler",IF(K6&gt;0,"Kassenfehler (Überbestand)",IF(AND(ABS(L6)&gt;3,A6="F005"),"Diebstahlrisiko",IF(AND(ABS(L6)&gt;2,P6&lt;2),"Buchungsfehler Wareneingang",IF(ABS(L6)&gt;2,"Prozessfehler","Normal/Gering"))))))</f>
        <v>Buchungsfehler Wareneingang</v>
      </c>
    </row>
    <row r="7" spans="1:27" x14ac:dyDescent="0.35">
      <c r="A7" s="32" t="s">
        <v>14</v>
      </c>
      <c r="B7" s="2" t="str">
        <f>VLOOKUP(A7,Stammdaten!$A$3:$B$7,2,FALSE)</f>
        <v>Filiale Nord</v>
      </c>
      <c r="C7" s="3" t="str" cm="1">
        <f t="array" ref="C7">INDEX(Stammdaten!$A$11:$A$25,INT((ROW()-5)/12)+1 - INT((ROW()-5)/180)*15)</f>
        <v>A001</v>
      </c>
      <c r="D7" s="2" t="str">
        <f>VLOOKUP(C7,Stammdaten!$A$11:$B$25,2,FALSE)</f>
        <v>Vollmilch 1L</v>
      </c>
      <c r="E7" s="3" t="str">
        <f>VLOOKUP(C7,Stammdaten!$A$11:$C$25,3,FALSE)</f>
        <v>Milch</v>
      </c>
      <c r="F7" s="19">
        <f>VLOOKUP(C7,Stammdaten!$A$11:$D$25,4,FALSE)</f>
        <v>1.19</v>
      </c>
      <c r="G7" s="4">
        <f t="shared" si="0"/>
        <v>3</v>
      </c>
      <c r="H7" s="20" t="str">
        <f>VLOOKUP(G7,Stammdaten!$A$30:$B$41,2,FALSE)</f>
        <v>März</v>
      </c>
      <c r="I7" s="4">
        <v>520</v>
      </c>
      <c r="J7" s="4">
        <v>524</v>
      </c>
      <c r="K7" s="4">
        <f t="shared" si="1"/>
        <v>4</v>
      </c>
      <c r="L7" s="27">
        <f t="shared" si="2"/>
        <v>0.76923076923076927</v>
      </c>
      <c r="M7" s="52" t="str">
        <f t="shared" si="3"/>
        <v>Überbestand</v>
      </c>
      <c r="N7" s="28">
        <f t="shared" si="4"/>
        <v>4.76</v>
      </c>
      <c r="O7" s="5">
        <v>1</v>
      </c>
      <c r="P7" s="4">
        <v>2</v>
      </c>
      <c r="Q7" s="28">
        <f t="shared" si="5"/>
        <v>0</v>
      </c>
      <c r="R7" s="50">
        <f t="shared" si="6"/>
        <v>0</v>
      </c>
      <c r="S7" s="2" t="str">
        <f t="shared" si="7"/>
        <v>Normal</v>
      </c>
      <c r="T7" s="4">
        <v>4</v>
      </c>
      <c r="U7" s="4" t="str">
        <f t="shared" si="8"/>
        <v>Ja - 20% Reduzierung</v>
      </c>
      <c r="V7" s="4">
        <f t="shared" si="9"/>
        <v>20</v>
      </c>
      <c r="W7" s="19">
        <f t="shared" si="10"/>
        <v>0.95</v>
      </c>
      <c r="X7" s="5">
        <v>26</v>
      </c>
      <c r="Y7" s="28">
        <f t="shared" si="11"/>
        <v>6.19</v>
      </c>
      <c r="Z7" s="31" t="s">
        <v>173</v>
      </c>
      <c r="AA7" t="str">
        <f t="shared" si="12"/>
        <v>Kassenfehler (Überbestand)</v>
      </c>
    </row>
    <row r="8" spans="1:27" x14ac:dyDescent="0.35">
      <c r="A8" s="32" t="s">
        <v>14</v>
      </c>
      <c r="B8" s="2" t="str">
        <f>VLOOKUP(A8,Stammdaten!$A$3:$B$7,2,FALSE)</f>
        <v>Filiale Nord</v>
      </c>
      <c r="C8" s="3" t="str" cm="1">
        <f t="array" ref="C8">INDEX(Stammdaten!$A$11:$A$25,INT((ROW()-5)/12)+1 - INT((ROW()-5)/180)*15)</f>
        <v>A001</v>
      </c>
      <c r="D8" s="2" t="str">
        <f>VLOOKUP(C8,Stammdaten!$A$11:$B$25,2,FALSE)</f>
        <v>Vollmilch 1L</v>
      </c>
      <c r="E8" s="3" t="str">
        <f>VLOOKUP(C8,Stammdaten!$A$11:$C$25,3,FALSE)</f>
        <v>Milch</v>
      </c>
      <c r="F8" s="19">
        <f>VLOOKUP(C8,Stammdaten!$A$11:$D$25,4,FALSE)</f>
        <v>1.19</v>
      </c>
      <c r="G8" s="4">
        <f t="shared" si="0"/>
        <v>4</v>
      </c>
      <c r="H8" s="20" t="str">
        <f>VLOOKUP(G8,Stammdaten!$A$30:$B$41,2,FALSE)</f>
        <v>April</v>
      </c>
      <c r="I8" s="4">
        <v>656</v>
      </c>
      <c r="J8" s="4">
        <v>627</v>
      </c>
      <c r="K8" s="4">
        <f t="shared" si="1"/>
        <v>-29</v>
      </c>
      <c r="L8" s="27">
        <f t="shared" si="2"/>
        <v>-4.4207317073170733</v>
      </c>
      <c r="M8" s="52" t="str">
        <f t="shared" si="3"/>
        <v>Schwund</v>
      </c>
      <c r="N8" s="28">
        <f t="shared" si="4"/>
        <v>34.51</v>
      </c>
      <c r="O8" s="5">
        <v>4</v>
      </c>
      <c r="P8" s="4">
        <v>0</v>
      </c>
      <c r="Q8" s="28">
        <f t="shared" si="5"/>
        <v>8.6274999999999995</v>
      </c>
      <c r="R8" s="50">
        <f t="shared" si="6"/>
        <v>10.353</v>
      </c>
      <c r="S8" s="2" t="str">
        <f t="shared" si="7"/>
        <v>Ostern</v>
      </c>
      <c r="T8" s="4">
        <v>0</v>
      </c>
      <c r="U8" s="4" t="str">
        <f t="shared" si="8"/>
        <v>Nein</v>
      </c>
      <c r="V8" s="4">
        <f t="shared" si="9"/>
        <v>0</v>
      </c>
      <c r="W8" s="19">
        <f t="shared" si="10"/>
        <v>1.19</v>
      </c>
      <c r="X8" s="5">
        <v>0</v>
      </c>
      <c r="Y8" s="28">
        <f t="shared" si="11"/>
        <v>0</v>
      </c>
      <c r="Z8" s="31" t="s">
        <v>172</v>
      </c>
      <c r="AA8" t="str">
        <f t="shared" si="12"/>
        <v>Buchungsfehler Wareneingang</v>
      </c>
    </row>
    <row r="9" spans="1:27" x14ac:dyDescent="0.35">
      <c r="A9" s="32" t="s">
        <v>14</v>
      </c>
      <c r="B9" s="2" t="str">
        <f>VLOOKUP(A9,Stammdaten!$A$3:$B$7,2,FALSE)</f>
        <v>Filiale Nord</v>
      </c>
      <c r="C9" s="3" t="str" cm="1">
        <f t="array" ref="C9">INDEX(Stammdaten!$A$11:$A$25,INT((ROW()-5)/12)+1 - INT((ROW()-5)/180)*15)</f>
        <v>A001</v>
      </c>
      <c r="D9" s="2" t="str">
        <f>VLOOKUP(C9,Stammdaten!$A$11:$B$25,2,FALSE)</f>
        <v>Vollmilch 1L</v>
      </c>
      <c r="E9" s="3" t="str">
        <f>VLOOKUP(C9,Stammdaten!$A$11:$C$25,3,FALSE)</f>
        <v>Milch</v>
      </c>
      <c r="F9" s="19">
        <f>VLOOKUP(C9,Stammdaten!$A$11:$D$25,4,FALSE)</f>
        <v>1.19</v>
      </c>
      <c r="G9" s="4">
        <f t="shared" si="0"/>
        <v>5</v>
      </c>
      <c r="H9" s="20" t="str">
        <f>VLOOKUP(G9,Stammdaten!$A$30:$B$41,2,FALSE)</f>
        <v>Mai</v>
      </c>
      <c r="I9" s="4">
        <v>485</v>
      </c>
      <c r="J9" s="4">
        <v>463</v>
      </c>
      <c r="K9" s="4">
        <f t="shared" si="1"/>
        <v>-22</v>
      </c>
      <c r="L9" s="27">
        <f t="shared" si="2"/>
        <v>-4.536082474226804</v>
      </c>
      <c r="M9" s="52" t="str">
        <f t="shared" si="3"/>
        <v>Schwund</v>
      </c>
      <c r="N9" s="28">
        <f t="shared" si="4"/>
        <v>26.18</v>
      </c>
      <c r="O9" s="5">
        <v>0</v>
      </c>
      <c r="P9" s="4">
        <v>1</v>
      </c>
      <c r="Q9" s="28">
        <f t="shared" si="5"/>
        <v>6.5449999999999999</v>
      </c>
      <c r="R9" s="50">
        <f t="shared" si="6"/>
        <v>7.8539999999999992</v>
      </c>
      <c r="S9" s="2" t="str">
        <f t="shared" si="7"/>
        <v>Normal</v>
      </c>
      <c r="T9" s="4">
        <v>0</v>
      </c>
      <c r="U9" s="4" t="str">
        <f t="shared" si="8"/>
        <v>Abschreibung</v>
      </c>
      <c r="V9" s="4">
        <f t="shared" si="9"/>
        <v>100</v>
      </c>
      <c r="W9" s="19">
        <f t="shared" si="10"/>
        <v>0</v>
      </c>
      <c r="X9" s="5">
        <v>5</v>
      </c>
      <c r="Y9" s="28">
        <f t="shared" si="11"/>
        <v>5.95</v>
      </c>
      <c r="Z9" s="31" t="s">
        <v>173</v>
      </c>
      <c r="AA9" t="str">
        <f t="shared" si="12"/>
        <v>Verderb - Abgelaufen</v>
      </c>
    </row>
    <row r="10" spans="1:27" x14ac:dyDescent="0.35">
      <c r="A10" s="32" t="s">
        <v>14</v>
      </c>
      <c r="B10" s="2" t="str">
        <f>VLOOKUP(A10,Stammdaten!$A$3:$B$7,2,FALSE)</f>
        <v>Filiale Nord</v>
      </c>
      <c r="C10" s="3" t="str" cm="1">
        <f t="array" ref="C10">INDEX(Stammdaten!$A$11:$A$25,INT((ROW()-5)/12)+1 - INT((ROW()-5)/180)*15)</f>
        <v>A001</v>
      </c>
      <c r="D10" s="2" t="str">
        <f>VLOOKUP(C10,Stammdaten!$A$11:$B$25,2,FALSE)</f>
        <v>Vollmilch 1L</v>
      </c>
      <c r="E10" s="3" t="str">
        <f>VLOOKUP(C10,Stammdaten!$A$11:$C$25,3,FALSE)</f>
        <v>Milch</v>
      </c>
      <c r="F10" s="19">
        <f>VLOOKUP(C10,Stammdaten!$A$11:$D$25,4,FALSE)</f>
        <v>1.19</v>
      </c>
      <c r="G10" s="4">
        <f t="shared" si="0"/>
        <v>6</v>
      </c>
      <c r="H10" s="20" t="str">
        <f>VLOOKUP(G10,Stammdaten!$A$30:$B$41,2,FALSE)</f>
        <v>Juni</v>
      </c>
      <c r="I10" s="4">
        <v>523</v>
      </c>
      <c r="J10" s="4">
        <v>527</v>
      </c>
      <c r="K10" s="4">
        <f t="shared" si="1"/>
        <v>4</v>
      </c>
      <c r="L10" s="27">
        <f t="shared" si="2"/>
        <v>0.76481835564053535</v>
      </c>
      <c r="M10" s="52" t="str">
        <f t="shared" si="3"/>
        <v>Überbestand</v>
      </c>
      <c r="N10" s="28">
        <f t="shared" si="4"/>
        <v>4.76</v>
      </c>
      <c r="O10" s="5">
        <v>6</v>
      </c>
      <c r="P10" s="4">
        <v>2</v>
      </c>
      <c r="Q10" s="28">
        <f t="shared" si="5"/>
        <v>0</v>
      </c>
      <c r="R10" s="50">
        <f t="shared" si="6"/>
        <v>0</v>
      </c>
      <c r="S10" s="2" t="str">
        <f t="shared" si="7"/>
        <v>Normal</v>
      </c>
      <c r="T10" s="4">
        <v>4</v>
      </c>
      <c r="U10" s="4" t="str">
        <f t="shared" si="8"/>
        <v>Nein</v>
      </c>
      <c r="V10" s="4">
        <f t="shared" si="9"/>
        <v>0</v>
      </c>
      <c r="W10" s="19">
        <f t="shared" si="10"/>
        <v>1.19</v>
      </c>
      <c r="X10" s="5">
        <v>0</v>
      </c>
      <c r="Y10" s="28">
        <f t="shared" si="11"/>
        <v>0</v>
      </c>
      <c r="Z10" s="31" t="s">
        <v>172</v>
      </c>
      <c r="AA10" t="str">
        <f t="shared" si="12"/>
        <v>Kassenfehler (Überbestand)</v>
      </c>
    </row>
    <row r="11" spans="1:27" x14ac:dyDescent="0.35">
      <c r="A11" s="32" t="s">
        <v>14</v>
      </c>
      <c r="B11" s="2" t="str">
        <f>VLOOKUP(A11,Stammdaten!$A$3:$B$7,2,FALSE)</f>
        <v>Filiale Nord</v>
      </c>
      <c r="C11" s="3" t="str" cm="1">
        <f t="array" ref="C11">INDEX(Stammdaten!$A$11:$A$25,INT((ROW()-5)/12)+1 - INT((ROW()-5)/180)*15)</f>
        <v>A001</v>
      </c>
      <c r="D11" s="2" t="str">
        <f>VLOOKUP(C11,Stammdaten!$A$11:$B$25,2,FALSE)</f>
        <v>Vollmilch 1L</v>
      </c>
      <c r="E11" s="3" t="str">
        <f>VLOOKUP(C11,Stammdaten!$A$11:$C$25,3,FALSE)</f>
        <v>Milch</v>
      </c>
      <c r="F11" s="19">
        <f>VLOOKUP(C11,Stammdaten!$A$11:$D$25,4,FALSE)</f>
        <v>1.19</v>
      </c>
      <c r="G11" s="4">
        <f t="shared" si="0"/>
        <v>7</v>
      </c>
      <c r="H11" s="20" t="str">
        <f>VLOOKUP(G11,Stammdaten!$A$30:$B$41,2,FALSE)</f>
        <v>Juli</v>
      </c>
      <c r="I11" s="4">
        <v>600</v>
      </c>
      <c r="J11" s="4">
        <v>565</v>
      </c>
      <c r="K11" s="4">
        <f t="shared" si="1"/>
        <v>-35</v>
      </c>
      <c r="L11" s="27">
        <f t="shared" si="2"/>
        <v>-5.833333333333333</v>
      </c>
      <c r="M11" s="52" t="str">
        <f t="shared" si="3"/>
        <v>Schwund</v>
      </c>
      <c r="N11" s="28">
        <f t="shared" si="4"/>
        <v>41.65</v>
      </c>
      <c r="O11" s="5">
        <v>7</v>
      </c>
      <c r="P11" s="4">
        <v>1</v>
      </c>
      <c r="Q11" s="28">
        <f t="shared" si="5"/>
        <v>10.4125</v>
      </c>
      <c r="R11" s="50">
        <f t="shared" si="6"/>
        <v>12.494999999999999</v>
      </c>
      <c r="S11" s="2" t="str">
        <f t="shared" si="7"/>
        <v>Normal</v>
      </c>
      <c r="T11" s="4">
        <v>0</v>
      </c>
      <c r="U11" s="4" t="str">
        <f t="shared" si="8"/>
        <v>Nein</v>
      </c>
      <c r="V11" s="4">
        <f t="shared" si="9"/>
        <v>0</v>
      </c>
      <c r="W11" s="19">
        <f t="shared" si="10"/>
        <v>1.19</v>
      </c>
      <c r="X11" s="5">
        <v>0</v>
      </c>
      <c r="Y11" s="28">
        <f t="shared" si="11"/>
        <v>0</v>
      </c>
      <c r="Z11" s="31" t="s">
        <v>172</v>
      </c>
      <c r="AA11" t="str">
        <f t="shared" si="12"/>
        <v>Buchungsfehler Wareneingang</v>
      </c>
    </row>
    <row r="12" spans="1:27" x14ac:dyDescent="0.35">
      <c r="A12" s="32" t="s">
        <v>14</v>
      </c>
      <c r="B12" s="2" t="str">
        <f>VLOOKUP(A12,Stammdaten!$A$3:$B$7,2,FALSE)</f>
        <v>Filiale Nord</v>
      </c>
      <c r="C12" s="3" t="str" cm="1">
        <f t="array" ref="C12">INDEX(Stammdaten!$A$11:$A$25,INT((ROW()-5)/12)+1 - INT((ROW()-5)/180)*15)</f>
        <v>A001</v>
      </c>
      <c r="D12" s="2" t="str">
        <f>VLOOKUP(C12,Stammdaten!$A$11:$B$25,2,FALSE)</f>
        <v>Vollmilch 1L</v>
      </c>
      <c r="E12" s="3" t="str">
        <f>VLOOKUP(C12,Stammdaten!$A$11:$C$25,3,FALSE)</f>
        <v>Milch</v>
      </c>
      <c r="F12" s="19">
        <f>VLOOKUP(C12,Stammdaten!$A$11:$D$25,4,FALSE)</f>
        <v>1.19</v>
      </c>
      <c r="G12" s="4">
        <f t="shared" si="0"/>
        <v>8</v>
      </c>
      <c r="H12" s="20" t="str">
        <f>VLOOKUP(G12,Stammdaten!$A$30:$B$41,2,FALSE)</f>
        <v>August</v>
      </c>
      <c r="I12" s="4">
        <v>604</v>
      </c>
      <c r="J12" s="4">
        <v>612</v>
      </c>
      <c r="K12" s="4">
        <f t="shared" si="1"/>
        <v>8</v>
      </c>
      <c r="L12" s="27">
        <f t="shared" si="2"/>
        <v>1.3245033112582782</v>
      </c>
      <c r="M12" s="52" t="str">
        <f t="shared" si="3"/>
        <v>Überbestand</v>
      </c>
      <c r="N12" s="28">
        <f t="shared" si="4"/>
        <v>9.52</v>
      </c>
      <c r="O12" s="5">
        <v>3</v>
      </c>
      <c r="P12" s="4">
        <v>0</v>
      </c>
      <c r="Q12" s="28">
        <f t="shared" si="5"/>
        <v>0</v>
      </c>
      <c r="R12" s="50">
        <f t="shared" si="6"/>
        <v>0</v>
      </c>
      <c r="S12" s="2" t="str">
        <f t="shared" si="7"/>
        <v>Normal</v>
      </c>
      <c r="T12" s="4">
        <v>8</v>
      </c>
      <c r="U12" s="4" t="str">
        <f t="shared" si="8"/>
        <v>Ja - 20% Reduzierung</v>
      </c>
      <c r="V12" s="4">
        <f t="shared" si="9"/>
        <v>20</v>
      </c>
      <c r="W12" s="19">
        <f t="shared" si="10"/>
        <v>0.95</v>
      </c>
      <c r="X12" s="5">
        <v>48</v>
      </c>
      <c r="Y12" s="28">
        <f t="shared" si="11"/>
        <v>11.42</v>
      </c>
      <c r="Z12" s="31" t="s">
        <v>173</v>
      </c>
      <c r="AA12" t="str">
        <f t="shared" si="12"/>
        <v>Kassenfehler (Überbestand)</v>
      </c>
    </row>
    <row r="13" spans="1:27" x14ac:dyDescent="0.35">
      <c r="A13" s="32" t="s">
        <v>14</v>
      </c>
      <c r="B13" s="2" t="str">
        <f>VLOOKUP(A13,Stammdaten!$A$3:$B$7,2,FALSE)</f>
        <v>Filiale Nord</v>
      </c>
      <c r="C13" s="3" t="str" cm="1">
        <f t="array" ref="C13">INDEX(Stammdaten!$A$11:$A$25,INT((ROW()-5)/12)+1 - INT((ROW()-5)/180)*15)</f>
        <v>A001</v>
      </c>
      <c r="D13" s="2" t="str">
        <f>VLOOKUP(C13,Stammdaten!$A$11:$B$25,2,FALSE)</f>
        <v>Vollmilch 1L</v>
      </c>
      <c r="E13" s="3" t="str">
        <f>VLOOKUP(C13,Stammdaten!$A$11:$C$25,3,FALSE)</f>
        <v>Milch</v>
      </c>
      <c r="F13" s="19">
        <f>VLOOKUP(C13,Stammdaten!$A$11:$D$25,4,FALSE)</f>
        <v>1.19</v>
      </c>
      <c r="G13" s="4">
        <f t="shared" si="0"/>
        <v>9</v>
      </c>
      <c r="H13" s="20" t="str">
        <f>VLOOKUP(G13,Stammdaten!$A$30:$B$41,2,FALSE)</f>
        <v>September</v>
      </c>
      <c r="I13" s="4">
        <v>470</v>
      </c>
      <c r="J13" s="4">
        <v>443</v>
      </c>
      <c r="K13" s="4">
        <f t="shared" si="1"/>
        <v>-27</v>
      </c>
      <c r="L13" s="27">
        <f t="shared" si="2"/>
        <v>-5.7446808510638299</v>
      </c>
      <c r="M13" s="52" t="str">
        <f t="shared" si="3"/>
        <v>Schwund</v>
      </c>
      <c r="N13" s="28">
        <f t="shared" si="4"/>
        <v>32.129999999999995</v>
      </c>
      <c r="O13" s="5">
        <v>5</v>
      </c>
      <c r="P13" s="4">
        <v>3</v>
      </c>
      <c r="Q13" s="28">
        <f t="shared" si="5"/>
        <v>8.0324999999999989</v>
      </c>
      <c r="R13" s="50">
        <f t="shared" si="6"/>
        <v>9.6389999999999976</v>
      </c>
      <c r="S13" s="2" t="str">
        <f t="shared" si="7"/>
        <v>Normal</v>
      </c>
      <c r="T13" s="4">
        <v>0</v>
      </c>
      <c r="U13" s="4" t="str">
        <f t="shared" si="8"/>
        <v>Nein</v>
      </c>
      <c r="V13" s="4">
        <f t="shared" si="9"/>
        <v>0</v>
      </c>
      <c r="W13" s="19">
        <f t="shared" si="10"/>
        <v>1.19</v>
      </c>
      <c r="X13" s="5">
        <v>0</v>
      </c>
      <c r="Y13" s="28">
        <f t="shared" si="11"/>
        <v>0</v>
      </c>
      <c r="Z13" s="31" t="s">
        <v>172</v>
      </c>
      <c r="AA13" t="str">
        <f t="shared" si="12"/>
        <v>Prozessfehler</v>
      </c>
    </row>
    <row r="14" spans="1:27" x14ac:dyDescent="0.35">
      <c r="A14" s="32" t="s">
        <v>14</v>
      </c>
      <c r="B14" s="2" t="str">
        <f>VLOOKUP(A14,Stammdaten!$A$3:$B$7,2,FALSE)</f>
        <v>Filiale Nord</v>
      </c>
      <c r="C14" s="3" t="str" cm="1">
        <f t="array" ref="C14">INDEX(Stammdaten!$A$11:$A$25,INT((ROW()-5)/12)+1 - INT((ROW()-5)/180)*15)</f>
        <v>A001</v>
      </c>
      <c r="D14" s="2" t="str">
        <f>VLOOKUP(C14,Stammdaten!$A$11:$B$25,2,FALSE)</f>
        <v>Vollmilch 1L</v>
      </c>
      <c r="E14" s="3" t="str">
        <f>VLOOKUP(C14,Stammdaten!$A$11:$C$25,3,FALSE)</f>
        <v>Milch</v>
      </c>
      <c r="F14" s="19">
        <f>VLOOKUP(C14,Stammdaten!$A$11:$D$25,4,FALSE)</f>
        <v>1.19</v>
      </c>
      <c r="G14" s="4">
        <f t="shared" si="0"/>
        <v>10</v>
      </c>
      <c r="H14" s="20" t="str">
        <f>VLOOKUP(G14,Stammdaten!$A$30:$B$41,2,FALSE)</f>
        <v>Oktober</v>
      </c>
      <c r="I14" s="4">
        <v>505</v>
      </c>
      <c r="J14" s="4">
        <v>511</v>
      </c>
      <c r="K14" s="4">
        <f t="shared" si="1"/>
        <v>6</v>
      </c>
      <c r="L14" s="27">
        <f t="shared" si="2"/>
        <v>1.1881188118811881</v>
      </c>
      <c r="M14" s="52" t="str">
        <f t="shared" si="3"/>
        <v>Überbestand</v>
      </c>
      <c r="N14" s="28">
        <f t="shared" si="4"/>
        <v>7.14</v>
      </c>
      <c r="O14" s="5">
        <v>0</v>
      </c>
      <c r="P14" s="4">
        <v>1</v>
      </c>
      <c r="Q14" s="28">
        <f t="shared" si="5"/>
        <v>0</v>
      </c>
      <c r="R14" s="50">
        <f t="shared" si="6"/>
        <v>0</v>
      </c>
      <c r="S14" s="2" t="str">
        <f t="shared" si="7"/>
        <v>Normal</v>
      </c>
      <c r="T14" s="4">
        <v>6</v>
      </c>
      <c r="U14" s="4" t="str">
        <f t="shared" si="8"/>
        <v>Abschreibung</v>
      </c>
      <c r="V14" s="4">
        <f t="shared" si="9"/>
        <v>100</v>
      </c>
      <c r="W14" s="19">
        <f t="shared" si="10"/>
        <v>0</v>
      </c>
      <c r="X14" s="5">
        <v>5</v>
      </c>
      <c r="Y14" s="28">
        <f t="shared" si="11"/>
        <v>5.95</v>
      </c>
      <c r="Z14" s="31" t="s">
        <v>173</v>
      </c>
      <c r="AA14" t="str">
        <f t="shared" si="12"/>
        <v>Verderb - Abgelaufen</v>
      </c>
    </row>
    <row r="15" spans="1:27" x14ac:dyDescent="0.35">
      <c r="A15" s="32" t="s">
        <v>14</v>
      </c>
      <c r="B15" s="2" t="str">
        <f>VLOOKUP(A15,Stammdaten!$A$3:$B$7,2,FALSE)</f>
        <v>Filiale Nord</v>
      </c>
      <c r="C15" s="3" t="str" cm="1">
        <f t="array" ref="C15">INDEX(Stammdaten!$A$11:$A$25,INT((ROW()-5)/12)+1 - INT((ROW()-5)/180)*15)</f>
        <v>A001</v>
      </c>
      <c r="D15" s="2" t="str">
        <f>VLOOKUP(C15,Stammdaten!$A$11:$B$25,2,FALSE)</f>
        <v>Vollmilch 1L</v>
      </c>
      <c r="E15" s="3" t="str">
        <f>VLOOKUP(C15,Stammdaten!$A$11:$C$25,3,FALSE)</f>
        <v>Milch</v>
      </c>
      <c r="F15" s="19">
        <f>VLOOKUP(C15,Stammdaten!$A$11:$D$25,4,FALSE)</f>
        <v>1.19</v>
      </c>
      <c r="G15" s="4">
        <f t="shared" si="0"/>
        <v>11</v>
      </c>
      <c r="H15" s="20" t="str">
        <f>VLOOKUP(G15,Stammdaten!$A$30:$B$41,2,FALSE)</f>
        <v>November</v>
      </c>
      <c r="I15" s="4">
        <v>578</v>
      </c>
      <c r="J15" s="4">
        <v>555</v>
      </c>
      <c r="K15" s="4">
        <f t="shared" si="1"/>
        <v>-23</v>
      </c>
      <c r="L15" s="27">
        <f t="shared" si="2"/>
        <v>-3.9792387543252596</v>
      </c>
      <c r="M15" s="52" t="str">
        <f t="shared" si="3"/>
        <v>Schwund</v>
      </c>
      <c r="N15" s="28">
        <f t="shared" si="4"/>
        <v>27.369999999999997</v>
      </c>
      <c r="O15" s="5">
        <v>6</v>
      </c>
      <c r="P15" s="4">
        <v>0</v>
      </c>
      <c r="Q15" s="28">
        <f t="shared" si="5"/>
        <v>6.8424999999999994</v>
      </c>
      <c r="R15" s="50">
        <f t="shared" si="6"/>
        <v>8.2109999999999985</v>
      </c>
      <c r="S15" s="2" t="str">
        <f t="shared" si="7"/>
        <v>Black Friday</v>
      </c>
      <c r="T15" s="4">
        <v>0</v>
      </c>
      <c r="U15" s="4" t="str">
        <f t="shared" si="8"/>
        <v>Nein</v>
      </c>
      <c r="V15" s="4">
        <f t="shared" si="9"/>
        <v>0</v>
      </c>
      <c r="W15" s="19">
        <f t="shared" si="10"/>
        <v>1.19</v>
      </c>
      <c r="X15" s="5">
        <v>0</v>
      </c>
      <c r="Y15" s="28">
        <f t="shared" si="11"/>
        <v>0</v>
      </c>
      <c r="Z15" s="31" t="s">
        <v>172</v>
      </c>
      <c r="AA15" t="str">
        <f t="shared" si="12"/>
        <v>Buchungsfehler Wareneingang</v>
      </c>
    </row>
    <row r="16" spans="1:27" x14ac:dyDescent="0.35">
      <c r="A16" s="32" t="s">
        <v>14</v>
      </c>
      <c r="B16" s="2" t="str">
        <f>VLOOKUP(A16,Stammdaten!$A$3:$B$7,2,FALSE)</f>
        <v>Filiale Nord</v>
      </c>
      <c r="C16" s="3" t="str" cm="1">
        <f t="array" ref="C16">INDEX(Stammdaten!$A$11:$A$25,INT((ROW()-5)/12)+1 - INT((ROW()-5)/180)*15)</f>
        <v>A001</v>
      </c>
      <c r="D16" s="2" t="str">
        <f>VLOOKUP(C16,Stammdaten!$A$11:$B$25,2,FALSE)</f>
        <v>Vollmilch 1L</v>
      </c>
      <c r="E16" s="3" t="str">
        <f>VLOOKUP(C16,Stammdaten!$A$11:$C$25,3,FALSE)</f>
        <v>Milch</v>
      </c>
      <c r="F16" s="19">
        <f>VLOOKUP(C16,Stammdaten!$A$11:$D$25,4,FALSE)</f>
        <v>1.19</v>
      </c>
      <c r="G16" s="4">
        <f t="shared" si="0"/>
        <v>12</v>
      </c>
      <c r="H16" s="20" t="str">
        <f>VLOOKUP(G16,Stammdaten!$A$30:$B$41,2,FALSE)</f>
        <v>Dezember</v>
      </c>
      <c r="I16" s="4">
        <v>707</v>
      </c>
      <c r="J16" s="4">
        <v>668</v>
      </c>
      <c r="K16" s="4">
        <f t="shared" si="1"/>
        <v>-39</v>
      </c>
      <c r="L16" s="27">
        <f t="shared" si="2"/>
        <v>-5.5162659123055162</v>
      </c>
      <c r="M16" s="52" t="str">
        <f t="shared" si="3"/>
        <v>Schwund</v>
      </c>
      <c r="N16" s="28">
        <f t="shared" si="4"/>
        <v>46.41</v>
      </c>
      <c r="O16" s="5">
        <v>4</v>
      </c>
      <c r="P16" s="4">
        <v>1</v>
      </c>
      <c r="Q16" s="28">
        <f t="shared" si="5"/>
        <v>11.602499999999999</v>
      </c>
      <c r="R16" s="50">
        <f t="shared" si="6"/>
        <v>13.922999999999998</v>
      </c>
      <c r="S16" s="2" t="str">
        <f t="shared" si="7"/>
        <v>Weihnachten/Silvester</v>
      </c>
      <c r="T16" s="4">
        <v>0</v>
      </c>
      <c r="U16" s="4" t="str">
        <f t="shared" si="8"/>
        <v>Nein</v>
      </c>
      <c r="V16" s="4">
        <f t="shared" si="9"/>
        <v>0</v>
      </c>
      <c r="W16" s="19">
        <f t="shared" si="10"/>
        <v>1.19</v>
      </c>
      <c r="X16" s="5">
        <v>0</v>
      </c>
      <c r="Y16" s="28">
        <f t="shared" si="11"/>
        <v>0</v>
      </c>
      <c r="Z16" s="31" t="s">
        <v>172</v>
      </c>
      <c r="AA16" t="str">
        <f t="shared" si="12"/>
        <v>Buchungsfehler Wareneingang</v>
      </c>
    </row>
    <row r="17" spans="1:27" x14ac:dyDescent="0.35">
      <c r="A17" s="32" t="s">
        <v>14</v>
      </c>
      <c r="B17" s="2" t="str">
        <f>VLOOKUP(A17,Stammdaten!$A$3:$B$7,2,FALSE)</f>
        <v>Filiale Nord</v>
      </c>
      <c r="C17" s="3" t="str" cm="1">
        <f t="array" ref="C17">INDEX(Stammdaten!$A$11:$A$25,INT((ROW()-5)/12)+1 - INT((ROW()-5)/180)*15)</f>
        <v>A002</v>
      </c>
      <c r="D17" s="2" t="str">
        <f>VLOOKUP(C17,Stammdaten!$A$11:$B$25,2,FALSE)</f>
        <v>Fettarme Milch 1L</v>
      </c>
      <c r="E17" s="3" t="str">
        <f>VLOOKUP(C17,Stammdaten!$A$11:$C$25,3,FALSE)</f>
        <v>Milch</v>
      </c>
      <c r="F17" s="19">
        <f>VLOOKUP(C17,Stammdaten!$A$11:$D$25,4,FALSE)</f>
        <v>1.0900000000000001</v>
      </c>
      <c r="G17" s="4">
        <f t="shared" si="0"/>
        <v>1</v>
      </c>
      <c r="H17" s="20" t="str">
        <f>VLOOKUP(G17,Stammdaten!$A$30:$B$41,2,FALSE)</f>
        <v>Januar</v>
      </c>
      <c r="I17" s="4">
        <v>389</v>
      </c>
      <c r="J17" s="4">
        <v>372</v>
      </c>
      <c r="K17" s="4">
        <f t="shared" si="1"/>
        <v>-17</v>
      </c>
      <c r="L17" s="27">
        <f t="shared" si="2"/>
        <v>-4.3701799485861184</v>
      </c>
      <c r="M17" s="52" t="str">
        <f t="shared" si="3"/>
        <v>Schwund</v>
      </c>
      <c r="N17" s="28">
        <f t="shared" si="4"/>
        <v>18.53</v>
      </c>
      <c r="O17" s="5">
        <v>3</v>
      </c>
      <c r="P17" s="4">
        <v>3</v>
      </c>
      <c r="Q17" s="28">
        <f t="shared" si="5"/>
        <v>4.6325000000000003</v>
      </c>
      <c r="R17" s="50">
        <f t="shared" si="6"/>
        <v>5.5590000000000002</v>
      </c>
      <c r="S17" s="2" t="str">
        <f t="shared" si="7"/>
        <v>Normal</v>
      </c>
      <c r="T17" s="4">
        <v>0</v>
      </c>
      <c r="U17" s="4" t="str">
        <f t="shared" si="8"/>
        <v>Ja - 20% Reduzierung</v>
      </c>
      <c r="V17" s="4">
        <f t="shared" si="9"/>
        <v>20</v>
      </c>
      <c r="W17" s="19">
        <f t="shared" si="10"/>
        <v>0.87</v>
      </c>
      <c r="X17" s="5">
        <v>58</v>
      </c>
      <c r="Y17" s="28">
        <f t="shared" si="11"/>
        <v>12.64</v>
      </c>
      <c r="Z17" s="31" t="s">
        <v>173</v>
      </c>
      <c r="AA17" t="str">
        <f t="shared" si="12"/>
        <v>Prozessfehler</v>
      </c>
    </row>
    <row r="18" spans="1:27" x14ac:dyDescent="0.35">
      <c r="A18" s="32" t="s">
        <v>14</v>
      </c>
      <c r="B18" s="2" t="str">
        <f>VLOOKUP(A18,Stammdaten!$A$3:$B$7,2,FALSE)</f>
        <v>Filiale Nord</v>
      </c>
      <c r="C18" s="3" t="str" cm="1">
        <f t="array" ref="C18">INDEX(Stammdaten!$A$11:$A$25,INT((ROW()-5)/12)+1 - INT((ROW()-5)/180)*15)</f>
        <v>A002</v>
      </c>
      <c r="D18" s="2" t="str">
        <f>VLOOKUP(C18,Stammdaten!$A$11:$B$25,2,FALSE)</f>
        <v>Fettarme Milch 1L</v>
      </c>
      <c r="E18" s="3" t="str">
        <f>VLOOKUP(C18,Stammdaten!$A$11:$C$25,3,FALSE)</f>
        <v>Milch</v>
      </c>
      <c r="F18" s="19">
        <f>VLOOKUP(C18,Stammdaten!$A$11:$D$25,4,FALSE)</f>
        <v>1.0900000000000001</v>
      </c>
      <c r="G18" s="4">
        <f t="shared" si="0"/>
        <v>2</v>
      </c>
      <c r="H18" s="20" t="str">
        <f>VLOOKUP(G18,Stammdaten!$A$30:$B$41,2,FALSE)</f>
        <v>Februar</v>
      </c>
      <c r="I18" s="4">
        <v>371</v>
      </c>
      <c r="J18" s="4">
        <v>375</v>
      </c>
      <c r="K18" s="4">
        <f t="shared" si="1"/>
        <v>4</v>
      </c>
      <c r="L18" s="27">
        <f t="shared" si="2"/>
        <v>1.0781671159029651</v>
      </c>
      <c r="M18" s="52" t="str">
        <f t="shared" si="3"/>
        <v>Überbestand</v>
      </c>
      <c r="N18" s="28">
        <f t="shared" si="4"/>
        <v>4.3600000000000003</v>
      </c>
      <c r="O18" s="5">
        <v>0</v>
      </c>
      <c r="P18" s="4">
        <v>2</v>
      </c>
      <c r="Q18" s="28">
        <f t="shared" si="5"/>
        <v>0</v>
      </c>
      <c r="R18" s="50">
        <f t="shared" si="6"/>
        <v>0</v>
      </c>
      <c r="S18" s="2" t="str">
        <f t="shared" si="7"/>
        <v>Karneval</v>
      </c>
      <c r="T18" s="4">
        <v>4</v>
      </c>
      <c r="U18" s="4" t="str">
        <f t="shared" si="8"/>
        <v>Abschreibung</v>
      </c>
      <c r="V18" s="4">
        <f t="shared" si="9"/>
        <v>100</v>
      </c>
      <c r="W18" s="19">
        <f t="shared" si="10"/>
        <v>0</v>
      </c>
      <c r="X18" s="5">
        <v>4</v>
      </c>
      <c r="Y18" s="28">
        <f t="shared" si="11"/>
        <v>4.3600000000000003</v>
      </c>
      <c r="Z18" s="31" t="s">
        <v>173</v>
      </c>
      <c r="AA18" t="str">
        <f t="shared" si="12"/>
        <v>Verderb - Abgelaufen</v>
      </c>
    </row>
    <row r="19" spans="1:27" x14ac:dyDescent="0.35">
      <c r="A19" s="32" t="s">
        <v>14</v>
      </c>
      <c r="B19" s="2" t="str">
        <f>VLOOKUP(A19,Stammdaten!$A$3:$B$7,2,FALSE)</f>
        <v>Filiale Nord</v>
      </c>
      <c r="C19" s="3" t="str" cm="1">
        <f t="array" ref="C19">INDEX(Stammdaten!$A$11:$A$25,INT((ROW()-5)/12)+1 - INT((ROW()-5)/180)*15)</f>
        <v>A002</v>
      </c>
      <c r="D19" s="2" t="str">
        <f>VLOOKUP(C19,Stammdaten!$A$11:$B$25,2,FALSE)</f>
        <v>Fettarme Milch 1L</v>
      </c>
      <c r="E19" s="3" t="str">
        <f>VLOOKUP(C19,Stammdaten!$A$11:$C$25,3,FALSE)</f>
        <v>Milch</v>
      </c>
      <c r="F19" s="19">
        <f>VLOOKUP(C19,Stammdaten!$A$11:$D$25,4,FALSE)</f>
        <v>1.0900000000000001</v>
      </c>
      <c r="G19" s="4">
        <f t="shared" si="0"/>
        <v>3</v>
      </c>
      <c r="H19" s="20" t="str">
        <f>VLOOKUP(G19,Stammdaten!$A$30:$B$41,2,FALSE)</f>
        <v>März</v>
      </c>
      <c r="I19" s="4">
        <v>473</v>
      </c>
      <c r="J19" s="4">
        <v>449</v>
      </c>
      <c r="K19" s="4">
        <f t="shared" si="1"/>
        <v>-24</v>
      </c>
      <c r="L19" s="27">
        <f t="shared" si="2"/>
        <v>-5.07399577167019</v>
      </c>
      <c r="M19" s="52" t="str">
        <f t="shared" si="3"/>
        <v>Schwund</v>
      </c>
      <c r="N19" s="28">
        <f t="shared" si="4"/>
        <v>26.160000000000004</v>
      </c>
      <c r="O19" s="5">
        <v>2</v>
      </c>
      <c r="P19" s="4">
        <v>3</v>
      </c>
      <c r="Q19" s="28">
        <f t="shared" si="5"/>
        <v>6.5400000000000009</v>
      </c>
      <c r="R19" s="50">
        <f t="shared" si="6"/>
        <v>7.8480000000000008</v>
      </c>
      <c r="S19" s="2" t="str">
        <f t="shared" si="7"/>
        <v>Normal</v>
      </c>
      <c r="T19" s="4">
        <v>0</v>
      </c>
      <c r="U19" s="4" t="str">
        <f t="shared" si="8"/>
        <v>Ja - 20% Reduzierung</v>
      </c>
      <c r="V19" s="4">
        <f t="shared" si="9"/>
        <v>20</v>
      </c>
      <c r="W19" s="19">
        <f t="shared" si="10"/>
        <v>0.87</v>
      </c>
      <c r="X19" s="5">
        <v>57</v>
      </c>
      <c r="Y19" s="28">
        <f t="shared" si="11"/>
        <v>12.43</v>
      </c>
      <c r="Z19" s="31" t="s">
        <v>173</v>
      </c>
      <c r="AA19" t="str">
        <f t="shared" si="12"/>
        <v>Prozessfehler</v>
      </c>
    </row>
    <row r="20" spans="1:27" x14ac:dyDescent="0.35">
      <c r="A20" s="32" t="s">
        <v>14</v>
      </c>
      <c r="B20" s="2" t="str">
        <f>VLOOKUP(A20,Stammdaten!$A$3:$B$7,2,FALSE)</f>
        <v>Filiale Nord</v>
      </c>
      <c r="C20" s="3" t="str" cm="1">
        <f t="array" ref="C20">INDEX(Stammdaten!$A$11:$A$25,INT((ROW()-5)/12)+1 - INT((ROW()-5)/180)*15)</f>
        <v>A002</v>
      </c>
      <c r="D20" s="2" t="str">
        <f>VLOOKUP(C20,Stammdaten!$A$11:$B$25,2,FALSE)</f>
        <v>Fettarme Milch 1L</v>
      </c>
      <c r="E20" s="3" t="str">
        <f>VLOOKUP(C20,Stammdaten!$A$11:$C$25,3,FALSE)</f>
        <v>Milch</v>
      </c>
      <c r="F20" s="19">
        <f>VLOOKUP(C20,Stammdaten!$A$11:$D$25,4,FALSE)</f>
        <v>1.0900000000000001</v>
      </c>
      <c r="G20" s="4">
        <f t="shared" si="0"/>
        <v>4</v>
      </c>
      <c r="H20" s="20" t="str">
        <f>VLOOKUP(G20,Stammdaten!$A$30:$B$41,2,FALSE)</f>
        <v>April</v>
      </c>
      <c r="I20" s="4">
        <v>557</v>
      </c>
      <c r="J20" s="4">
        <v>527</v>
      </c>
      <c r="K20" s="4">
        <f t="shared" si="1"/>
        <v>-30</v>
      </c>
      <c r="L20" s="27">
        <f t="shared" si="2"/>
        <v>-5.3859964093357267</v>
      </c>
      <c r="M20" s="52" t="str">
        <f t="shared" si="3"/>
        <v>Schwund</v>
      </c>
      <c r="N20" s="28">
        <f t="shared" si="4"/>
        <v>32.700000000000003</v>
      </c>
      <c r="O20" s="5">
        <v>3</v>
      </c>
      <c r="P20" s="4">
        <v>2</v>
      </c>
      <c r="Q20" s="28">
        <f t="shared" si="5"/>
        <v>8.1750000000000007</v>
      </c>
      <c r="R20" s="50">
        <f t="shared" si="6"/>
        <v>9.81</v>
      </c>
      <c r="S20" s="2" t="str">
        <f t="shared" si="7"/>
        <v>Ostern</v>
      </c>
      <c r="T20" s="4">
        <v>0</v>
      </c>
      <c r="U20" s="4" t="str">
        <f t="shared" si="8"/>
        <v>Ja - 20% Reduzierung</v>
      </c>
      <c r="V20" s="4">
        <f t="shared" si="9"/>
        <v>20</v>
      </c>
      <c r="W20" s="19">
        <f t="shared" si="10"/>
        <v>0.87</v>
      </c>
      <c r="X20" s="5">
        <v>61</v>
      </c>
      <c r="Y20" s="28">
        <f t="shared" si="11"/>
        <v>13.3</v>
      </c>
      <c r="Z20" s="31" t="s">
        <v>164</v>
      </c>
      <c r="AA20" t="str">
        <f t="shared" si="12"/>
        <v>MHD - Prozessfehler</v>
      </c>
    </row>
    <row r="21" spans="1:27" x14ac:dyDescent="0.35">
      <c r="A21" s="32" t="s">
        <v>14</v>
      </c>
      <c r="B21" s="2" t="str">
        <f>VLOOKUP(A21,Stammdaten!$A$3:$B$7,2,FALSE)</f>
        <v>Filiale Nord</v>
      </c>
      <c r="C21" s="3" t="str" cm="1">
        <f t="array" ref="C21">INDEX(Stammdaten!$A$11:$A$25,INT((ROW()-5)/12)+1 - INT((ROW()-5)/180)*15)</f>
        <v>A002</v>
      </c>
      <c r="D21" s="2" t="str">
        <f>VLOOKUP(C21,Stammdaten!$A$11:$B$25,2,FALSE)</f>
        <v>Fettarme Milch 1L</v>
      </c>
      <c r="E21" s="3" t="str">
        <f>VLOOKUP(C21,Stammdaten!$A$11:$C$25,3,FALSE)</f>
        <v>Milch</v>
      </c>
      <c r="F21" s="19">
        <f>VLOOKUP(C21,Stammdaten!$A$11:$D$25,4,FALSE)</f>
        <v>1.0900000000000001</v>
      </c>
      <c r="G21" s="4">
        <f t="shared" si="0"/>
        <v>5</v>
      </c>
      <c r="H21" s="20" t="str">
        <f>VLOOKUP(G21,Stammdaten!$A$30:$B$41,2,FALSE)</f>
        <v>Mai</v>
      </c>
      <c r="I21" s="4">
        <v>428</v>
      </c>
      <c r="J21" s="4">
        <v>428</v>
      </c>
      <c r="K21" s="4">
        <f t="shared" si="1"/>
        <v>0</v>
      </c>
      <c r="L21" s="27">
        <f t="shared" si="2"/>
        <v>0</v>
      </c>
      <c r="M21" s="52" t="str">
        <f t="shared" si="3"/>
        <v>Perfekt</v>
      </c>
      <c r="N21" s="28">
        <f t="shared" si="4"/>
        <v>0</v>
      </c>
      <c r="O21" s="5">
        <v>3</v>
      </c>
      <c r="P21" s="4">
        <v>3</v>
      </c>
      <c r="Q21" s="28">
        <f t="shared" si="5"/>
        <v>0</v>
      </c>
      <c r="R21" s="50">
        <f t="shared" si="6"/>
        <v>0</v>
      </c>
      <c r="S21" s="2" t="str">
        <f t="shared" si="7"/>
        <v>Normal</v>
      </c>
      <c r="T21" s="4">
        <v>0</v>
      </c>
      <c r="U21" s="4" t="str">
        <f t="shared" si="8"/>
        <v>Ja - 20% Reduzierung</v>
      </c>
      <c r="V21" s="4">
        <f t="shared" si="9"/>
        <v>20</v>
      </c>
      <c r="W21" s="19">
        <f t="shared" si="10"/>
        <v>0.87</v>
      </c>
      <c r="X21" s="5">
        <v>30</v>
      </c>
      <c r="Y21" s="28">
        <f t="shared" si="11"/>
        <v>6.54</v>
      </c>
      <c r="Z21" s="31" t="s">
        <v>173</v>
      </c>
      <c r="AA21" t="str">
        <f t="shared" si="12"/>
        <v>Normal/Gering</v>
      </c>
    </row>
    <row r="22" spans="1:27" x14ac:dyDescent="0.35">
      <c r="A22" s="32" t="s">
        <v>14</v>
      </c>
      <c r="B22" s="2" t="str">
        <f>VLOOKUP(A22,Stammdaten!$A$3:$B$7,2,FALSE)</f>
        <v>Filiale Nord</v>
      </c>
      <c r="C22" s="3" t="str" cm="1">
        <f t="array" ref="C22">INDEX(Stammdaten!$A$11:$A$25,INT((ROW()-5)/12)+1 - INT((ROW()-5)/180)*15)</f>
        <v>A002</v>
      </c>
      <c r="D22" s="2" t="str">
        <f>VLOOKUP(C22,Stammdaten!$A$11:$B$25,2,FALSE)</f>
        <v>Fettarme Milch 1L</v>
      </c>
      <c r="E22" s="3" t="str">
        <f>VLOOKUP(C22,Stammdaten!$A$11:$C$25,3,FALSE)</f>
        <v>Milch</v>
      </c>
      <c r="F22" s="19">
        <f>VLOOKUP(C22,Stammdaten!$A$11:$D$25,4,FALSE)</f>
        <v>1.0900000000000001</v>
      </c>
      <c r="G22" s="4">
        <f t="shared" si="0"/>
        <v>6</v>
      </c>
      <c r="H22" s="20" t="str">
        <f>VLOOKUP(G22,Stammdaten!$A$30:$B$41,2,FALSE)</f>
        <v>Juni</v>
      </c>
      <c r="I22" s="4">
        <v>510</v>
      </c>
      <c r="J22" s="4">
        <v>489</v>
      </c>
      <c r="K22" s="4">
        <f t="shared" si="1"/>
        <v>-21</v>
      </c>
      <c r="L22" s="27">
        <f t="shared" si="2"/>
        <v>-4.117647058823529</v>
      </c>
      <c r="M22" s="52" t="str">
        <f t="shared" si="3"/>
        <v>Schwund</v>
      </c>
      <c r="N22" s="28">
        <f t="shared" si="4"/>
        <v>22.89</v>
      </c>
      <c r="O22" s="5">
        <v>1</v>
      </c>
      <c r="P22" s="4">
        <v>2</v>
      </c>
      <c r="Q22" s="28">
        <f t="shared" si="5"/>
        <v>5.7225000000000001</v>
      </c>
      <c r="R22" s="50">
        <f t="shared" si="6"/>
        <v>6.867</v>
      </c>
      <c r="S22" s="2" t="str">
        <f t="shared" si="7"/>
        <v>Normal</v>
      </c>
      <c r="T22" s="4">
        <v>0</v>
      </c>
      <c r="U22" s="4" t="str">
        <f t="shared" si="8"/>
        <v>Ja - 20% Reduzierung</v>
      </c>
      <c r="V22" s="4">
        <f t="shared" si="9"/>
        <v>20</v>
      </c>
      <c r="W22" s="19">
        <f t="shared" si="10"/>
        <v>0.87</v>
      </c>
      <c r="X22" s="5">
        <v>61</v>
      </c>
      <c r="Y22" s="28">
        <f t="shared" si="11"/>
        <v>13.3</v>
      </c>
      <c r="Z22" s="31" t="s">
        <v>173</v>
      </c>
      <c r="AA22" t="str">
        <f t="shared" si="12"/>
        <v>Prozessfehler</v>
      </c>
    </row>
    <row r="23" spans="1:27" x14ac:dyDescent="0.35">
      <c r="A23" s="32" t="s">
        <v>14</v>
      </c>
      <c r="B23" s="2" t="str">
        <f>VLOOKUP(A23,Stammdaten!$A$3:$B$7,2,FALSE)</f>
        <v>Filiale Nord</v>
      </c>
      <c r="C23" s="3" t="str" cm="1">
        <f t="array" ref="C23">INDEX(Stammdaten!$A$11:$A$25,INT((ROW()-5)/12)+1 - INT((ROW()-5)/180)*15)</f>
        <v>A002</v>
      </c>
      <c r="D23" s="2" t="str">
        <f>VLOOKUP(C23,Stammdaten!$A$11:$B$25,2,FALSE)</f>
        <v>Fettarme Milch 1L</v>
      </c>
      <c r="E23" s="3" t="str">
        <f>VLOOKUP(C23,Stammdaten!$A$11:$C$25,3,FALSE)</f>
        <v>Milch</v>
      </c>
      <c r="F23" s="19">
        <f>VLOOKUP(C23,Stammdaten!$A$11:$D$25,4,FALSE)</f>
        <v>1.0900000000000001</v>
      </c>
      <c r="G23" s="4">
        <f t="shared" si="0"/>
        <v>7</v>
      </c>
      <c r="H23" s="20" t="str">
        <f>VLOOKUP(G23,Stammdaten!$A$30:$B$41,2,FALSE)</f>
        <v>Juli</v>
      </c>
      <c r="I23" s="4">
        <v>562</v>
      </c>
      <c r="J23" s="4">
        <v>528</v>
      </c>
      <c r="K23" s="4">
        <f t="shared" si="1"/>
        <v>-34</v>
      </c>
      <c r="L23" s="27">
        <f t="shared" si="2"/>
        <v>-6.0498220640569391</v>
      </c>
      <c r="M23" s="52" t="str">
        <f t="shared" si="3"/>
        <v>Schwund</v>
      </c>
      <c r="N23" s="28">
        <f t="shared" si="4"/>
        <v>37.06</v>
      </c>
      <c r="O23" s="5">
        <v>7</v>
      </c>
      <c r="P23" s="4">
        <v>3</v>
      </c>
      <c r="Q23" s="28">
        <f t="shared" si="5"/>
        <v>9.2650000000000006</v>
      </c>
      <c r="R23" s="50">
        <f t="shared" si="6"/>
        <v>11.118</v>
      </c>
      <c r="S23" s="2" t="str">
        <f t="shared" si="7"/>
        <v>Normal</v>
      </c>
      <c r="T23" s="4">
        <v>0</v>
      </c>
      <c r="U23" s="4" t="str">
        <f t="shared" si="8"/>
        <v>Nein</v>
      </c>
      <c r="V23" s="4">
        <f t="shared" si="9"/>
        <v>0</v>
      </c>
      <c r="W23" s="19">
        <f t="shared" si="10"/>
        <v>1.0900000000000001</v>
      </c>
      <c r="X23" s="5">
        <v>0</v>
      </c>
      <c r="Y23" s="28">
        <f t="shared" si="11"/>
        <v>0</v>
      </c>
      <c r="Z23" s="31" t="s">
        <v>172</v>
      </c>
      <c r="AA23" t="str">
        <f t="shared" si="12"/>
        <v>Prozessfehler</v>
      </c>
    </row>
    <row r="24" spans="1:27" x14ac:dyDescent="0.35">
      <c r="A24" s="32" t="s">
        <v>14</v>
      </c>
      <c r="B24" s="2" t="str">
        <f>VLOOKUP(A24,Stammdaten!$A$3:$B$7,2,FALSE)</f>
        <v>Filiale Nord</v>
      </c>
      <c r="C24" s="3" t="str" cm="1">
        <f t="array" ref="C24">INDEX(Stammdaten!$A$11:$A$25,INT((ROW()-5)/12)+1 - INT((ROW()-5)/180)*15)</f>
        <v>A002</v>
      </c>
      <c r="D24" s="2" t="str">
        <f>VLOOKUP(C24,Stammdaten!$A$11:$B$25,2,FALSE)</f>
        <v>Fettarme Milch 1L</v>
      </c>
      <c r="E24" s="3" t="str">
        <f>VLOOKUP(C24,Stammdaten!$A$11:$C$25,3,FALSE)</f>
        <v>Milch</v>
      </c>
      <c r="F24" s="19">
        <f>VLOOKUP(C24,Stammdaten!$A$11:$D$25,4,FALSE)</f>
        <v>1.0900000000000001</v>
      </c>
      <c r="G24" s="4">
        <f t="shared" si="0"/>
        <v>8</v>
      </c>
      <c r="H24" s="20" t="str">
        <f>VLOOKUP(G24,Stammdaten!$A$30:$B$41,2,FALSE)</f>
        <v>August</v>
      </c>
      <c r="I24" s="4">
        <v>492</v>
      </c>
      <c r="J24" s="4">
        <v>492</v>
      </c>
      <c r="K24" s="4">
        <f t="shared" si="1"/>
        <v>0</v>
      </c>
      <c r="L24" s="27">
        <f t="shared" si="2"/>
        <v>0</v>
      </c>
      <c r="M24" s="52" t="str">
        <f t="shared" si="3"/>
        <v>Perfekt</v>
      </c>
      <c r="N24" s="28">
        <f t="shared" si="4"/>
        <v>0</v>
      </c>
      <c r="O24" s="5">
        <v>0</v>
      </c>
      <c r="P24" s="4">
        <v>0</v>
      </c>
      <c r="Q24" s="28">
        <f t="shared" si="5"/>
        <v>0</v>
      </c>
      <c r="R24" s="50">
        <f t="shared" si="6"/>
        <v>0</v>
      </c>
      <c r="S24" s="2" t="str">
        <f t="shared" si="7"/>
        <v>Normal</v>
      </c>
      <c r="T24" s="4">
        <v>0</v>
      </c>
      <c r="U24" s="4" t="str">
        <f t="shared" si="8"/>
        <v>Abschreibung</v>
      </c>
      <c r="V24" s="4">
        <f t="shared" si="9"/>
        <v>100</v>
      </c>
      <c r="W24" s="19">
        <f t="shared" si="10"/>
        <v>0</v>
      </c>
      <c r="X24" s="5">
        <v>10</v>
      </c>
      <c r="Y24" s="28">
        <f t="shared" si="11"/>
        <v>10.9</v>
      </c>
      <c r="Z24" s="31" t="s">
        <v>167</v>
      </c>
      <c r="AA24" t="str">
        <f t="shared" si="12"/>
        <v>Verderb - Abgelaufen</v>
      </c>
    </row>
    <row r="25" spans="1:27" x14ac:dyDescent="0.35">
      <c r="A25" s="32" t="s">
        <v>14</v>
      </c>
      <c r="B25" s="2" t="str">
        <f>VLOOKUP(A25,Stammdaten!$A$3:$B$7,2,FALSE)</f>
        <v>Filiale Nord</v>
      </c>
      <c r="C25" s="3" t="str" cm="1">
        <f t="array" ref="C25">INDEX(Stammdaten!$A$11:$A$25,INT((ROW()-5)/12)+1 - INT((ROW()-5)/180)*15)</f>
        <v>A002</v>
      </c>
      <c r="D25" s="2" t="str">
        <f>VLOOKUP(C25,Stammdaten!$A$11:$B$25,2,FALSE)</f>
        <v>Fettarme Milch 1L</v>
      </c>
      <c r="E25" s="3" t="str">
        <f>VLOOKUP(C25,Stammdaten!$A$11:$C$25,3,FALSE)</f>
        <v>Milch</v>
      </c>
      <c r="F25" s="19">
        <f>VLOOKUP(C25,Stammdaten!$A$11:$D$25,4,FALSE)</f>
        <v>1.0900000000000001</v>
      </c>
      <c r="G25" s="4">
        <f t="shared" si="0"/>
        <v>9</v>
      </c>
      <c r="H25" s="20" t="str">
        <f>VLOOKUP(G25,Stammdaten!$A$30:$B$41,2,FALSE)</f>
        <v>September</v>
      </c>
      <c r="I25" s="4">
        <v>449</v>
      </c>
      <c r="J25" s="4">
        <v>429</v>
      </c>
      <c r="K25" s="4">
        <f t="shared" si="1"/>
        <v>-20</v>
      </c>
      <c r="L25" s="27">
        <f t="shared" si="2"/>
        <v>-4.4543429844097995</v>
      </c>
      <c r="M25" s="52" t="str">
        <f t="shared" si="3"/>
        <v>Schwund</v>
      </c>
      <c r="N25" s="28">
        <f t="shared" si="4"/>
        <v>21.8</v>
      </c>
      <c r="O25" s="5">
        <v>6</v>
      </c>
      <c r="P25" s="4">
        <v>2</v>
      </c>
      <c r="Q25" s="28">
        <f t="shared" si="5"/>
        <v>5.45</v>
      </c>
      <c r="R25" s="50">
        <f t="shared" si="6"/>
        <v>6.54</v>
      </c>
      <c r="S25" s="2" t="str">
        <f t="shared" si="7"/>
        <v>Normal</v>
      </c>
      <c r="T25" s="4">
        <v>0</v>
      </c>
      <c r="U25" s="4" t="str">
        <f t="shared" si="8"/>
        <v>Nein</v>
      </c>
      <c r="V25" s="4">
        <f t="shared" si="9"/>
        <v>0</v>
      </c>
      <c r="W25" s="19">
        <f t="shared" si="10"/>
        <v>1.0900000000000001</v>
      </c>
      <c r="X25" s="5">
        <v>0</v>
      </c>
      <c r="Y25" s="28">
        <f t="shared" si="11"/>
        <v>0</v>
      </c>
      <c r="Z25" s="31" t="s">
        <v>172</v>
      </c>
      <c r="AA25" t="str">
        <f t="shared" si="12"/>
        <v>Prozessfehler</v>
      </c>
    </row>
    <row r="26" spans="1:27" x14ac:dyDescent="0.35">
      <c r="A26" s="32" t="s">
        <v>14</v>
      </c>
      <c r="B26" s="2" t="str">
        <f>VLOOKUP(A26,Stammdaten!$A$3:$B$7,2,FALSE)</f>
        <v>Filiale Nord</v>
      </c>
      <c r="C26" s="3" t="str" cm="1">
        <f t="array" ref="C26">INDEX(Stammdaten!$A$11:$A$25,INT((ROW()-5)/12)+1 - INT((ROW()-5)/180)*15)</f>
        <v>A002</v>
      </c>
      <c r="D26" s="2" t="str">
        <f>VLOOKUP(C26,Stammdaten!$A$11:$B$25,2,FALSE)</f>
        <v>Fettarme Milch 1L</v>
      </c>
      <c r="E26" s="3" t="str">
        <f>VLOOKUP(C26,Stammdaten!$A$11:$C$25,3,FALSE)</f>
        <v>Milch</v>
      </c>
      <c r="F26" s="19">
        <f>VLOOKUP(C26,Stammdaten!$A$11:$D$25,4,FALSE)</f>
        <v>1.0900000000000001</v>
      </c>
      <c r="G26" s="4">
        <f t="shared" si="0"/>
        <v>10</v>
      </c>
      <c r="H26" s="20" t="str">
        <f>VLOOKUP(G26,Stammdaten!$A$30:$B$41,2,FALSE)</f>
        <v>Oktober</v>
      </c>
      <c r="I26" s="4">
        <v>473</v>
      </c>
      <c r="J26" s="4">
        <v>451</v>
      </c>
      <c r="K26" s="4">
        <f t="shared" si="1"/>
        <v>-22</v>
      </c>
      <c r="L26" s="27">
        <f t="shared" si="2"/>
        <v>-4.6511627906976747</v>
      </c>
      <c r="M26" s="52" t="str">
        <f t="shared" si="3"/>
        <v>Schwund</v>
      </c>
      <c r="N26" s="28">
        <f t="shared" si="4"/>
        <v>23.98</v>
      </c>
      <c r="O26" s="5">
        <v>7</v>
      </c>
      <c r="P26" s="4">
        <v>3</v>
      </c>
      <c r="Q26" s="28">
        <f t="shared" si="5"/>
        <v>5.9950000000000001</v>
      </c>
      <c r="R26" s="50">
        <f t="shared" si="6"/>
        <v>7.194</v>
      </c>
      <c r="S26" s="2" t="str">
        <f t="shared" si="7"/>
        <v>Normal</v>
      </c>
      <c r="T26" s="4">
        <v>0</v>
      </c>
      <c r="U26" s="4" t="str">
        <f t="shared" si="8"/>
        <v>Nein</v>
      </c>
      <c r="V26" s="4">
        <f t="shared" si="9"/>
        <v>0</v>
      </c>
      <c r="W26" s="19">
        <f t="shared" si="10"/>
        <v>1.0900000000000001</v>
      </c>
      <c r="X26" s="5">
        <v>0</v>
      </c>
      <c r="Y26" s="28">
        <f t="shared" si="11"/>
        <v>0</v>
      </c>
      <c r="Z26" s="31" t="s">
        <v>172</v>
      </c>
      <c r="AA26" t="str">
        <f t="shared" si="12"/>
        <v>Prozessfehler</v>
      </c>
    </row>
    <row r="27" spans="1:27" x14ac:dyDescent="0.35">
      <c r="A27" s="32" t="s">
        <v>14</v>
      </c>
      <c r="B27" s="2" t="str">
        <f>VLOOKUP(A27,Stammdaten!$A$3:$B$7,2,FALSE)</f>
        <v>Filiale Nord</v>
      </c>
      <c r="C27" s="3" t="str" cm="1">
        <f t="array" ref="C27">INDEX(Stammdaten!$A$11:$A$25,INT((ROW()-5)/12)+1 - INT((ROW()-5)/180)*15)</f>
        <v>A002</v>
      </c>
      <c r="D27" s="2" t="str">
        <f>VLOOKUP(C27,Stammdaten!$A$11:$B$25,2,FALSE)</f>
        <v>Fettarme Milch 1L</v>
      </c>
      <c r="E27" s="3" t="str">
        <f>VLOOKUP(C27,Stammdaten!$A$11:$C$25,3,FALSE)</f>
        <v>Milch</v>
      </c>
      <c r="F27" s="19">
        <f>VLOOKUP(C27,Stammdaten!$A$11:$D$25,4,FALSE)</f>
        <v>1.0900000000000001</v>
      </c>
      <c r="G27" s="4">
        <f t="shared" si="0"/>
        <v>11</v>
      </c>
      <c r="H27" s="20" t="str">
        <f>VLOOKUP(G27,Stammdaten!$A$30:$B$41,2,FALSE)</f>
        <v>November</v>
      </c>
      <c r="I27" s="4">
        <v>490</v>
      </c>
      <c r="J27" s="4">
        <v>471</v>
      </c>
      <c r="K27" s="4">
        <f t="shared" si="1"/>
        <v>-19</v>
      </c>
      <c r="L27" s="27">
        <f t="shared" si="2"/>
        <v>-3.8775510204081631</v>
      </c>
      <c r="M27" s="52" t="str">
        <f t="shared" si="3"/>
        <v>Schwund</v>
      </c>
      <c r="N27" s="28">
        <f t="shared" si="4"/>
        <v>20.71</v>
      </c>
      <c r="O27" s="5">
        <v>5</v>
      </c>
      <c r="P27" s="4">
        <v>2</v>
      </c>
      <c r="Q27" s="28">
        <f t="shared" si="5"/>
        <v>5.1775000000000002</v>
      </c>
      <c r="R27" s="50">
        <f t="shared" si="6"/>
        <v>6.2130000000000001</v>
      </c>
      <c r="S27" s="2" t="str">
        <f t="shared" si="7"/>
        <v>Black Friday</v>
      </c>
      <c r="T27" s="4">
        <v>0</v>
      </c>
      <c r="U27" s="4" t="str">
        <f t="shared" si="8"/>
        <v>Nein</v>
      </c>
      <c r="V27" s="4">
        <f t="shared" si="9"/>
        <v>0</v>
      </c>
      <c r="W27" s="19">
        <f t="shared" si="10"/>
        <v>1.0900000000000001</v>
      </c>
      <c r="X27" s="5">
        <v>0</v>
      </c>
      <c r="Y27" s="28">
        <f t="shared" si="11"/>
        <v>0</v>
      </c>
      <c r="Z27" s="31" t="s">
        <v>172</v>
      </c>
      <c r="AA27" t="str">
        <f t="shared" si="12"/>
        <v>Prozessfehler</v>
      </c>
    </row>
    <row r="28" spans="1:27" x14ac:dyDescent="0.35">
      <c r="A28" s="32" t="s">
        <v>14</v>
      </c>
      <c r="B28" s="2" t="str">
        <f>VLOOKUP(A28,Stammdaten!$A$3:$B$7,2,FALSE)</f>
        <v>Filiale Nord</v>
      </c>
      <c r="C28" s="3" t="str" cm="1">
        <f t="array" ref="C28">INDEX(Stammdaten!$A$11:$A$25,INT((ROW()-5)/12)+1 - INT((ROW()-5)/180)*15)</f>
        <v>A002</v>
      </c>
      <c r="D28" s="2" t="str">
        <f>VLOOKUP(C28,Stammdaten!$A$11:$B$25,2,FALSE)</f>
        <v>Fettarme Milch 1L</v>
      </c>
      <c r="E28" s="3" t="str">
        <f>VLOOKUP(C28,Stammdaten!$A$11:$C$25,3,FALSE)</f>
        <v>Milch</v>
      </c>
      <c r="F28" s="19">
        <f>VLOOKUP(C28,Stammdaten!$A$11:$D$25,4,FALSE)</f>
        <v>1.0900000000000001</v>
      </c>
      <c r="G28" s="4">
        <f t="shared" si="0"/>
        <v>12</v>
      </c>
      <c r="H28" s="20" t="str">
        <f>VLOOKUP(G28,Stammdaten!$A$30:$B$41,2,FALSE)</f>
        <v>Dezember</v>
      </c>
      <c r="I28" s="4">
        <v>630</v>
      </c>
      <c r="J28" s="4">
        <v>582</v>
      </c>
      <c r="K28" s="4">
        <f t="shared" si="1"/>
        <v>-48</v>
      </c>
      <c r="L28" s="27">
        <f t="shared" si="2"/>
        <v>-7.6190476190476195</v>
      </c>
      <c r="M28" s="52" t="str">
        <f t="shared" si="3"/>
        <v>Schwund</v>
      </c>
      <c r="N28" s="28">
        <f t="shared" si="4"/>
        <v>52.320000000000007</v>
      </c>
      <c r="O28" s="5">
        <v>1</v>
      </c>
      <c r="P28" s="4">
        <v>0</v>
      </c>
      <c r="Q28" s="28">
        <f t="shared" si="5"/>
        <v>13.080000000000002</v>
      </c>
      <c r="R28" s="50">
        <f t="shared" si="6"/>
        <v>15.696000000000002</v>
      </c>
      <c r="S28" s="2" t="str">
        <f t="shared" si="7"/>
        <v>Weihnachten/Silvester</v>
      </c>
      <c r="T28" s="4">
        <v>0</v>
      </c>
      <c r="U28" s="4" t="str">
        <f t="shared" si="8"/>
        <v>Ja - 20% Reduzierung</v>
      </c>
      <c r="V28" s="4">
        <f t="shared" si="9"/>
        <v>20</v>
      </c>
      <c r="W28" s="19">
        <f t="shared" si="10"/>
        <v>0.87</v>
      </c>
      <c r="X28" s="5">
        <v>32</v>
      </c>
      <c r="Y28" s="28">
        <f t="shared" si="11"/>
        <v>6.98</v>
      </c>
      <c r="Z28" s="31" t="s">
        <v>173</v>
      </c>
      <c r="AA28" t="str">
        <f t="shared" si="12"/>
        <v>Buchungsfehler Wareneingang</v>
      </c>
    </row>
    <row r="29" spans="1:27" x14ac:dyDescent="0.35">
      <c r="A29" s="32" t="s">
        <v>14</v>
      </c>
      <c r="B29" s="2" t="str">
        <f>VLOOKUP(A29,Stammdaten!$A$3:$B$7,2,FALSE)</f>
        <v>Filiale Nord</v>
      </c>
      <c r="C29" s="3" t="str" cm="1">
        <f t="array" ref="C29">INDEX(Stammdaten!$A$11:$A$25,INT((ROW()-5)/12)+1 - INT((ROW()-5)/180)*15)</f>
        <v>A003</v>
      </c>
      <c r="D29" s="2" t="str">
        <f>VLOOKUP(C29,Stammdaten!$A$11:$B$25,2,FALSE)</f>
        <v>Bio-Milch 1L</v>
      </c>
      <c r="E29" s="3" t="str">
        <f>VLOOKUP(C29,Stammdaten!$A$11:$C$25,3,FALSE)</f>
        <v>Milch</v>
      </c>
      <c r="F29" s="19">
        <f>VLOOKUP(C29,Stammdaten!$A$11:$D$25,4,FALSE)</f>
        <v>1.59</v>
      </c>
      <c r="G29" s="4">
        <f t="shared" si="0"/>
        <v>1</v>
      </c>
      <c r="H29" s="20" t="str">
        <f>VLOOKUP(G29,Stammdaten!$A$30:$B$41,2,FALSE)</f>
        <v>Januar</v>
      </c>
      <c r="I29" s="4">
        <v>184</v>
      </c>
      <c r="J29" s="4">
        <v>179</v>
      </c>
      <c r="K29" s="4">
        <f t="shared" si="1"/>
        <v>-5</v>
      </c>
      <c r="L29" s="27">
        <f t="shared" si="2"/>
        <v>-2.7173913043478262</v>
      </c>
      <c r="M29" s="52" t="str">
        <f t="shared" si="3"/>
        <v>Schwund</v>
      </c>
      <c r="N29" s="28">
        <f t="shared" si="4"/>
        <v>7.95</v>
      </c>
      <c r="O29" s="5">
        <v>1</v>
      </c>
      <c r="P29" s="4">
        <v>2</v>
      </c>
      <c r="Q29" s="28">
        <f t="shared" si="5"/>
        <v>1.9875</v>
      </c>
      <c r="R29" s="50">
        <f t="shared" si="6"/>
        <v>2.3849999999999998</v>
      </c>
      <c r="S29" s="2" t="str">
        <f t="shared" si="7"/>
        <v>Normal</v>
      </c>
      <c r="T29" s="4">
        <v>0</v>
      </c>
      <c r="U29" s="4" t="str">
        <f t="shared" si="8"/>
        <v>Ja - 20% Reduzierung</v>
      </c>
      <c r="V29" s="4">
        <f t="shared" si="9"/>
        <v>20</v>
      </c>
      <c r="W29" s="19">
        <f t="shared" si="10"/>
        <v>1.27</v>
      </c>
      <c r="X29" s="5">
        <v>24</v>
      </c>
      <c r="Y29" s="28">
        <f t="shared" si="11"/>
        <v>7.63</v>
      </c>
      <c r="Z29" s="31" t="s">
        <v>173</v>
      </c>
      <c r="AA29" t="str">
        <f t="shared" si="12"/>
        <v>Prozessfehler</v>
      </c>
    </row>
    <row r="30" spans="1:27" x14ac:dyDescent="0.35">
      <c r="A30" s="32" t="s">
        <v>14</v>
      </c>
      <c r="B30" s="2" t="str">
        <f>VLOOKUP(A30,Stammdaten!$A$3:$B$7,2,FALSE)</f>
        <v>Filiale Nord</v>
      </c>
      <c r="C30" s="3" t="str" cm="1">
        <f t="array" ref="C30">INDEX(Stammdaten!$A$11:$A$25,INT((ROW()-5)/12)+1 - INT((ROW()-5)/180)*15)</f>
        <v>A003</v>
      </c>
      <c r="D30" s="2" t="str">
        <f>VLOOKUP(C30,Stammdaten!$A$11:$B$25,2,FALSE)</f>
        <v>Bio-Milch 1L</v>
      </c>
      <c r="E30" s="3" t="str">
        <f>VLOOKUP(C30,Stammdaten!$A$11:$C$25,3,FALSE)</f>
        <v>Milch</v>
      </c>
      <c r="F30" s="19">
        <f>VLOOKUP(C30,Stammdaten!$A$11:$D$25,4,FALSE)</f>
        <v>1.59</v>
      </c>
      <c r="G30" s="4">
        <f t="shared" si="0"/>
        <v>2</v>
      </c>
      <c r="H30" s="20" t="str">
        <f>VLOOKUP(G30,Stammdaten!$A$30:$B$41,2,FALSE)</f>
        <v>Februar</v>
      </c>
      <c r="I30" s="4">
        <v>163</v>
      </c>
      <c r="J30" s="4">
        <v>157</v>
      </c>
      <c r="K30" s="4">
        <f t="shared" si="1"/>
        <v>-6</v>
      </c>
      <c r="L30" s="27">
        <f t="shared" si="2"/>
        <v>-3.6809815950920246</v>
      </c>
      <c r="M30" s="52" t="str">
        <f t="shared" si="3"/>
        <v>Schwund</v>
      </c>
      <c r="N30" s="28">
        <f t="shared" si="4"/>
        <v>9.5400000000000009</v>
      </c>
      <c r="O30" s="5">
        <v>7</v>
      </c>
      <c r="P30" s="4">
        <v>1</v>
      </c>
      <c r="Q30" s="28">
        <f t="shared" si="5"/>
        <v>2.3850000000000002</v>
      </c>
      <c r="R30" s="50">
        <f t="shared" si="6"/>
        <v>2.8620000000000001</v>
      </c>
      <c r="S30" s="2" t="str">
        <f t="shared" si="7"/>
        <v>Karneval</v>
      </c>
      <c r="T30" s="4">
        <v>0</v>
      </c>
      <c r="U30" s="4" t="str">
        <f t="shared" si="8"/>
        <v>Nein</v>
      </c>
      <c r="V30" s="4">
        <f t="shared" si="9"/>
        <v>0</v>
      </c>
      <c r="W30" s="19">
        <f t="shared" si="10"/>
        <v>1.59</v>
      </c>
      <c r="X30" s="5">
        <v>0</v>
      </c>
      <c r="Y30" s="28">
        <f t="shared" si="11"/>
        <v>0</v>
      </c>
      <c r="Z30" s="31" t="s">
        <v>172</v>
      </c>
      <c r="AA30" t="str">
        <f t="shared" si="12"/>
        <v>Buchungsfehler Wareneingang</v>
      </c>
    </row>
    <row r="31" spans="1:27" x14ac:dyDescent="0.35">
      <c r="A31" s="32" t="s">
        <v>14</v>
      </c>
      <c r="B31" s="2" t="str">
        <f>VLOOKUP(A31,Stammdaten!$A$3:$B$7,2,FALSE)</f>
        <v>Filiale Nord</v>
      </c>
      <c r="C31" s="3" t="str" cm="1">
        <f t="array" ref="C31">INDEX(Stammdaten!$A$11:$A$25,INT((ROW()-5)/12)+1 - INT((ROW()-5)/180)*15)</f>
        <v>A003</v>
      </c>
      <c r="D31" s="2" t="str">
        <f>VLOOKUP(C31,Stammdaten!$A$11:$B$25,2,FALSE)</f>
        <v>Bio-Milch 1L</v>
      </c>
      <c r="E31" s="3" t="str">
        <f>VLOOKUP(C31,Stammdaten!$A$11:$C$25,3,FALSE)</f>
        <v>Milch</v>
      </c>
      <c r="F31" s="19">
        <f>VLOOKUP(C31,Stammdaten!$A$11:$D$25,4,FALSE)</f>
        <v>1.59</v>
      </c>
      <c r="G31" s="4">
        <f t="shared" si="0"/>
        <v>3</v>
      </c>
      <c r="H31" s="20" t="str">
        <f>VLOOKUP(G31,Stammdaten!$A$30:$B$41,2,FALSE)</f>
        <v>März</v>
      </c>
      <c r="I31" s="4">
        <v>204</v>
      </c>
      <c r="J31" s="4">
        <v>210</v>
      </c>
      <c r="K31" s="4">
        <f t="shared" si="1"/>
        <v>6</v>
      </c>
      <c r="L31" s="27">
        <f t="shared" si="2"/>
        <v>2.9411764705882351</v>
      </c>
      <c r="M31" s="52" t="str">
        <f t="shared" si="3"/>
        <v>Überbestand</v>
      </c>
      <c r="N31" s="28">
        <f t="shared" si="4"/>
        <v>9.5400000000000009</v>
      </c>
      <c r="O31" s="5">
        <v>6</v>
      </c>
      <c r="P31" s="4">
        <v>2</v>
      </c>
      <c r="Q31" s="28">
        <f t="shared" si="5"/>
        <v>0</v>
      </c>
      <c r="R31" s="50">
        <f t="shared" si="6"/>
        <v>0</v>
      </c>
      <c r="S31" s="2" t="str">
        <f t="shared" si="7"/>
        <v>Normal</v>
      </c>
      <c r="T31" s="4">
        <v>6</v>
      </c>
      <c r="U31" s="4" t="str">
        <f t="shared" si="8"/>
        <v>Nein</v>
      </c>
      <c r="V31" s="4">
        <f t="shared" si="9"/>
        <v>0</v>
      </c>
      <c r="W31" s="19">
        <f t="shared" si="10"/>
        <v>1.59</v>
      </c>
      <c r="X31" s="5">
        <v>0</v>
      </c>
      <c r="Y31" s="28">
        <f t="shared" si="11"/>
        <v>0</v>
      </c>
      <c r="Z31" s="31" t="s">
        <v>172</v>
      </c>
      <c r="AA31" t="str">
        <f t="shared" si="12"/>
        <v>Kassenfehler (Überbestand)</v>
      </c>
    </row>
    <row r="32" spans="1:27" x14ac:dyDescent="0.35">
      <c r="A32" s="32" t="s">
        <v>14</v>
      </c>
      <c r="B32" s="2" t="str">
        <f>VLOOKUP(A32,Stammdaten!$A$3:$B$7,2,FALSE)</f>
        <v>Filiale Nord</v>
      </c>
      <c r="C32" s="3" t="str" cm="1">
        <f t="array" ref="C32">INDEX(Stammdaten!$A$11:$A$25,INT((ROW()-5)/12)+1 - INT((ROW()-5)/180)*15)</f>
        <v>A003</v>
      </c>
      <c r="D32" s="2" t="str">
        <f>VLOOKUP(C32,Stammdaten!$A$11:$B$25,2,FALSE)</f>
        <v>Bio-Milch 1L</v>
      </c>
      <c r="E32" s="3" t="str">
        <f>VLOOKUP(C32,Stammdaten!$A$11:$C$25,3,FALSE)</f>
        <v>Milch</v>
      </c>
      <c r="F32" s="19">
        <f>VLOOKUP(C32,Stammdaten!$A$11:$D$25,4,FALSE)</f>
        <v>1.59</v>
      </c>
      <c r="G32" s="4">
        <f t="shared" si="0"/>
        <v>4</v>
      </c>
      <c r="H32" s="20" t="str">
        <f>VLOOKUP(G32,Stammdaten!$A$30:$B$41,2,FALSE)</f>
        <v>April</v>
      </c>
      <c r="I32" s="4">
        <v>238</v>
      </c>
      <c r="J32" s="4">
        <v>225</v>
      </c>
      <c r="K32" s="4">
        <f t="shared" si="1"/>
        <v>-13</v>
      </c>
      <c r="L32" s="27">
        <f t="shared" si="2"/>
        <v>-5.46218487394958</v>
      </c>
      <c r="M32" s="52" t="str">
        <f t="shared" si="3"/>
        <v>Schwund</v>
      </c>
      <c r="N32" s="28">
        <f t="shared" si="4"/>
        <v>20.67</v>
      </c>
      <c r="O32" s="5">
        <v>1</v>
      </c>
      <c r="P32" s="4">
        <v>2</v>
      </c>
      <c r="Q32" s="28">
        <f t="shared" si="5"/>
        <v>5.1675000000000004</v>
      </c>
      <c r="R32" s="50">
        <f t="shared" si="6"/>
        <v>6.2010000000000005</v>
      </c>
      <c r="S32" s="2" t="str">
        <f t="shared" si="7"/>
        <v>Ostern</v>
      </c>
      <c r="T32" s="4">
        <v>0</v>
      </c>
      <c r="U32" s="4" t="str">
        <f t="shared" si="8"/>
        <v>Ja - 20% Reduzierung</v>
      </c>
      <c r="V32" s="4">
        <f t="shared" si="9"/>
        <v>20</v>
      </c>
      <c r="W32" s="19">
        <f t="shared" si="10"/>
        <v>1.27</v>
      </c>
      <c r="X32" s="5">
        <v>33</v>
      </c>
      <c r="Y32" s="28">
        <f t="shared" si="11"/>
        <v>10.49</v>
      </c>
      <c r="Z32" s="31" t="s">
        <v>173</v>
      </c>
      <c r="AA32" t="str">
        <f t="shared" si="12"/>
        <v>Prozessfehler</v>
      </c>
    </row>
    <row r="33" spans="1:27" x14ac:dyDescent="0.35">
      <c r="A33" s="32" t="s">
        <v>14</v>
      </c>
      <c r="B33" s="2" t="str">
        <f>VLOOKUP(A33,Stammdaten!$A$3:$B$7,2,FALSE)</f>
        <v>Filiale Nord</v>
      </c>
      <c r="C33" s="3" t="str" cm="1">
        <f t="array" ref="C33">INDEX(Stammdaten!$A$11:$A$25,INT((ROW()-5)/12)+1 - INT((ROW()-5)/180)*15)</f>
        <v>A003</v>
      </c>
      <c r="D33" s="2" t="str">
        <f>VLOOKUP(C33,Stammdaten!$A$11:$B$25,2,FALSE)</f>
        <v>Bio-Milch 1L</v>
      </c>
      <c r="E33" s="3" t="str">
        <f>VLOOKUP(C33,Stammdaten!$A$11:$C$25,3,FALSE)</f>
        <v>Milch</v>
      </c>
      <c r="F33" s="19">
        <f>VLOOKUP(C33,Stammdaten!$A$11:$D$25,4,FALSE)</f>
        <v>1.59</v>
      </c>
      <c r="G33" s="4">
        <f t="shared" si="0"/>
        <v>5</v>
      </c>
      <c r="H33" s="20" t="str">
        <f>VLOOKUP(G33,Stammdaten!$A$30:$B$41,2,FALSE)</f>
        <v>Mai</v>
      </c>
      <c r="I33" s="4">
        <v>204</v>
      </c>
      <c r="J33" s="4">
        <v>207</v>
      </c>
      <c r="K33" s="4">
        <f t="shared" si="1"/>
        <v>3</v>
      </c>
      <c r="L33" s="27">
        <f t="shared" si="2"/>
        <v>1.4705882352941175</v>
      </c>
      <c r="M33" s="52" t="str">
        <f t="shared" si="3"/>
        <v>Überbestand</v>
      </c>
      <c r="N33" s="28">
        <f t="shared" si="4"/>
        <v>4.7700000000000005</v>
      </c>
      <c r="O33" s="5">
        <v>1</v>
      </c>
      <c r="P33" s="4">
        <v>2</v>
      </c>
      <c r="Q33" s="28">
        <f t="shared" si="5"/>
        <v>0</v>
      </c>
      <c r="R33" s="50">
        <f t="shared" si="6"/>
        <v>0</v>
      </c>
      <c r="S33" s="2" t="str">
        <f t="shared" si="7"/>
        <v>Normal</v>
      </c>
      <c r="T33" s="4">
        <v>3</v>
      </c>
      <c r="U33" s="4" t="str">
        <f t="shared" si="8"/>
        <v>Ja - 20% Reduzierung</v>
      </c>
      <c r="V33" s="4">
        <f t="shared" si="9"/>
        <v>20</v>
      </c>
      <c r="W33" s="19">
        <f t="shared" si="10"/>
        <v>1.27</v>
      </c>
      <c r="X33" s="5">
        <v>18</v>
      </c>
      <c r="Y33" s="28">
        <f t="shared" si="11"/>
        <v>5.72</v>
      </c>
      <c r="Z33" s="31" t="s">
        <v>173</v>
      </c>
      <c r="AA33" t="str">
        <f t="shared" si="12"/>
        <v>Kassenfehler (Überbestand)</v>
      </c>
    </row>
    <row r="34" spans="1:27" x14ac:dyDescent="0.35">
      <c r="A34" s="32" t="s">
        <v>14</v>
      </c>
      <c r="B34" s="2" t="str">
        <f>VLOOKUP(A34,Stammdaten!$A$3:$B$7,2,FALSE)</f>
        <v>Filiale Nord</v>
      </c>
      <c r="C34" s="3" t="str" cm="1">
        <f t="array" ref="C34">INDEX(Stammdaten!$A$11:$A$25,INT((ROW()-5)/12)+1 - INT((ROW()-5)/180)*15)</f>
        <v>A003</v>
      </c>
      <c r="D34" s="2" t="str">
        <f>VLOOKUP(C34,Stammdaten!$A$11:$B$25,2,FALSE)</f>
        <v>Bio-Milch 1L</v>
      </c>
      <c r="E34" s="3" t="str">
        <f>VLOOKUP(C34,Stammdaten!$A$11:$C$25,3,FALSE)</f>
        <v>Milch</v>
      </c>
      <c r="F34" s="19">
        <f>VLOOKUP(C34,Stammdaten!$A$11:$D$25,4,FALSE)</f>
        <v>1.59</v>
      </c>
      <c r="G34" s="4">
        <f t="shared" si="0"/>
        <v>6</v>
      </c>
      <c r="H34" s="20" t="str">
        <f>VLOOKUP(G34,Stammdaten!$A$30:$B$41,2,FALSE)</f>
        <v>Juni</v>
      </c>
      <c r="I34" s="4">
        <v>224</v>
      </c>
      <c r="J34" s="4">
        <v>214</v>
      </c>
      <c r="K34" s="4">
        <f t="shared" si="1"/>
        <v>-10</v>
      </c>
      <c r="L34" s="27">
        <f t="shared" si="2"/>
        <v>-4.4642857142857144</v>
      </c>
      <c r="M34" s="52" t="str">
        <f t="shared" si="3"/>
        <v>Schwund</v>
      </c>
      <c r="N34" s="28">
        <f t="shared" si="4"/>
        <v>15.9</v>
      </c>
      <c r="O34" s="5">
        <v>1</v>
      </c>
      <c r="P34" s="4">
        <v>3</v>
      </c>
      <c r="Q34" s="28">
        <f t="shared" si="5"/>
        <v>3.9750000000000001</v>
      </c>
      <c r="R34" s="50">
        <f t="shared" si="6"/>
        <v>4.7699999999999996</v>
      </c>
      <c r="S34" s="2" t="str">
        <f t="shared" si="7"/>
        <v>Normal</v>
      </c>
      <c r="T34" s="4">
        <v>0</v>
      </c>
      <c r="U34" s="4" t="str">
        <f t="shared" si="8"/>
        <v>Ja - 20% Reduzierung</v>
      </c>
      <c r="V34" s="4">
        <f t="shared" si="9"/>
        <v>20</v>
      </c>
      <c r="W34" s="19">
        <f t="shared" si="10"/>
        <v>1.27</v>
      </c>
      <c r="X34" s="5">
        <v>16</v>
      </c>
      <c r="Y34" s="28">
        <f t="shared" si="11"/>
        <v>5.09</v>
      </c>
      <c r="Z34" s="31" t="s">
        <v>173</v>
      </c>
      <c r="AA34" t="str">
        <f t="shared" si="12"/>
        <v>Prozessfehler</v>
      </c>
    </row>
    <row r="35" spans="1:27" x14ac:dyDescent="0.35">
      <c r="A35" s="32" t="s">
        <v>14</v>
      </c>
      <c r="B35" s="2" t="str">
        <f>VLOOKUP(A35,Stammdaten!$A$3:$B$7,2,FALSE)</f>
        <v>Filiale Nord</v>
      </c>
      <c r="C35" s="3" t="str" cm="1">
        <f t="array" ref="C35">INDEX(Stammdaten!$A$11:$A$25,INT((ROW()-5)/12)+1 - INT((ROW()-5)/180)*15)</f>
        <v>A003</v>
      </c>
      <c r="D35" s="2" t="str">
        <f>VLOOKUP(C35,Stammdaten!$A$11:$B$25,2,FALSE)</f>
        <v>Bio-Milch 1L</v>
      </c>
      <c r="E35" s="3" t="str">
        <f>VLOOKUP(C35,Stammdaten!$A$11:$C$25,3,FALSE)</f>
        <v>Milch</v>
      </c>
      <c r="F35" s="19">
        <f>VLOOKUP(C35,Stammdaten!$A$11:$D$25,4,FALSE)</f>
        <v>1.59</v>
      </c>
      <c r="G35" s="4">
        <f t="shared" si="0"/>
        <v>7</v>
      </c>
      <c r="H35" s="20" t="str">
        <f>VLOOKUP(G35,Stammdaten!$A$30:$B$41,2,FALSE)</f>
        <v>Juli</v>
      </c>
      <c r="I35" s="4">
        <v>247</v>
      </c>
      <c r="J35" s="4">
        <v>233</v>
      </c>
      <c r="K35" s="4">
        <f t="shared" si="1"/>
        <v>-14</v>
      </c>
      <c r="L35" s="27">
        <f t="shared" si="2"/>
        <v>-5.668016194331984</v>
      </c>
      <c r="M35" s="52" t="str">
        <f t="shared" si="3"/>
        <v>Schwund</v>
      </c>
      <c r="N35" s="28">
        <f t="shared" si="4"/>
        <v>22.26</v>
      </c>
      <c r="O35" s="5">
        <v>5</v>
      </c>
      <c r="P35" s="4">
        <v>3</v>
      </c>
      <c r="Q35" s="28">
        <f t="shared" si="5"/>
        <v>5.5650000000000004</v>
      </c>
      <c r="R35" s="50">
        <f t="shared" si="6"/>
        <v>6.6779999999999999</v>
      </c>
      <c r="S35" s="2" t="str">
        <f t="shared" si="7"/>
        <v>Normal</v>
      </c>
      <c r="T35" s="4">
        <v>0</v>
      </c>
      <c r="U35" s="4" t="str">
        <f t="shared" si="8"/>
        <v>Nein</v>
      </c>
      <c r="V35" s="4">
        <f t="shared" si="9"/>
        <v>0</v>
      </c>
      <c r="W35" s="19">
        <f t="shared" si="10"/>
        <v>1.59</v>
      </c>
      <c r="X35" s="5">
        <v>0</v>
      </c>
      <c r="Y35" s="28">
        <f t="shared" si="11"/>
        <v>0</v>
      </c>
      <c r="Z35" s="31" t="s">
        <v>172</v>
      </c>
      <c r="AA35" t="str">
        <f t="shared" si="12"/>
        <v>Prozessfehler</v>
      </c>
    </row>
    <row r="36" spans="1:27" x14ac:dyDescent="0.35">
      <c r="A36" s="32" t="s">
        <v>14</v>
      </c>
      <c r="B36" s="2" t="str">
        <f>VLOOKUP(A36,Stammdaten!$A$3:$B$7,2,FALSE)</f>
        <v>Filiale Nord</v>
      </c>
      <c r="C36" s="3" t="str" cm="1">
        <f t="array" ref="C36">INDEX(Stammdaten!$A$11:$A$25,INT((ROW()-5)/12)+1 - INT((ROW()-5)/180)*15)</f>
        <v>A003</v>
      </c>
      <c r="D36" s="2" t="str">
        <f>VLOOKUP(C36,Stammdaten!$A$11:$B$25,2,FALSE)</f>
        <v>Bio-Milch 1L</v>
      </c>
      <c r="E36" s="3" t="str">
        <f>VLOOKUP(C36,Stammdaten!$A$11:$C$25,3,FALSE)</f>
        <v>Milch</v>
      </c>
      <c r="F36" s="19">
        <f>VLOOKUP(C36,Stammdaten!$A$11:$D$25,4,FALSE)</f>
        <v>1.59</v>
      </c>
      <c r="G36" s="4">
        <f t="shared" si="0"/>
        <v>8</v>
      </c>
      <c r="H36" s="20" t="str">
        <f>VLOOKUP(G36,Stammdaten!$A$30:$B$41,2,FALSE)</f>
        <v>August</v>
      </c>
      <c r="I36" s="4">
        <v>225</v>
      </c>
      <c r="J36" s="4">
        <v>229</v>
      </c>
      <c r="K36" s="4">
        <f t="shared" si="1"/>
        <v>4</v>
      </c>
      <c r="L36" s="27">
        <f t="shared" si="2"/>
        <v>1.7777777777777777</v>
      </c>
      <c r="M36" s="52" t="str">
        <f t="shared" si="3"/>
        <v>Überbestand</v>
      </c>
      <c r="N36" s="28">
        <f t="shared" si="4"/>
        <v>6.36</v>
      </c>
      <c r="O36" s="5">
        <v>7</v>
      </c>
      <c r="P36" s="4">
        <v>1</v>
      </c>
      <c r="Q36" s="28">
        <f t="shared" si="5"/>
        <v>0</v>
      </c>
      <c r="R36" s="50">
        <f t="shared" si="6"/>
        <v>0</v>
      </c>
      <c r="S36" s="2" t="str">
        <f t="shared" si="7"/>
        <v>Normal</v>
      </c>
      <c r="T36" s="4">
        <v>4</v>
      </c>
      <c r="U36" s="4" t="str">
        <f t="shared" si="8"/>
        <v>Nein</v>
      </c>
      <c r="V36" s="4">
        <f t="shared" si="9"/>
        <v>0</v>
      </c>
      <c r="W36" s="19">
        <f t="shared" si="10"/>
        <v>1.59</v>
      </c>
      <c r="X36" s="5">
        <v>0</v>
      </c>
      <c r="Y36" s="28">
        <f t="shared" si="11"/>
        <v>0</v>
      </c>
      <c r="Z36" s="31" t="s">
        <v>172</v>
      </c>
      <c r="AA36" t="str">
        <f t="shared" si="12"/>
        <v>Kassenfehler (Überbestand)</v>
      </c>
    </row>
    <row r="37" spans="1:27" x14ac:dyDescent="0.35">
      <c r="A37" s="32" t="s">
        <v>14</v>
      </c>
      <c r="B37" s="2" t="str">
        <f>VLOOKUP(A37,Stammdaten!$A$3:$B$7,2,FALSE)</f>
        <v>Filiale Nord</v>
      </c>
      <c r="C37" s="3" t="str" cm="1">
        <f t="array" ref="C37">INDEX(Stammdaten!$A$11:$A$25,INT((ROW()-5)/12)+1 - INT((ROW()-5)/180)*15)</f>
        <v>A003</v>
      </c>
      <c r="D37" s="2" t="str">
        <f>VLOOKUP(C37,Stammdaten!$A$11:$B$25,2,FALSE)</f>
        <v>Bio-Milch 1L</v>
      </c>
      <c r="E37" s="3" t="str">
        <f>VLOOKUP(C37,Stammdaten!$A$11:$C$25,3,FALSE)</f>
        <v>Milch</v>
      </c>
      <c r="F37" s="19">
        <f>VLOOKUP(C37,Stammdaten!$A$11:$D$25,4,FALSE)</f>
        <v>1.59</v>
      </c>
      <c r="G37" s="4">
        <f t="shared" si="0"/>
        <v>9</v>
      </c>
      <c r="H37" s="20" t="str">
        <f>VLOOKUP(G37,Stammdaten!$A$30:$B$41,2,FALSE)</f>
        <v>September</v>
      </c>
      <c r="I37" s="4">
        <v>186</v>
      </c>
      <c r="J37" s="4">
        <v>181</v>
      </c>
      <c r="K37" s="4">
        <f t="shared" si="1"/>
        <v>-5</v>
      </c>
      <c r="L37" s="27">
        <f t="shared" si="2"/>
        <v>-2.6881720430107525</v>
      </c>
      <c r="M37" s="52" t="str">
        <f t="shared" si="3"/>
        <v>Schwund</v>
      </c>
      <c r="N37" s="28">
        <f t="shared" si="4"/>
        <v>7.95</v>
      </c>
      <c r="O37" s="5">
        <v>7</v>
      </c>
      <c r="P37" s="4">
        <v>1</v>
      </c>
      <c r="Q37" s="28">
        <f t="shared" si="5"/>
        <v>1.9875</v>
      </c>
      <c r="R37" s="50">
        <f t="shared" si="6"/>
        <v>2.3849999999999998</v>
      </c>
      <c r="S37" s="2" t="str">
        <f t="shared" si="7"/>
        <v>Normal</v>
      </c>
      <c r="T37" s="4">
        <v>0</v>
      </c>
      <c r="U37" s="4" t="str">
        <f t="shared" si="8"/>
        <v>Nein</v>
      </c>
      <c r="V37" s="4">
        <f t="shared" si="9"/>
        <v>0</v>
      </c>
      <c r="W37" s="19">
        <f t="shared" si="10"/>
        <v>1.59</v>
      </c>
      <c r="X37" s="5">
        <v>0</v>
      </c>
      <c r="Y37" s="28">
        <f t="shared" si="11"/>
        <v>0</v>
      </c>
      <c r="Z37" s="31" t="s">
        <v>172</v>
      </c>
      <c r="AA37" t="str">
        <f t="shared" si="12"/>
        <v>Buchungsfehler Wareneingang</v>
      </c>
    </row>
    <row r="38" spans="1:27" x14ac:dyDescent="0.35">
      <c r="A38" s="32" t="s">
        <v>14</v>
      </c>
      <c r="B38" s="2" t="str">
        <f>VLOOKUP(A38,Stammdaten!$A$3:$B$7,2,FALSE)</f>
        <v>Filiale Nord</v>
      </c>
      <c r="C38" s="3" t="str" cm="1">
        <f t="array" ref="C38">INDEX(Stammdaten!$A$11:$A$25,INT((ROW()-5)/12)+1 - INT((ROW()-5)/180)*15)</f>
        <v>A003</v>
      </c>
      <c r="D38" s="2" t="str">
        <f>VLOOKUP(C38,Stammdaten!$A$11:$B$25,2,FALSE)</f>
        <v>Bio-Milch 1L</v>
      </c>
      <c r="E38" s="3" t="str">
        <f>VLOOKUP(C38,Stammdaten!$A$11:$C$25,3,FALSE)</f>
        <v>Milch</v>
      </c>
      <c r="F38" s="19">
        <f>VLOOKUP(C38,Stammdaten!$A$11:$D$25,4,FALSE)</f>
        <v>1.59</v>
      </c>
      <c r="G38" s="4">
        <f t="shared" si="0"/>
        <v>10</v>
      </c>
      <c r="H38" s="20" t="str">
        <f>VLOOKUP(G38,Stammdaten!$A$30:$B$41,2,FALSE)</f>
        <v>Oktober</v>
      </c>
      <c r="I38" s="4">
        <v>196</v>
      </c>
      <c r="J38" s="4">
        <v>189</v>
      </c>
      <c r="K38" s="4">
        <f t="shared" si="1"/>
        <v>-7</v>
      </c>
      <c r="L38" s="27">
        <f t="shared" si="2"/>
        <v>-3.5714285714285712</v>
      </c>
      <c r="M38" s="52" t="str">
        <f t="shared" si="3"/>
        <v>Schwund</v>
      </c>
      <c r="N38" s="28">
        <f t="shared" si="4"/>
        <v>11.13</v>
      </c>
      <c r="O38" s="5">
        <v>6</v>
      </c>
      <c r="P38" s="4">
        <v>0</v>
      </c>
      <c r="Q38" s="28">
        <f t="shared" si="5"/>
        <v>2.7825000000000002</v>
      </c>
      <c r="R38" s="50">
        <f t="shared" si="6"/>
        <v>3.339</v>
      </c>
      <c r="S38" s="2" t="str">
        <f t="shared" si="7"/>
        <v>Normal</v>
      </c>
      <c r="T38" s="4">
        <v>0</v>
      </c>
      <c r="U38" s="4" t="str">
        <f t="shared" si="8"/>
        <v>Nein</v>
      </c>
      <c r="V38" s="4">
        <f t="shared" si="9"/>
        <v>0</v>
      </c>
      <c r="W38" s="19">
        <f t="shared" si="10"/>
        <v>1.59</v>
      </c>
      <c r="X38" s="5">
        <v>0</v>
      </c>
      <c r="Y38" s="28">
        <f t="shared" si="11"/>
        <v>0</v>
      </c>
      <c r="Z38" s="31" t="s">
        <v>172</v>
      </c>
      <c r="AA38" t="str">
        <f t="shared" si="12"/>
        <v>Buchungsfehler Wareneingang</v>
      </c>
    </row>
    <row r="39" spans="1:27" x14ac:dyDescent="0.35">
      <c r="A39" s="32" t="s">
        <v>14</v>
      </c>
      <c r="B39" s="2" t="str">
        <f>VLOOKUP(A39,Stammdaten!$A$3:$B$7,2,FALSE)</f>
        <v>Filiale Nord</v>
      </c>
      <c r="C39" s="3" t="str" cm="1">
        <f t="array" ref="C39">INDEX(Stammdaten!$A$11:$A$25,INT((ROW()-5)/12)+1 - INT((ROW()-5)/180)*15)</f>
        <v>A003</v>
      </c>
      <c r="D39" s="2" t="str">
        <f>VLOOKUP(C39,Stammdaten!$A$11:$B$25,2,FALSE)</f>
        <v>Bio-Milch 1L</v>
      </c>
      <c r="E39" s="3" t="str">
        <f>VLOOKUP(C39,Stammdaten!$A$11:$C$25,3,FALSE)</f>
        <v>Milch</v>
      </c>
      <c r="F39" s="19">
        <f>VLOOKUP(C39,Stammdaten!$A$11:$D$25,4,FALSE)</f>
        <v>1.59</v>
      </c>
      <c r="G39" s="4">
        <f t="shared" si="0"/>
        <v>11</v>
      </c>
      <c r="H39" s="20" t="str">
        <f>VLOOKUP(G39,Stammdaten!$A$30:$B$41,2,FALSE)</f>
        <v>November</v>
      </c>
      <c r="I39" s="4">
        <v>213</v>
      </c>
      <c r="J39" s="4">
        <v>217</v>
      </c>
      <c r="K39" s="4">
        <f t="shared" si="1"/>
        <v>4</v>
      </c>
      <c r="L39" s="27">
        <f t="shared" si="2"/>
        <v>1.8779342723004695</v>
      </c>
      <c r="M39" s="52" t="str">
        <f t="shared" si="3"/>
        <v>Überbestand</v>
      </c>
      <c r="N39" s="28">
        <f t="shared" si="4"/>
        <v>6.36</v>
      </c>
      <c r="O39" s="5">
        <v>1</v>
      </c>
      <c r="P39" s="4">
        <v>1</v>
      </c>
      <c r="Q39" s="28">
        <f t="shared" si="5"/>
        <v>0</v>
      </c>
      <c r="R39" s="50">
        <f t="shared" si="6"/>
        <v>0</v>
      </c>
      <c r="S39" s="2" t="str">
        <f t="shared" si="7"/>
        <v>Black Friday</v>
      </c>
      <c r="T39" s="4">
        <v>4</v>
      </c>
      <c r="U39" s="4" t="str">
        <f t="shared" si="8"/>
        <v>Ja - 20% Reduzierung</v>
      </c>
      <c r="V39" s="4">
        <f t="shared" si="9"/>
        <v>20</v>
      </c>
      <c r="W39" s="19">
        <f t="shared" si="10"/>
        <v>1.27</v>
      </c>
      <c r="X39" s="5">
        <v>32</v>
      </c>
      <c r="Y39" s="28">
        <f t="shared" si="11"/>
        <v>10.18</v>
      </c>
      <c r="Z39" s="31" t="s">
        <v>173</v>
      </c>
      <c r="AA39" t="str">
        <f t="shared" si="12"/>
        <v>Kassenfehler (Überbestand)</v>
      </c>
    </row>
    <row r="40" spans="1:27" x14ac:dyDescent="0.35">
      <c r="A40" s="32" t="s">
        <v>14</v>
      </c>
      <c r="B40" s="2" t="str">
        <f>VLOOKUP(A40,Stammdaten!$A$3:$B$7,2,FALSE)</f>
        <v>Filiale Nord</v>
      </c>
      <c r="C40" s="3" t="str" cm="1">
        <f t="array" ref="C40">INDEX(Stammdaten!$A$11:$A$25,INT((ROW()-5)/12)+1 - INT((ROW()-5)/180)*15)</f>
        <v>A003</v>
      </c>
      <c r="D40" s="2" t="str">
        <f>VLOOKUP(C40,Stammdaten!$A$11:$B$25,2,FALSE)</f>
        <v>Bio-Milch 1L</v>
      </c>
      <c r="E40" s="3" t="str">
        <f>VLOOKUP(C40,Stammdaten!$A$11:$C$25,3,FALSE)</f>
        <v>Milch</v>
      </c>
      <c r="F40" s="19">
        <f>VLOOKUP(C40,Stammdaten!$A$11:$D$25,4,FALSE)</f>
        <v>1.59</v>
      </c>
      <c r="G40" s="4">
        <f t="shared" si="0"/>
        <v>12</v>
      </c>
      <c r="H40" s="20" t="str">
        <f>VLOOKUP(G40,Stammdaten!$A$30:$B$41,2,FALSE)</f>
        <v>Dezember</v>
      </c>
      <c r="I40" s="4">
        <v>266</v>
      </c>
      <c r="J40" s="4">
        <v>266</v>
      </c>
      <c r="K40" s="4">
        <f t="shared" si="1"/>
        <v>0</v>
      </c>
      <c r="L40" s="27">
        <f t="shared" si="2"/>
        <v>0</v>
      </c>
      <c r="M40" s="52" t="str">
        <f t="shared" si="3"/>
        <v>Perfekt</v>
      </c>
      <c r="N40" s="28">
        <f t="shared" si="4"/>
        <v>0</v>
      </c>
      <c r="O40" s="5">
        <v>7</v>
      </c>
      <c r="P40" s="4">
        <v>1</v>
      </c>
      <c r="Q40" s="28">
        <f t="shared" si="5"/>
        <v>0</v>
      </c>
      <c r="R40" s="50">
        <f t="shared" si="6"/>
        <v>0</v>
      </c>
      <c r="S40" s="2" t="str">
        <f t="shared" si="7"/>
        <v>Weihnachten/Silvester</v>
      </c>
      <c r="T40" s="4">
        <v>0</v>
      </c>
      <c r="U40" s="4" t="str">
        <f t="shared" si="8"/>
        <v>Nein</v>
      </c>
      <c r="V40" s="4">
        <f t="shared" si="9"/>
        <v>0</v>
      </c>
      <c r="W40" s="19">
        <f t="shared" si="10"/>
        <v>1.59</v>
      </c>
      <c r="X40" s="5">
        <v>0</v>
      </c>
      <c r="Y40" s="28">
        <f t="shared" si="11"/>
        <v>0</v>
      </c>
      <c r="Z40" s="31" t="s">
        <v>172</v>
      </c>
      <c r="AA40" t="str">
        <f t="shared" si="12"/>
        <v>Normal/Gering</v>
      </c>
    </row>
    <row r="41" spans="1:27" x14ac:dyDescent="0.35">
      <c r="A41" s="32" t="s">
        <v>14</v>
      </c>
      <c r="B41" s="2" t="str">
        <f>VLOOKUP(A41,Stammdaten!$A$3:$B$7,2,FALSE)</f>
        <v>Filiale Nord</v>
      </c>
      <c r="C41" s="3" t="str" cm="1">
        <f t="array" ref="C41">INDEX(Stammdaten!$A$11:$A$25,INT((ROW()-5)/12)+1 - INT((ROW()-5)/180)*15)</f>
        <v>A004</v>
      </c>
      <c r="D41" s="2" t="str">
        <f>VLOOKUP(C41,Stammdaten!$A$11:$B$25,2,FALSE)</f>
        <v>Butter 250g</v>
      </c>
      <c r="E41" s="3" t="str">
        <f>VLOOKUP(C41,Stammdaten!$A$11:$C$25,3,FALSE)</f>
        <v>Butter</v>
      </c>
      <c r="F41" s="19">
        <f>VLOOKUP(C41,Stammdaten!$A$11:$D$25,4,FALSE)</f>
        <v>2.29</v>
      </c>
      <c r="G41" s="4">
        <f t="shared" si="0"/>
        <v>1</v>
      </c>
      <c r="H41" s="20" t="str">
        <f>VLOOKUP(G41,Stammdaten!$A$30:$B$41,2,FALSE)</f>
        <v>Januar</v>
      </c>
      <c r="I41" s="4">
        <v>367</v>
      </c>
      <c r="J41" s="4">
        <v>365</v>
      </c>
      <c r="K41" s="4">
        <f t="shared" si="1"/>
        <v>-2</v>
      </c>
      <c r="L41" s="27">
        <f t="shared" si="2"/>
        <v>-0.54495912806539504</v>
      </c>
      <c r="M41" s="52" t="str">
        <f t="shared" si="3"/>
        <v>Schwund</v>
      </c>
      <c r="N41" s="28">
        <f t="shared" si="4"/>
        <v>4.58</v>
      </c>
      <c r="O41" s="5">
        <v>25</v>
      </c>
      <c r="P41" s="4">
        <v>6</v>
      </c>
      <c r="Q41" s="28">
        <f t="shared" si="5"/>
        <v>1.145</v>
      </c>
      <c r="R41" s="50">
        <f t="shared" si="6"/>
        <v>1.3739999999999999</v>
      </c>
      <c r="S41" s="2" t="str">
        <f t="shared" si="7"/>
        <v>Normal</v>
      </c>
      <c r="T41" s="4">
        <v>0</v>
      </c>
      <c r="U41" s="4" t="str">
        <f t="shared" si="8"/>
        <v>Nein</v>
      </c>
      <c r="V41" s="4">
        <f t="shared" si="9"/>
        <v>0</v>
      </c>
      <c r="W41" s="19">
        <f t="shared" si="10"/>
        <v>2.29</v>
      </c>
      <c r="X41" s="5">
        <v>0</v>
      </c>
      <c r="Y41" s="28">
        <f t="shared" si="11"/>
        <v>0</v>
      </c>
      <c r="Z41" s="31" t="s">
        <v>172</v>
      </c>
      <c r="AA41" t="str">
        <f t="shared" si="12"/>
        <v>Normal/Gering</v>
      </c>
    </row>
    <row r="42" spans="1:27" x14ac:dyDescent="0.35">
      <c r="A42" s="32" t="s">
        <v>14</v>
      </c>
      <c r="B42" s="2" t="str">
        <f>VLOOKUP(A42,Stammdaten!$A$3:$B$7,2,FALSE)</f>
        <v>Filiale Nord</v>
      </c>
      <c r="C42" s="3" t="str" cm="1">
        <f t="array" ref="C42">INDEX(Stammdaten!$A$11:$A$25,INT((ROW()-5)/12)+1 - INT((ROW()-5)/180)*15)</f>
        <v>A004</v>
      </c>
      <c r="D42" s="2" t="str">
        <f>VLOOKUP(C42,Stammdaten!$A$11:$B$25,2,FALSE)</f>
        <v>Butter 250g</v>
      </c>
      <c r="E42" s="3" t="str">
        <f>VLOOKUP(C42,Stammdaten!$A$11:$C$25,3,FALSE)</f>
        <v>Butter</v>
      </c>
      <c r="F42" s="19">
        <f>VLOOKUP(C42,Stammdaten!$A$11:$D$25,4,FALSE)</f>
        <v>2.29</v>
      </c>
      <c r="G42" s="4">
        <f t="shared" si="0"/>
        <v>2</v>
      </c>
      <c r="H42" s="20" t="str">
        <f>VLOOKUP(G42,Stammdaten!$A$30:$B$41,2,FALSE)</f>
        <v>Februar</v>
      </c>
      <c r="I42" s="4">
        <v>354</v>
      </c>
      <c r="J42" s="4">
        <v>351</v>
      </c>
      <c r="K42" s="4">
        <f t="shared" si="1"/>
        <v>-3</v>
      </c>
      <c r="L42" s="27">
        <f t="shared" si="2"/>
        <v>-0.84745762711864403</v>
      </c>
      <c r="M42" s="52" t="str">
        <f t="shared" si="3"/>
        <v>Schwund</v>
      </c>
      <c r="N42" s="28">
        <f t="shared" si="4"/>
        <v>6.87</v>
      </c>
      <c r="O42" s="5">
        <v>8</v>
      </c>
      <c r="P42" s="4">
        <v>10</v>
      </c>
      <c r="Q42" s="28">
        <f t="shared" si="5"/>
        <v>1.7175</v>
      </c>
      <c r="R42" s="50">
        <f t="shared" si="6"/>
        <v>2.0609999999999999</v>
      </c>
      <c r="S42" s="2" t="str">
        <f t="shared" si="7"/>
        <v>Karneval</v>
      </c>
      <c r="T42" s="4">
        <v>0</v>
      </c>
      <c r="U42" s="4" t="str">
        <f t="shared" si="8"/>
        <v>Nein</v>
      </c>
      <c r="V42" s="4">
        <f t="shared" si="9"/>
        <v>0</v>
      </c>
      <c r="W42" s="19">
        <f t="shared" si="10"/>
        <v>2.29</v>
      </c>
      <c r="X42" s="5">
        <v>0</v>
      </c>
      <c r="Y42" s="28">
        <f t="shared" si="11"/>
        <v>0</v>
      </c>
      <c r="Z42" s="31" t="s">
        <v>172</v>
      </c>
      <c r="AA42" t="str">
        <f t="shared" si="12"/>
        <v>Normal/Gering</v>
      </c>
    </row>
    <row r="43" spans="1:27" x14ac:dyDescent="0.35">
      <c r="A43" s="32" t="s">
        <v>14</v>
      </c>
      <c r="B43" s="2" t="str">
        <f>VLOOKUP(A43,Stammdaten!$A$3:$B$7,2,FALSE)</f>
        <v>Filiale Nord</v>
      </c>
      <c r="C43" s="3" t="str" cm="1">
        <f t="array" ref="C43">INDEX(Stammdaten!$A$11:$A$25,INT((ROW()-5)/12)+1 - INT((ROW()-5)/180)*15)</f>
        <v>A004</v>
      </c>
      <c r="D43" s="2" t="str">
        <f>VLOOKUP(C43,Stammdaten!$A$11:$B$25,2,FALSE)</f>
        <v>Butter 250g</v>
      </c>
      <c r="E43" s="3" t="str">
        <f>VLOOKUP(C43,Stammdaten!$A$11:$C$25,3,FALSE)</f>
        <v>Butter</v>
      </c>
      <c r="F43" s="19">
        <f>VLOOKUP(C43,Stammdaten!$A$11:$D$25,4,FALSE)</f>
        <v>2.29</v>
      </c>
      <c r="G43" s="4">
        <f t="shared" si="0"/>
        <v>3</v>
      </c>
      <c r="H43" s="20" t="str">
        <f>VLOOKUP(G43,Stammdaten!$A$30:$B$41,2,FALSE)</f>
        <v>März</v>
      </c>
      <c r="I43" s="4">
        <v>433</v>
      </c>
      <c r="J43" s="4">
        <v>429</v>
      </c>
      <c r="K43" s="4">
        <f t="shared" si="1"/>
        <v>-4</v>
      </c>
      <c r="L43" s="27">
        <f t="shared" si="2"/>
        <v>-0.92378752886836024</v>
      </c>
      <c r="M43" s="52" t="str">
        <f t="shared" si="3"/>
        <v>Schwund</v>
      </c>
      <c r="N43" s="28">
        <f t="shared" si="4"/>
        <v>9.16</v>
      </c>
      <c r="O43" s="5">
        <v>12</v>
      </c>
      <c r="P43" s="4">
        <v>1</v>
      </c>
      <c r="Q43" s="28">
        <f t="shared" si="5"/>
        <v>2.29</v>
      </c>
      <c r="R43" s="50">
        <f t="shared" si="6"/>
        <v>2.7479999999999998</v>
      </c>
      <c r="S43" s="2" t="str">
        <f t="shared" si="7"/>
        <v>Normal</v>
      </c>
      <c r="T43" s="4">
        <v>0</v>
      </c>
      <c r="U43" s="4" t="str">
        <f t="shared" si="8"/>
        <v>Nein</v>
      </c>
      <c r="V43" s="4">
        <f t="shared" si="9"/>
        <v>0</v>
      </c>
      <c r="W43" s="19">
        <f t="shared" si="10"/>
        <v>2.29</v>
      </c>
      <c r="X43" s="5">
        <v>0</v>
      </c>
      <c r="Y43" s="28">
        <f t="shared" si="11"/>
        <v>0</v>
      </c>
      <c r="Z43" s="31" t="s">
        <v>172</v>
      </c>
      <c r="AA43" t="str">
        <f t="shared" si="12"/>
        <v>Normal/Gering</v>
      </c>
    </row>
    <row r="44" spans="1:27" x14ac:dyDescent="0.35">
      <c r="A44" s="32" t="s">
        <v>14</v>
      </c>
      <c r="B44" s="2" t="str">
        <f>VLOOKUP(A44,Stammdaten!$A$3:$B$7,2,FALSE)</f>
        <v>Filiale Nord</v>
      </c>
      <c r="C44" s="3" t="str" cm="1">
        <f t="array" ref="C44">INDEX(Stammdaten!$A$11:$A$25,INT((ROW()-5)/12)+1 - INT((ROW()-5)/180)*15)</f>
        <v>A004</v>
      </c>
      <c r="D44" s="2" t="str">
        <f>VLOOKUP(C44,Stammdaten!$A$11:$B$25,2,FALSE)</f>
        <v>Butter 250g</v>
      </c>
      <c r="E44" s="3" t="str">
        <f>VLOOKUP(C44,Stammdaten!$A$11:$C$25,3,FALSE)</f>
        <v>Butter</v>
      </c>
      <c r="F44" s="19">
        <f>VLOOKUP(C44,Stammdaten!$A$11:$D$25,4,FALSE)</f>
        <v>2.29</v>
      </c>
      <c r="G44" s="4">
        <f t="shared" si="0"/>
        <v>4</v>
      </c>
      <c r="H44" s="20" t="str">
        <f>VLOOKUP(G44,Stammdaten!$A$30:$B$41,2,FALSE)</f>
        <v>April</v>
      </c>
      <c r="I44" s="4">
        <v>485</v>
      </c>
      <c r="J44" s="4">
        <v>475</v>
      </c>
      <c r="K44" s="4">
        <f t="shared" si="1"/>
        <v>-10</v>
      </c>
      <c r="L44" s="27">
        <f t="shared" si="2"/>
        <v>-2.0618556701030926</v>
      </c>
      <c r="M44" s="52" t="str">
        <f t="shared" si="3"/>
        <v>Schwund</v>
      </c>
      <c r="N44" s="28">
        <f t="shared" si="4"/>
        <v>22.9</v>
      </c>
      <c r="O44" s="5">
        <v>8</v>
      </c>
      <c r="P44" s="4">
        <v>5</v>
      </c>
      <c r="Q44" s="28">
        <f t="shared" si="5"/>
        <v>5.7249999999999996</v>
      </c>
      <c r="R44" s="50">
        <f t="shared" si="6"/>
        <v>6.8699999999999992</v>
      </c>
      <c r="S44" s="2" t="str">
        <f t="shared" si="7"/>
        <v>Ostern</v>
      </c>
      <c r="T44" s="4">
        <v>0</v>
      </c>
      <c r="U44" s="4" t="str">
        <f t="shared" si="8"/>
        <v>Nein</v>
      </c>
      <c r="V44" s="4">
        <f t="shared" si="9"/>
        <v>0</v>
      </c>
      <c r="W44" s="19">
        <f t="shared" si="10"/>
        <v>2.29</v>
      </c>
      <c r="X44" s="5">
        <v>0</v>
      </c>
      <c r="Y44" s="28">
        <f t="shared" si="11"/>
        <v>0</v>
      </c>
      <c r="Z44" s="31" t="s">
        <v>172</v>
      </c>
      <c r="AA44" t="str">
        <f t="shared" si="12"/>
        <v>Prozessfehler</v>
      </c>
    </row>
    <row r="45" spans="1:27" x14ac:dyDescent="0.35">
      <c r="A45" s="32" t="s">
        <v>14</v>
      </c>
      <c r="B45" s="2" t="str">
        <f>VLOOKUP(A45,Stammdaten!$A$3:$B$7,2,FALSE)</f>
        <v>Filiale Nord</v>
      </c>
      <c r="C45" s="3" t="str" cm="1">
        <f t="array" ref="C45">INDEX(Stammdaten!$A$11:$A$25,INT((ROW()-5)/12)+1 - INT((ROW()-5)/180)*15)</f>
        <v>A004</v>
      </c>
      <c r="D45" s="2" t="str">
        <f>VLOOKUP(C45,Stammdaten!$A$11:$B$25,2,FALSE)</f>
        <v>Butter 250g</v>
      </c>
      <c r="E45" s="3" t="str">
        <f>VLOOKUP(C45,Stammdaten!$A$11:$C$25,3,FALSE)</f>
        <v>Butter</v>
      </c>
      <c r="F45" s="19">
        <f>VLOOKUP(C45,Stammdaten!$A$11:$D$25,4,FALSE)</f>
        <v>2.29</v>
      </c>
      <c r="G45" s="4">
        <f t="shared" si="0"/>
        <v>5</v>
      </c>
      <c r="H45" s="20" t="str">
        <f>VLOOKUP(G45,Stammdaten!$A$30:$B$41,2,FALSE)</f>
        <v>Mai</v>
      </c>
      <c r="I45" s="4">
        <v>404</v>
      </c>
      <c r="J45" s="4">
        <v>398</v>
      </c>
      <c r="K45" s="4">
        <f t="shared" si="1"/>
        <v>-6</v>
      </c>
      <c r="L45" s="27">
        <f t="shared" si="2"/>
        <v>-1.4851485148514851</v>
      </c>
      <c r="M45" s="52" t="str">
        <f t="shared" si="3"/>
        <v>Schwund</v>
      </c>
      <c r="N45" s="28">
        <f t="shared" si="4"/>
        <v>13.74</v>
      </c>
      <c r="O45" s="5">
        <v>25</v>
      </c>
      <c r="P45" s="4">
        <v>9</v>
      </c>
      <c r="Q45" s="28">
        <f t="shared" si="5"/>
        <v>3.4350000000000001</v>
      </c>
      <c r="R45" s="50">
        <f t="shared" si="6"/>
        <v>4.1219999999999999</v>
      </c>
      <c r="S45" s="2" t="str">
        <f t="shared" si="7"/>
        <v>Normal</v>
      </c>
      <c r="T45" s="4">
        <v>0</v>
      </c>
      <c r="U45" s="4" t="str">
        <f t="shared" si="8"/>
        <v>Nein</v>
      </c>
      <c r="V45" s="4">
        <f t="shared" si="9"/>
        <v>0</v>
      </c>
      <c r="W45" s="19">
        <f t="shared" si="10"/>
        <v>2.29</v>
      </c>
      <c r="X45" s="5">
        <v>0</v>
      </c>
      <c r="Y45" s="28">
        <f t="shared" si="11"/>
        <v>0</v>
      </c>
      <c r="Z45" s="31" t="s">
        <v>172</v>
      </c>
      <c r="AA45" t="str">
        <f t="shared" si="12"/>
        <v>Normal/Gering</v>
      </c>
    </row>
    <row r="46" spans="1:27" x14ac:dyDescent="0.35">
      <c r="A46" s="32" t="s">
        <v>14</v>
      </c>
      <c r="B46" s="2" t="str">
        <f>VLOOKUP(A46,Stammdaten!$A$3:$B$7,2,FALSE)</f>
        <v>Filiale Nord</v>
      </c>
      <c r="C46" s="3" t="str" cm="1">
        <f t="array" ref="C46">INDEX(Stammdaten!$A$11:$A$25,INT((ROW()-5)/12)+1 - INT((ROW()-5)/180)*15)</f>
        <v>A004</v>
      </c>
      <c r="D46" s="2" t="str">
        <f>VLOOKUP(C46,Stammdaten!$A$11:$B$25,2,FALSE)</f>
        <v>Butter 250g</v>
      </c>
      <c r="E46" s="3" t="str">
        <f>VLOOKUP(C46,Stammdaten!$A$11:$C$25,3,FALSE)</f>
        <v>Butter</v>
      </c>
      <c r="F46" s="19">
        <f>VLOOKUP(C46,Stammdaten!$A$11:$D$25,4,FALSE)</f>
        <v>2.29</v>
      </c>
      <c r="G46" s="4">
        <f t="shared" si="0"/>
        <v>6</v>
      </c>
      <c r="H46" s="20" t="str">
        <f>VLOOKUP(G46,Stammdaten!$A$30:$B$41,2,FALSE)</f>
        <v>Juni</v>
      </c>
      <c r="I46" s="4">
        <v>418</v>
      </c>
      <c r="J46" s="4">
        <v>413</v>
      </c>
      <c r="K46" s="4">
        <f t="shared" si="1"/>
        <v>-5</v>
      </c>
      <c r="L46" s="27">
        <f t="shared" si="2"/>
        <v>-1.1961722488038278</v>
      </c>
      <c r="M46" s="52" t="str">
        <f t="shared" si="3"/>
        <v>Schwund</v>
      </c>
      <c r="N46" s="28">
        <f t="shared" si="4"/>
        <v>11.45</v>
      </c>
      <c r="O46" s="5">
        <v>16</v>
      </c>
      <c r="P46" s="4">
        <v>4</v>
      </c>
      <c r="Q46" s="28">
        <f t="shared" si="5"/>
        <v>2.8624999999999998</v>
      </c>
      <c r="R46" s="50">
        <f t="shared" si="6"/>
        <v>3.4349999999999996</v>
      </c>
      <c r="S46" s="2" t="str">
        <f t="shared" si="7"/>
        <v>Normal</v>
      </c>
      <c r="T46" s="4">
        <v>0</v>
      </c>
      <c r="U46" s="4" t="str">
        <f t="shared" si="8"/>
        <v>Nein</v>
      </c>
      <c r="V46" s="4">
        <f t="shared" si="9"/>
        <v>0</v>
      </c>
      <c r="W46" s="19">
        <f t="shared" si="10"/>
        <v>2.29</v>
      </c>
      <c r="X46" s="5">
        <v>0</v>
      </c>
      <c r="Y46" s="28">
        <f t="shared" si="11"/>
        <v>0</v>
      </c>
      <c r="Z46" s="31" t="s">
        <v>172</v>
      </c>
      <c r="AA46" t="str">
        <f t="shared" si="12"/>
        <v>Normal/Gering</v>
      </c>
    </row>
    <row r="47" spans="1:27" x14ac:dyDescent="0.35">
      <c r="A47" s="32" t="s">
        <v>14</v>
      </c>
      <c r="B47" s="2" t="str">
        <f>VLOOKUP(A47,Stammdaten!$A$3:$B$7,2,FALSE)</f>
        <v>Filiale Nord</v>
      </c>
      <c r="C47" s="3" t="str" cm="1">
        <f t="array" ref="C47">INDEX(Stammdaten!$A$11:$A$25,INT((ROW()-5)/12)+1 - INT((ROW()-5)/180)*15)</f>
        <v>A004</v>
      </c>
      <c r="D47" s="2" t="str">
        <f>VLOOKUP(C47,Stammdaten!$A$11:$B$25,2,FALSE)</f>
        <v>Butter 250g</v>
      </c>
      <c r="E47" s="3" t="str">
        <f>VLOOKUP(C47,Stammdaten!$A$11:$C$25,3,FALSE)</f>
        <v>Butter</v>
      </c>
      <c r="F47" s="19">
        <f>VLOOKUP(C47,Stammdaten!$A$11:$D$25,4,FALSE)</f>
        <v>2.29</v>
      </c>
      <c r="G47" s="4">
        <f t="shared" si="0"/>
        <v>7</v>
      </c>
      <c r="H47" s="20" t="str">
        <f>VLOOKUP(G47,Stammdaten!$A$30:$B$41,2,FALSE)</f>
        <v>Juli</v>
      </c>
      <c r="I47" s="4">
        <v>475</v>
      </c>
      <c r="J47" s="4">
        <v>470</v>
      </c>
      <c r="K47" s="4">
        <f t="shared" si="1"/>
        <v>-5</v>
      </c>
      <c r="L47" s="27">
        <f t="shared" si="2"/>
        <v>-1.0526315789473684</v>
      </c>
      <c r="M47" s="52" t="str">
        <f t="shared" si="3"/>
        <v>Schwund</v>
      </c>
      <c r="N47" s="28">
        <f t="shared" si="4"/>
        <v>11.45</v>
      </c>
      <c r="O47" s="5">
        <v>16</v>
      </c>
      <c r="P47" s="4">
        <v>1</v>
      </c>
      <c r="Q47" s="28">
        <f t="shared" si="5"/>
        <v>2.8624999999999998</v>
      </c>
      <c r="R47" s="50">
        <f t="shared" si="6"/>
        <v>3.4349999999999996</v>
      </c>
      <c r="S47" s="2" t="str">
        <f t="shared" si="7"/>
        <v>Normal</v>
      </c>
      <c r="T47" s="4">
        <v>0</v>
      </c>
      <c r="U47" s="4" t="str">
        <f t="shared" si="8"/>
        <v>Nein</v>
      </c>
      <c r="V47" s="4">
        <f t="shared" si="9"/>
        <v>0</v>
      </c>
      <c r="W47" s="19">
        <f t="shared" si="10"/>
        <v>2.29</v>
      </c>
      <c r="X47" s="5">
        <v>0</v>
      </c>
      <c r="Y47" s="28">
        <f t="shared" si="11"/>
        <v>0</v>
      </c>
      <c r="Z47" s="31" t="s">
        <v>172</v>
      </c>
      <c r="AA47" t="str">
        <f t="shared" si="12"/>
        <v>Normal/Gering</v>
      </c>
    </row>
    <row r="48" spans="1:27" x14ac:dyDescent="0.35">
      <c r="A48" s="32" t="s">
        <v>14</v>
      </c>
      <c r="B48" s="2" t="str">
        <f>VLOOKUP(A48,Stammdaten!$A$3:$B$7,2,FALSE)</f>
        <v>Filiale Nord</v>
      </c>
      <c r="C48" s="3" t="str" cm="1">
        <f t="array" ref="C48">INDEX(Stammdaten!$A$11:$A$25,INT((ROW()-5)/12)+1 - INT((ROW()-5)/180)*15)</f>
        <v>A004</v>
      </c>
      <c r="D48" s="2" t="str">
        <f>VLOOKUP(C48,Stammdaten!$A$11:$B$25,2,FALSE)</f>
        <v>Butter 250g</v>
      </c>
      <c r="E48" s="3" t="str">
        <f>VLOOKUP(C48,Stammdaten!$A$11:$C$25,3,FALSE)</f>
        <v>Butter</v>
      </c>
      <c r="F48" s="19">
        <f>VLOOKUP(C48,Stammdaten!$A$11:$D$25,4,FALSE)</f>
        <v>2.29</v>
      </c>
      <c r="G48" s="4">
        <f t="shared" si="0"/>
        <v>8</v>
      </c>
      <c r="H48" s="20" t="str">
        <f>VLOOKUP(G48,Stammdaten!$A$30:$B$41,2,FALSE)</f>
        <v>August</v>
      </c>
      <c r="I48" s="4">
        <v>446</v>
      </c>
      <c r="J48" s="4">
        <v>441</v>
      </c>
      <c r="K48" s="4">
        <f t="shared" si="1"/>
        <v>-5</v>
      </c>
      <c r="L48" s="27">
        <f t="shared" si="2"/>
        <v>-1.1210762331838564</v>
      </c>
      <c r="M48" s="52" t="str">
        <f t="shared" si="3"/>
        <v>Schwund</v>
      </c>
      <c r="N48" s="28">
        <f t="shared" si="4"/>
        <v>11.45</v>
      </c>
      <c r="O48" s="5">
        <v>11</v>
      </c>
      <c r="P48" s="4">
        <v>3</v>
      </c>
      <c r="Q48" s="28">
        <f t="shared" si="5"/>
        <v>2.8624999999999998</v>
      </c>
      <c r="R48" s="50">
        <f t="shared" si="6"/>
        <v>3.4349999999999996</v>
      </c>
      <c r="S48" s="2" t="str">
        <f t="shared" si="7"/>
        <v>Normal</v>
      </c>
      <c r="T48" s="4">
        <v>0</v>
      </c>
      <c r="U48" s="4" t="str">
        <f t="shared" si="8"/>
        <v>Nein</v>
      </c>
      <c r="V48" s="4">
        <f t="shared" si="9"/>
        <v>0</v>
      </c>
      <c r="W48" s="19">
        <f t="shared" si="10"/>
        <v>2.29</v>
      </c>
      <c r="X48" s="5">
        <v>0</v>
      </c>
      <c r="Y48" s="28">
        <f t="shared" si="11"/>
        <v>0</v>
      </c>
      <c r="Z48" s="31" t="s">
        <v>172</v>
      </c>
      <c r="AA48" t="str">
        <f t="shared" si="12"/>
        <v>Normal/Gering</v>
      </c>
    </row>
    <row r="49" spans="1:27" x14ac:dyDescent="0.35">
      <c r="A49" s="32" t="s">
        <v>14</v>
      </c>
      <c r="B49" s="2" t="str">
        <f>VLOOKUP(A49,Stammdaten!$A$3:$B$7,2,FALSE)</f>
        <v>Filiale Nord</v>
      </c>
      <c r="C49" s="3" t="str" cm="1">
        <f t="array" ref="C49">INDEX(Stammdaten!$A$11:$A$25,INT((ROW()-5)/12)+1 - INT((ROW()-5)/180)*15)</f>
        <v>A004</v>
      </c>
      <c r="D49" s="2" t="str">
        <f>VLOOKUP(C49,Stammdaten!$A$11:$B$25,2,FALSE)</f>
        <v>Butter 250g</v>
      </c>
      <c r="E49" s="3" t="str">
        <f>VLOOKUP(C49,Stammdaten!$A$11:$C$25,3,FALSE)</f>
        <v>Butter</v>
      </c>
      <c r="F49" s="19">
        <f>VLOOKUP(C49,Stammdaten!$A$11:$D$25,4,FALSE)</f>
        <v>2.29</v>
      </c>
      <c r="G49" s="4">
        <f t="shared" si="0"/>
        <v>9</v>
      </c>
      <c r="H49" s="20" t="str">
        <f>VLOOKUP(G49,Stammdaten!$A$30:$B$41,2,FALSE)</f>
        <v>September</v>
      </c>
      <c r="I49" s="4">
        <v>395</v>
      </c>
      <c r="J49" s="4">
        <v>390</v>
      </c>
      <c r="K49" s="4">
        <f t="shared" si="1"/>
        <v>-5</v>
      </c>
      <c r="L49" s="27">
        <f t="shared" si="2"/>
        <v>-1.2658227848101267</v>
      </c>
      <c r="M49" s="52" t="str">
        <f t="shared" si="3"/>
        <v>Schwund</v>
      </c>
      <c r="N49" s="28">
        <f t="shared" si="4"/>
        <v>11.45</v>
      </c>
      <c r="O49" s="5">
        <v>27</v>
      </c>
      <c r="P49" s="4">
        <v>8</v>
      </c>
      <c r="Q49" s="28">
        <f t="shared" si="5"/>
        <v>2.8624999999999998</v>
      </c>
      <c r="R49" s="50">
        <f t="shared" si="6"/>
        <v>3.4349999999999996</v>
      </c>
      <c r="S49" s="2" t="str">
        <f t="shared" si="7"/>
        <v>Normal</v>
      </c>
      <c r="T49" s="4">
        <v>0</v>
      </c>
      <c r="U49" s="4" t="str">
        <f t="shared" si="8"/>
        <v>Nein</v>
      </c>
      <c r="V49" s="4">
        <f t="shared" si="9"/>
        <v>0</v>
      </c>
      <c r="W49" s="19">
        <f t="shared" si="10"/>
        <v>2.29</v>
      </c>
      <c r="X49" s="5">
        <v>0</v>
      </c>
      <c r="Y49" s="28">
        <f t="shared" si="11"/>
        <v>0</v>
      </c>
      <c r="Z49" s="31" t="s">
        <v>172</v>
      </c>
      <c r="AA49" t="str">
        <f t="shared" si="12"/>
        <v>Normal/Gering</v>
      </c>
    </row>
    <row r="50" spans="1:27" x14ac:dyDescent="0.35">
      <c r="A50" s="32" t="s">
        <v>14</v>
      </c>
      <c r="B50" s="2" t="str">
        <f>VLOOKUP(A50,Stammdaten!$A$3:$B$7,2,FALSE)</f>
        <v>Filiale Nord</v>
      </c>
      <c r="C50" s="3" t="str" cm="1">
        <f t="array" ref="C50">INDEX(Stammdaten!$A$11:$A$25,INT((ROW()-5)/12)+1 - INT((ROW()-5)/180)*15)</f>
        <v>A004</v>
      </c>
      <c r="D50" s="2" t="str">
        <f>VLOOKUP(C50,Stammdaten!$A$11:$B$25,2,FALSE)</f>
        <v>Butter 250g</v>
      </c>
      <c r="E50" s="3" t="str">
        <f>VLOOKUP(C50,Stammdaten!$A$11:$C$25,3,FALSE)</f>
        <v>Butter</v>
      </c>
      <c r="F50" s="19">
        <f>VLOOKUP(C50,Stammdaten!$A$11:$D$25,4,FALSE)</f>
        <v>2.29</v>
      </c>
      <c r="G50" s="4">
        <f t="shared" si="0"/>
        <v>10</v>
      </c>
      <c r="H50" s="20" t="str">
        <f>VLOOKUP(G50,Stammdaten!$A$30:$B$41,2,FALSE)</f>
        <v>Oktober</v>
      </c>
      <c r="I50" s="4">
        <v>396</v>
      </c>
      <c r="J50" s="4">
        <v>388</v>
      </c>
      <c r="K50" s="4">
        <f t="shared" si="1"/>
        <v>-8</v>
      </c>
      <c r="L50" s="27">
        <f t="shared" si="2"/>
        <v>-2.0202020202020203</v>
      </c>
      <c r="M50" s="52" t="str">
        <f t="shared" si="3"/>
        <v>Schwund</v>
      </c>
      <c r="N50" s="28">
        <f t="shared" si="4"/>
        <v>18.32</v>
      </c>
      <c r="O50" s="5">
        <v>24</v>
      </c>
      <c r="P50" s="4">
        <v>7</v>
      </c>
      <c r="Q50" s="28">
        <f t="shared" si="5"/>
        <v>4.58</v>
      </c>
      <c r="R50" s="50">
        <f t="shared" si="6"/>
        <v>5.4959999999999996</v>
      </c>
      <c r="S50" s="2" t="str">
        <f t="shared" si="7"/>
        <v>Normal</v>
      </c>
      <c r="T50" s="4">
        <v>0</v>
      </c>
      <c r="U50" s="4" t="str">
        <f t="shared" si="8"/>
        <v>Nein</v>
      </c>
      <c r="V50" s="4">
        <f t="shared" si="9"/>
        <v>0</v>
      </c>
      <c r="W50" s="19">
        <f t="shared" si="10"/>
        <v>2.29</v>
      </c>
      <c r="X50" s="5">
        <v>0</v>
      </c>
      <c r="Y50" s="28">
        <f t="shared" si="11"/>
        <v>0</v>
      </c>
      <c r="Z50" s="31" t="s">
        <v>172</v>
      </c>
      <c r="AA50" t="str">
        <f t="shared" si="12"/>
        <v>Prozessfehler</v>
      </c>
    </row>
    <row r="51" spans="1:27" x14ac:dyDescent="0.35">
      <c r="A51" s="32" t="s">
        <v>14</v>
      </c>
      <c r="B51" s="2" t="str">
        <f>VLOOKUP(A51,Stammdaten!$A$3:$B$7,2,FALSE)</f>
        <v>Filiale Nord</v>
      </c>
      <c r="C51" s="3" t="str" cm="1">
        <f t="array" ref="C51">INDEX(Stammdaten!$A$11:$A$25,INT((ROW()-5)/12)+1 - INT((ROW()-5)/180)*15)</f>
        <v>A004</v>
      </c>
      <c r="D51" s="2" t="str">
        <f>VLOOKUP(C51,Stammdaten!$A$11:$B$25,2,FALSE)</f>
        <v>Butter 250g</v>
      </c>
      <c r="E51" s="3" t="str">
        <f>VLOOKUP(C51,Stammdaten!$A$11:$C$25,3,FALSE)</f>
        <v>Butter</v>
      </c>
      <c r="F51" s="19">
        <f>VLOOKUP(C51,Stammdaten!$A$11:$D$25,4,FALSE)</f>
        <v>2.29</v>
      </c>
      <c r="G51" s="4">
        <f t="shared" si="0"/>
        <v>11</v>
      </c>
      <c r="H51" s="20" t="str">
        <f>VLOOKUP(G51,Stammdaten!$A$30:$B$41,2,FALSE)</f>
        <v>November</v>
      </c>
      <c r="I51" s="4">
        <v>449</v>
      </c>
      <c r="J51" s="4">
        <v>449</v>
      </c>
      <c r="K51" s="4">
        <f t="shared" si="1"/>
        <v>0</v>
      </c>
      <c r="L51" s="27">
        <f t="shared" si="2"/>
        <v>0</v>
      </c>
      <c r="M51" s="52" t="str">
        <f t="shared" si="3"/>
        <v>Perfekt</v>
      </c>
      <c r="N51" s="28">
        <f t="shared" si="4"/>
        <v>0</v>
      </c>
      <c r="O51" s="5">
        <v>14</v>
      </c>
      <c r="P51" s="4">
        <v>6</v>
      </c>
      <c r="Q51" s="28">
        <f t="shared" si="5"/>
        <v>0</v>
      </c>
      <c r="R51" s="50">
        <f t="shared" si="6"/>
        <v>0</v>
      </c>
      <c r="S51" s="2" t="str">
        <f t="shared" si="7"/>
        <v>Black Friday</v>
      </c>
      <c r="T51" s="4">
        <v>0</v>
      </c>
      <c r="U51" s="4" t="str">
        <f t="shared" si="8"/>
        <v>Nein</v>
      </c>
      <c r="V51" s="4">
        <f t="shared" si="9"/>
        <v>0</v>
      </c>
      <c r="W51" s="19">
        <f t="shared" si="10"/>
        <v>2.29</v>
      </c>
      <c r="X51" s="5">
        <v>0</v>
      </c>
      <c r="Y51" s="28">
        <f t="shared" si="11"/>
        <v>0</v>
      </c>
      <c r="Z51" s="31" t="s">
        <v>172</v>
      </c>
      <c r="AA51" t="str">
        <f t="shared" si="12"/>
        <v>Normal/Gering</v>
      </c>
    </row>
    <row r="52" spans="1:27" x14ac:dyDescent="0.35">
      <c r="A52" s="32" t="s">
        <v>14</v>
      </c>
      <c r="B52" s="2" t="str">
        <f>VLOOKUP(A52,Stammdaten!$A$3:$B$7,2,FALSE)</f>
        <v>Filiale Nord</v>
      </c>
      <c r="C52" s="3" t="str" cm="1">
        <f t="array" ref="C52">INDEX(Stammdaten!$A$11:$A$25,INT((ROW()-5)/12)+1 - INT((ROW()-5)/180)*15)</f>
        <v>A004</v>
      </c>
      <c r="D52" s="2" t="str">
        <f>VLOOKUP(C52,Stammdaten!$A$11:$B$25,2,FALSE)</f>
        <v>Butter 250g</v>
      </c>
      <c r="E52" s="3" t="str">
        <f>VLOOKUP(C52,Stammdaten!$A$11:$C$25,3,FALSE)</f>
        <v>Butter</v>
      </c>
      <c r="F52" s="19">
        <f>VLOOKUP(C52,Stammdaten!$A$11:$D$25,4,FALSE)</f>
        <v>2.29</v>
      </c>
      <c r="G52" s="4">
        <f t="shared" si="0"/>
        <v>12</v>
      </c>
      <c r="H52" s="20" t="str">
        <f>VLOOKUP(G52,Stammdaten!$A$30:$B$41,2,FALSE)</f>
        <v>Dezember</v>
      </c>
      <c r="I52" s="4">
        <v>588</v>
      </c>
      <c r="J52" s="4">
        <v>595</v>
      </c>
      <c r="K52" s="4">
        <f t="shared" si="1"/>
        <v>7</v>
      </c>
      <c r="L52" s="27">
        <f t="shared" si="2"/>
        <v>1.1904761904761905</v>
      </c>
      <c r="M52" s="52" t="str">
        <f t="shared" si="3"/>
        <v>Überbestand</v>
      </c>
      <c r="N52" s="28">
        <f t="shared" si="4"/>
        <v>16.03</v>
      </c>
      <c r="O52" s="5">
        <v>19</v>
      </c>
      <c r="P52" s="4">
        <v>7</v>
      </c>
      <c r="Q52" s="28">
        <f t="shared" si="5"/>
        <v>0</v>
      </c>
      <c r="R52" s="50">
        <f t="shared" si="6"/>
        <v>0</v>
      </c>
      <c r="S52" s="2" t="str">
        <f t="shared" si="7"/>
        <v>Weihnachten/Silvester</v>
      </c>
      <c r="T52" s="4">
        <v>7</v>
      </c>
      <c r="U52" s="4" t="str">
        <f t="shared" si="8"/>
        <v>Nein</v>
      </c>
      <c r="V52" s="4">
        <f t="shared" si="9"/>
        <v>0</v>
      </c>
      <c r="W52" s="19">
        <f t="shared" si="10"/>
        <v>2.29</v>
      </c>
      <c r="X52" s="5">
        <v>0</v>
      </c>
      <c r="Y52" s="28">
        <f t="shared" si="11"/>
        <v>0</v>
      </c>
      <c r="Z52" s="31" t="s">
        <v>172</v>
      </c>
      <c r="AA52" t="str">
        <f t="shared" si="12"/>
        <v>Kassenfehler (Überbestand)</v>
      </c>
    </row>
    <row r="53" spans="1:27" x14ac:dyDescent="0.35">
      <c r="A53" s="32" t="s">
        <v>14</v>
      </c>
      <c r="B53" s="2" t="str">
        <f>VLOOKUP(A53,Stammdaten!$A$3:$B$7,2,FALSE)</f>
        <v>Filiale Nord</v>
      </c>
      <c r="C53" s="3" t="str" cm="1">
        <f t="array" ref="C53">INDEX(Stammdaten!$A$11:$A$25,INT((ROW()-5)/12)+1 - INT((ROW()-5)/180)*15)</f>
        <v>A005</v>
      </c>
      <c r="D53" s="2" t="str">
        <f>VLOOKUP(C53,Stammdaten!$A$11:$B$25,2,FALSE)</f>
        <v>Gouda 200g</v>
      </c>
      <c r="E53" s="3" t="str">
        <f>VLOOKUP(C53,Stammdaten!$A$11:$C$25,3,FALSE)</f>
        <v>Käse</v>
      </c>
      <c r="F53" s="19">
        <f>VLOOKUP(C53,Stammdaten!$A$11:$D$25,4,FALSE)</f>
        <v>1.99</v>
      </c>
      <c r="G53" s="4">
        <f t="shared" si="0"/>
        <v>1</v>
      </c>
      <c r="H53" s="20" t="str">
        <f>VLOOKUP(G53,Stammdaten!$A$30:$B$41,2,FALSE)</f>
        <v>Januar</v>
      </c>
      <c r="I53" s="4">
        <v>270</v>
      </c>
      <c r="J53" s="4">
        <v>266</v>
      </c>
      <c r="K53" s="4">
        <f t="shared" si="1"/>
        <v>-4</v>
      </c>
      <c r="L53" s="27">
        <f t="shared" si="2"/>
        <v>-1.4814814814814816</v>
      </c>
      <c r="M53" s="52" t="str">
        <f t="shared" si="3"/>
        <v>Schwund</v>
      </c>
      <c r="N53" s="28">
        <f t="shared" si="4"/>
        <v>7.96</v>
      </c>
      <c r="O53" s="5">
        <v>15</v>
      </c>
      <c r="P53" s="4">
        <v>3</v>
      </c>
      <c r="Q53" s="28">
        <f t="shared" si="5"/>
        <v>1.99</v>
      </c>
      <c r="R53" s="50">
        <f t="shared" si="6"/>
        <v>2.3879999999999999</v>
      </c>
      <c r="S53" s="2" t="str">
        <f t="shared" si="7"/>
        <v>Normal</v>
      </c>
      <c r="T53" s="4">
        <v>0</v>
      </c>
      <c r="U53" s="4" t="str">
        <f t="shared" si="8"/>
        <v>Nein</v>
      </c>
      <c r="V53" s="4">
        <f t="shared" si="9"/>
        <v>0</v>
      </c>
      <c r="W53" s="19">
        <f t="shared" si="10"/>
        <v>1.99</v>
      </c>
      <c r="X53" s="5">
        <v>0</v>
      </c>
      <c r="Y53" s="28">
        <f t="shared" si="11"/>
        <v>0</v>
      </c>
      <c r="Z53" s="31" t="s">
        <v>172</v>
      </c>
      <c r="AA53" t="str">
        <f t="shared" si="12"/>
        <v>Normal/Gering</v>
      </c>
    </row>
    <row r="54" spans="1:27" x14ac:dyDescent="0.35">
      <c r="A54" s="32" t="s">
        <v>14</v>
      </c>
      <c r="B54" s="2" t="str">
        <f>VLOOKUP(A54,Stammdaten!$A$3:$B$7,2,FALSE)</f>
        <v>Filiale Nord</v>
      </c>
      <c r="C54" s="3" t="str" cm="1">
        <f t="array" ref="C54">INDEX(Stammdaten!$A$11:$A$25,INT((ROW()-5)/12)+1 - INT((ROW()-5)/180)*15)</f>
        <v>A005</v>
      </c>
      <c r="D54" s="2" t="str">
        <f>VLOOKUP(C54,Stammdaten!$A$11:$B$25,2,FALSE)</f>
        <v>Gouda 200g</v>
      </c>
      <c r="E54" s="3" t="str">
        <f>VLOOKUP(C54,Stammdaten!$A$11:$C$25,3,FALSE)</f>
        <v>Käse</v>
      </c>
      <c r="F54" s="19">
        <f>VLOOKUP(C54,Stammdaten!$A$11:$D$25,4,FALSE)</f>
        <v>1.99</v>
      </c>
      <c r="G54" s="4">
        <f t="shared" si="0"/>
        <v>2</v>
      </c>
      <c r="H54" s="20" t="str">
        <f>VLOOKUP(G54,Stammdaten!$A$30:$B$41,2,FALSE)</f>
        <v>Februar</v>
      </c>
      <c r="I54" s="4">
        <v>242</v>
      </c>
      <c r="J54" s="4">
        <v>242</v>
      </c>
      <c r="K54" s="4">
        <f t="shared" si="1"/>
        <v>0</v>
      </c>
      <c r="L54" s="27">
        <f t="shared" si="2"/>
        <v>0</v>
      </c>
      <c r="M54" s="52" t="str">
        <f t="shared" si="3"/>
        <v>Perfekt</v>
      </c>
      <c r="N54" s="28">
        <f t="shared" si="4"/>
        <v>0</v>
      </c>
      <c r="O54" s="5">
        <v>18</v>
      </c>
      <c r="P54" s="4">
        <v>7</v>
      </c>
      <c r="Q54" s="28">
        <f t="shared" si="5"/>
        <v>0</v>
      </c>
      <c r="R54" s="50">
        <f t="shared" si="6"/>
        <v>0</v>
      </c>
      <c r="S54" s="2" t="str">
        <f t="shared" si="7"/>
        <v>Karneval</v>
      </c>
      <c r="T54" s="4">
        <v>0</v>
      </c>
      <c r="U54" s="4" t="str">
        <f t="shared" si="8"/>
        <v>Nein</v>
      </c>
      <c r="V54" s="4">
        <f t="shared" si="9"/>
        <v>0</v>
      </c>
      <c r="W54" s="19">
        <f t="shared" si="10"/>
        <v>1.99</v>
      </c>
      <c r="X54" s="5">
        <v>0</v>
      </c>
      <c r="Y54" s="28">
        <f t="shared" si="11"/>
        <v>0</v>
      </c>
      <c r="Z54" s="31" t="s">
        <v>172</v>
      </c>
      <c r="AA54" t="str">
        <f t="shared" si="12"/>
        <v>Normal/Gering</v>
      </c>
    </row>
    <row r="55" spans="1:27" x14ac:dyDescent="0.35">
      <c r="A55" s="32" t="s">
        <v>14</v>
      </c>
      <c r="B55" s="2" t="str">
        <f>VLOOKUP(A55,Stammdaten!$A$3:$B$7,2,FALSE)</f>
        <v>Filiale Nord</v>
      </c>
      <c r="C55" s="3" t="str" cm="1">
        <f t="array" ref="C55">INDEX(Stammdaten!$A$11:$A$25,INT((ROW()-5)/12)+1 - INT((ROW()-5)/180)*15)</f>
        <v>A005</v>
      </c>
      <c r="D55" s="2" t="str">
        <f>VLOOKUP(C55,Stammdaten!$A$11:$B$25,2,FALSE)</f>
        <v>Gouda 200g</v>
      </c>
      <c r="E55" s="3" t="str">
        <f>VLOOKUP(C55,Stammdaten!$A$11:$C$25,3,FALSE)</f>
        <v>Käse</v>
      </c>
      <c r="F55" s="19">
        <f>VLOOKUP(C55,Stammdaten!$A$11:$D$25,4,FALSE)</f>
        <v>1.99</v>
      </c>
      <c r="G55" s="4">
        <f t="shared" si="0"/>
        <v>3</v>
      </c>
      <c r="H55" s="20" t="str">
        <f>VLOOKUP(G55,Stammdaten!$A$30:$B$41,2,FALSE)</f>
        <v>März</v>
      </c>
      <c r="I55" s="4">
        <v>318</v>
      </c>
      <c r="J55" s="4">
        <v>318</v>
      </c>
      <c r="K55" s="4">
        <f t="shared" si="1"/>
        <v>0</v>
      </c>
      <c r="L55" s="27">
        <f t="shared" si="2"/>
        <v>0</v>
      </c>
      <c r="M55" s="52" t="str">
        <f t="shared" si="3"/>
        <v>Perfekt</v>
      </c>
      <c r="N55" s="28">
        <f t="shared" si="4"/>
        <v>0</v>
      </c>
      <c r="O55" s="5">
        <v>1</v>
      </c>
      <c r="P55" s="4">
        <v>6</v>
      </c>
      <c r="Q55" s="28">
        <f t="shared" si="5"/>
        <v>0</v>
      </c>
      <c r="R55" s="50">
        <f t="shared" si="6"/>
        <v>0</v>
      </c>
      <c r="S55" s="2" t="str">
        <f t="shared" si="7"/>
        <v>Normal</v>
      </c>
      <c r="T55" s="4">
        <v>0</v>
      </c>
      <c r="U55" s="4" t="str">
        <f t="shared" si="8"/>
        <v>Ja - 20% Reduzierung</v>
      </c>
      <c r="V55" s="4">
        <f t="shared" si="9"/>
        <v>20</v>
      </c>
      <c r="W55" s="19">
        <f t="shared" si="10"/>
        <v>1.59</v>
      </c>
      <c r="X55" s="5">
        <v>19</v>
      </c>
      <c r="Y55" s="28">
        <f t="shared" si="11"/>
        <v>7.56</v>
      </c>
      <c r="Z55" s="31" t="s">
        <v>173</v>
      </c>
      <c r="AA55" t="str">
        <f t="shared" si="12"/>
        <v>Normal/Gering</v>
      </c>
    </row>
    <row r="56" spans="1:27" x14ac:dyDescent="0.35">
      <c r="A56" s="32" t="s">
        <v>14</v>
      </c>
      <c r="B56" s="2" t="str">
        <f>VLOOKUP(A56,Stammdaten!$A$3:$B$7,2,FALSE)</f>
        <v>Filiale Nord</v>
      </c>
      <c r="C56" s="3" t="str" cm="1">
        <f t="array" ref="C56">INDEX(Stammdaten!$A$11:$A$25,INT((ROW()-5)/12)+1 - INT((ROW()-5)/180)*15)</f>
        <v>A005</v>
      </c>
      <c r="D56" s="2" t="str">
        <f>VLOOKUP(C56,Stammdaten!$A$11:$B$25,2,FALSE)</f>
        <v>Gouda 200g</v>
      </c>
      <c r="E56" s="3" t="str">
        <f>VLOOKUP(C56,Stammdaten!$A$11:$C$25,3,FALSE)</f>
        <v>Käse</v>
      </c>
      <c r="F56" s="19">
        <f>VLOOKUP(C56,Stammdaten!$A$11:$D$25,4,FALSE)</f>
        <v>1.99</v>
      </c>
      <c r="G56" s="4">
        <f t="shared" si="0"/>
        <v>4</v>
      </c>
      <c r="H56" s="20" t="str">
        <f>VLOOKUP(G56,Stammdaten!$A$30:$B$41,2,FALSE)</f>
        <v>April</v>
      </c>
      <c r="I56" s="4">
        <v>356</v>
      </c>
      <c r="J56" s="4">
        <v>351</v>
      </c>
      <c r="K56" s="4">
        <f t="shared" si="1"/>
        <v>-5</v>
      </c>
      <c r="L56" s="27">
        <f t="shared" si="2"/>
        <v>-1.4044943820224718</v>
      </c>
      <c r="M56" s="52" t="str">
        <f t="shared" si="3"/>
        <v>Schwund</v>
      </c>
      <c r="N56" s="28">
        <f t="shared" si="4"/>
        <v>9.9499999999999993</v>
      </c>
      <c r="O56" s="5">
        <v>10</v>
      </c>
      <c r="P56" s="4">
        <v>0</v>
      </c>
      <c r="Q56" s="28">
        <f t="shared" si="5"/>
        <v>2.4874999999999998</v>
      </c>
      <c r="R56" s="50">
        <f t="shared" si="6"/>
        <v>2.9849999999999999</v>
      </c>
      <c r="S56" s="2" t="str">
        <f t="shared" si="7"/>
        <v>Ostern</v>
      </c>
      <c r="T56" s="4">
        <v>0</v>
      </c>
      <c r="U56" s="4" t="str">
        <f t="shared" si="8"/>
        <v>Nein</v>
      </c>
      <c r="V56" s="4">
        <f t="shared" si="9"/>
        <v>0</v>
      </c>
      <c r="W56" s="19">
        <f t="shared" si="10"/>
        <v>1.99</v>
      </c>
      <c r="X56" s="5">
        <v>0</v>
      </c>
      <c r="Y56" s="28">
        <f t="shared" si="11"/>
        <v>0</v>
      </c>
      <c r="Z56" s="31" t="s">
        <v>172</v>
      </c>
      <c r="AA56" t="str">
        <f t="shared" si="12"/>
        <v>Normal/Gering</v>
      </c>
    </row>
    <row r="57" spans="1:27" x14ac:dyDescent="0.35">
      <c r="A57" s="32" t="s">
        <v>14</v>
      </c>
      <c r="B57" s="2" t="str">
        <f>VLOOKUP(A57,Stammdaten!$A$3:$B$7,2,FALSE)</f>
        <v>Filiale Nord</v>
      </c>
      <c r="C57" s="3" t="str" cm="1">
        <f t="array" ref="C57">INDEX(Stammdaten!$A$11:$A$25,INT((ROW()-5)/12)+1 - INT((ROW()-5)/180)*15)</f>
        <v>A005</v>
      </c>
      <c r="D57" s="2" t="str">
        <f>VLOOKUP(C57,Stammdaten!$A$11:$B$25,2,FALSE)</f>
        <v>Gouda 200g</v>
      </c>
      <c r="E57" s="3" t="str">
        <f>VLOOKUP(C57,Stammdaten!$A$11:$C$25,3,FALSE)</f>
        <v>Käse</v>
      </c>
      <c r="F57" s="19">
        <f>VLOOKUP(C57,Stammdaten!$A$11:$D$25,4,FALSE)</f>
        <v>1.99</v>
      </c>
      <c r="G57" s="4">
        <f t="shared" si="0"/>
        <v>5</v>
      </c>
      <c r="H57" s="20" t="str">
        <f>VLOOKUP(G57,Stammdaten!$A$30:$B$41,2,FALSE)</f>
        <v>Mai</v>
      </c>
      <c r="I57" s="4">
        <v>309</v>
      </c>
      <c r="J57" s="4">
        <v>301</v>
      </c>
      <c r="K57" s="4">
        <f t="shared" si="1"/>
        <v>-8</v>
      </c>
      <c r="L57" s="27">
        <f t="shared" si="2"/>
        <v>-2.5889967637540456</v>
      </c>
      <c r="M57" s="52" t="str">
        <f t="shared" si="3"/>
        <v>Schwund</v>
      </c>
      <c r="N57" s="28">
        <f t="shared" si="4"/>
        <v>15.92</v>
      </c>
      <c r="O57" s="5">
        <v>14</v>
      </c>
      <c r="P57" s="4">
        <v>4</v>
      </c>
      <c r="Q57" s="28">
        <f t="shared" si="5"/>
        <v>3.98</v>
      </c>
      <c r="R57" s="50">
        <f t="shared" si="6"/>
        <v>4.7759999999999998</v>
      </c>
      <c r="S57" s="2" t="str">
        <f t="shared" si="7"/>
        <v>Normal</v>
      </c>
      <c r="T57" s="4">
        <v>0</v>
      </c>
      <c r="U57" s="4" t="str">
        <f t="shared" si="8"/>
        <v>Nein</v>
      </c>
      <c r="V57" s="4">
        <f t="shared" si="9"/>
        <v>0</v>
      </c>
      <c r="W57" s="19">
        <f t="shared" si="10"/>
        <v>1.99</v>
      </c>
      <c r="X57" s="5">
        <v>0</v>
      </c>
      <c r="Y57" s="28">
        <f t="shared" si="11"/>
        <v>0</v>
      </c>
      <c r="Z57" s="31" t="s">
        <v>172</v>
      </c>
      <c r="AA57" t="str">
        <f t="shared" si="12"/>
        <v>Prozessfehler</v>
      </c>
    </row>
    <row r="58" spans="1:27" x14ac:dyDescent="0.35">
      <c r="A58" s="32" t="s">
        <v>14</v>
      </c>
      <c r="B58" s="2" t="str">
        <f>VLOOKUP(A58,Stammdaten!$A$3:$B$7,2,FALSE)</f>
        <v>Filiale Nord</v>
      </c>
      <c r="C58" s="3" t="str" cm="1">
        <f t="array" ref="C58">INDEX(Stammdaten!$A$11:$A$25,INT((ROW()-5)/12)+1 - INT((ROW()-5)/180)*15)</f>
        <v>A005</v>
      </c>
      <c r="D58" s="2" t="str">
        <f>VLOOKUP(C58,Stammdaten!$A$11:$B$25,2,FALSE)</f>
        <v>Gouda 200g</v>
      </c>
      <c r="E58" s="3" t="str">
        <f>VLOOKUP(C58,Stammdaten!$A$11:$C$25,3,FALSE)</f>
        <v>Käse</v>
      </c>
      <c r="F58" s="19">
        <f>VLOOKUP(C58,Stammdaten!$A$11:$D$25,4,FALSE)</f>
        <v>1.99</v>
      </c>
      <c r="G58" s="4">
        <f t="shared" si="0"/>
        <v>6</v>
      </c>
      <c r="H58" s="20" t="str">
        <f>VLOOKUP(G58,Stammdaten!$A$30:$B$41,2,FALSE)</f>
        <v>Juni</v>
      </c>
      <c r="I58" s="4">
        <v>337</v>
      </c>
      <c r="J58" s="4">
        <v>326</v>
      </c>
      <c r="K58" s="4">
        <f t="shared" si="1"/>
        <v>-11</v>
      </c>
      <c r="L58" s="27">
        <f t="shared" si="2"/>
        <v>-3.2640949554896146</v>
      </c>
      <c r="M58" s="52" t="str">
        <f t="shared" si="3"/>
        <v>Schwund</v>
      </c>
      <c r="N58" s="28">
        <f t="shared" si="4"/>
        <v>21.89</v>
      </c>
      <c r="O58" s="5">
        <v>20</v>
      </c>
      <c r="P58" s="4">
        <v>5</v>
      </c>
      <c r="Q58" s="28">
        <f t="shared" si="5"/>
        <v>5.4725000000000001</v>
      </c>
      <c r="R58" s="50">
        <f t="shared" si="6"/>
        <v>6.5670000000000002</v>
      </c>
      <c r="S58" s="2" t="str">
        <f t="shared" si="7"/>
        <v>Normal</v>
      </c>
      <c r="T58" s="4">
        <v>0</v>
      </c>
      <c r="U58" s="4" t="str">
        <f t="shared" si="8"/>
        <v>Nein</v>
      </c>
      <c r="V58" s="4">
        <f t="shared" si="9"/>
        <v>0</v>
      </c>
      <c r="W58" s="19">
        <f t="shared" si="10"/>
        <v>1.99</v>
      </c>
      <c r="X58" s="5">
        <v>0</v>
      </c>
      <c r="Y58" s="28">
        <f t="shared" si="11"/>
        <v>0</v>
      </c>
      <c r="Z58" s="31" t="s">
        <v>172</v>
      </c>
      <c r="AA58" t="str">
        <f t="shared" si="12"/>
        <v>Prozessfehler</v>
      </c>
    </row>
    <row r="59" spans="1:27" x14ac:dyDescent="0.35">
      <c r="A59" s="32" t="s">
        <v>14</v>
      </c>
      <c r="B59" s="2" t="str">
        <f>VLOOKUP(A59,Stammdaten!$A$3:$B$7,2,FALSE)</f>
        <v>Filiale Nord</v>
      </c>
      <c r="C59" s="3" t="str" cm="1">
        <f t="array" ref="C59">INDEX(Stammdaten!$A$11:$A$25,INT((ROW()-5)/12)+1 - INT((ROW()-5)/180)*15)</f>
        <v>A005</v>
      </c>
      <c r="D59" s="2" t="str">
        <f>VLOOKUP(C59,Stammdaten!$A$11:$B$25,2,FALSE)</f>
        <v>Gouda 200g</v>
      </c>
      <c r="E59" s="3" t="str">
        <f>VLOOKUP(C59,Stammdaten!$A$11:$C$25,3,FALSE)</f>
        <v>Käse</v>
      </c>
      <c r="F59" s="19">
        <f>VLOOKUP(C59,Stammdaten!$A$11:$D$25,4,FALSE)</f>
        <v>1.99</v>
      </c>
      <c r="G59" s="4">
        <f t="shared" si="0"/>
        <v>7</v>
      </c>
      <c r="H59" s="20" t="str">
        <f>VLOOKUP(G59,Stammdaten!$A$30:$B$41,2,FALSE)</f>
        <v>Juli</v>
      </c>
      <c r="I59" s="4">
        <v>364</v>
      </c>
      <c r="J59" s="4">
        <v>371</v>
      </c>
      <c r="K59" s="4">
        <f t="shared" si="1"/>
        <v>7</v>
      </c>
      <c r="L59" s="27">
        <f t="shared" si="2"/>
        <v>1.9230769230769231</v>
      </c>
      <c r="M59" s="52" t="str">
        <f t="shared" si="3"/>
        <v>Überbestand</v>
      </c>
      <c r="N59" s="28">
        <f t="shared" si="4"/>
        <v>13.93</v>
      </c>
      <c r="O59" s="5">
        <v>14</v>
      </c>
      <c r="P59" s="4">
        <v>3</v>
      </c>
      <c r="Q59" s="28">
        <f t="shared" si="5"/>
        <v>0</v>
      </c>
      <c r="R59" s="50">
        <f t="shared" si="6"/>
        <v>0</v>
      </c>
      <c r="S59" s="2" t="str">
        <f t="shared" si="7"/>
        <v>Normal</v>
      </c>
      <c r="T59" s="4">
        <v>7</v>
      </c>
      <c r="U59" s="4" t="str">
        <f t="shared" si="8"/>
        <v>Nein</v>
      </c>
      <c r="V59" s="4">
        <f t="shared" si="9"/>
        <v>0</v>
      </c>
      <c r="W59" s="19">
        <f t="shared" si="10"/>
        <v>1.99</v>
      </c>
      <c r="X59" s="5">
        <v>0</v>
      </c>
      <c r="Y59" s="28">
        <f t="shared" si="11"/>
        <v>0</v>
      </c>
      <c r="Z59" s="31" t="s">
        <v>172</v>
      </c>
      <c r="AA59" t="str">
        <f t="shared" si="12"/>
        <v>Kassenfehler (Überbestand)</v>
      </c>
    </row>
    <row r="60" spans="1:27" x14ac:dyDescent="0.35">
      <c r="A60" s="32" t="s">
        <v>14</v>
      </c>
      <c r="B60" s="2" t="str">
        <f>VLOOKUP(A60,Stammdaten!$A$3:$B$7,2,FALSE)</f>
        <v>Filiale Nord</v>
      </c>
      <c r="C60" s="3" t="str" cm="1">
        <f t="array" ref="C60">INDEX(Stammdaten!$A$11:$A$25,INT((ROW()-5)/12)+1 - INT((ROW()-5)/180)*15)</f>
        <v>A005</v>
      </c>
      <c r="D60" s="2" t="str">
        <f>VLOOKUP(C60,Stammdaten!$A$11:$B$25,2,FALSE)</f>
        <v>Gouda 200g</v>
      </c>
      <c r="E60" s="3" t="str">
        <f>VLOOKUP(C60,Stammdaten!$A$11:$C$25,3,FALSE)</f>
        <v>Käse</v>
      </c>
      <c r="F60" s="19">
        <f>VLOOKUP(C60,Stammdaten!$A$11:$D$25,4,FALSE)</f>
        <v>1.99</v>
      </c>
      <c r="G60" s="4">
        <f t="shared" si="0"/>
        <v>8</v>
      </c>
      <c r="H60" s="20" t="str">
        <f>VLOOKUP(G60,Stammdaten!$A$30:$B$41,2,FALSE)</f>
        <v>August</v>
      </c>
      <c r="I60" s="4">
        <v>338</v>
      </c>
      <c r="J60" s="4">
        <v>333</v>
      </c>
      <c r="K60" s="4">
        <f t="shared" si="1"/>
        <v>-5</v>
      </c>
      <c r="L60" s="27">
        <f t="shared" si="2"/>
        <v>-1.4792899408284024</v>
      </c>
      <c r="M60" s="52" t="str">
        <f t="shared" si="3"/>
        <v>Schwund</v>
      </c>
      <c r="N60" s="28">
        <f t="shared" si="4"/>
        <v>9.9499999999999993</v>
      </c>
      <c r="O60" s="5">
        <v>18</v>
      </c>
      <c r="P60" s="4">
        <v>6</v>
      </c>
      <c r="Q60" s="28">
        <f t="shared" si="5"/>
        <v>2.4874999999999998</v>
      </c>
      <c r="R60" s="50">
        <f t="shared" si="6"/>
        <v>2.9849999999999999</v>
      </c>
      <c r="S60" s="2" t="str">
        <f t="shared" si="7"/>
        <v>Normal</v>
      </c>
      <c r="T60" s="4">
        <v>0</v>
      </c>
      <c r="U60" s="4" t="str">
        <f t="shared" si="8"/>
        <v>Nein</v>
      </c>
      <c r="V60" s="4">
        <f t="shared" si="9"/>
        <v>0</v>
      </c>
      <c r="W60" s="19">
        <f t="shared" si="10"/>
        <v>1.99</v>
      </c>
      <c r="X60" s="5">
        <v>0</v>
      </c>
      <c r="Y60" s="28">
        <f t="shared" si="11"/>
        <v>0</v>
      </c>
      <c r="Z60" s="31" t="s">
        <v>172</v>
      </c>
      <c r="AA60" t="str">
        <f t="shared" si="12"/>
        <v>Normal/Gering</v>
      </c>
    </row>
    <row r="61" spans="1:27" x14ac:dyDescent="0.35">
      <c r="A61" s="32" t="s">
        <v>14</v>
      </c>
      <c r="B61" s="2" t="str">
        <f>VLOOKUP(A61,Stammdaten!$A$3:$B$7,2,FALSE)</f>
        <v>Filiale Nord</v>
      </c>
      <c r="C61" s="3" t="str" cm="1">
        <f t="array" ref="C61">INDEX(Stammdaten!$A$11:$A$25,INT((ROW()-5)/12)+1 - INT((ROW()-5)/180)*15)</f>
        <v>A005</v>
      </c>
      <c r="D61" s="2" t="str">
        <f>VLOOKUP(C61,Stammdaten!$A$11:$B$25,2,FALSE)</f>
        <v>Gouda 200g</v>
      </c>
      <c r="E61" s="3" t="str">
        <f>VLOOKUP(C61,Stammdaten!$A$11:$C$25,3,FALSE)</f>
        <v>Käse</v>
      </c>
      <c r="F61" s="19">
        <f>VLOOKUP(C61,Stammdaten!$A$11:$D$25,4,FALSE)</f>
        <v>1.99</v>
      </c>
      <c r="G61" s="4">
        <f t="shared" si="0"/>
        <v>9</v>
      </c>
      <c r="H61" s="20" t="str">
        <f>VLOOKUP(G61,Stammdaten!$A$30:$B$41,2,FALSE)</f>
        <v>September</v>
      </c>
      <c r="I61" s="4">
        <v>296</v>
      </c>
      <c r="J61" s="4">
        <v>291</v>
      </c>
      <c r="K61" s="4">
        <f t="shared" si="1"/>
        <v>-5</v>
      </c>
      <c r="L61" s="27">
        <f t="shared" si="2"/>
        <v>-1.6891891891891893</v>
      </c>
      <c r="M61" s="52" t="str">
        <f t="shared" si="3"/>
        <v>Schwund</v>
      </c>
      <c r="N61" s="28">
        <f t="shared" si="4"/>
        <v>9.9499999999999993</v>
      </c>
      <c r="O61" s="5">
        <v>21</v>
      </c>
      <c r="P61" s="4">
        <v>0</v>
      </c>
      <c r="Q61" s="28">
        <f t="shared" si="5"/>
        <v>2.4874999999999998</v>
      </c>
      <c r="R61" s="50">
        <f t="shared" si="6"/>
        <v>2.9849999999999999</v>
      </c>
      <c r="S61" s="2" t="str">
        <f t="shared" si="7"/>
        <v>Normal</v>
      </c>
      <c r="T61" s="4">
        <v>0</v>
      </c>
      <c r="U61" s="4" t="str">
        <f t="shared" si="8"/>
        <v>Nein</v>
      </c>
      <c r="V61" s="4">
        <f t="shared" si="9"/>
        <v>0</v>
      </c>
      <c r="W61" s="19">
        <f t="shared" si="10"/>
        <v>1.99</v>
      </c>
      <c r="X61" s="5">
        <v>0</v>
      </c>
      <c r="Y61" s="28">
        <f t="shared" si="11"/>
        <v>0</v>
      </c>
      <c r="Z61" s="31" t="s">
        <v>172</v>
      </c>
      <c r="AA61" t="str">
        <f t="shared" si="12"/>
        <v>Normal/Gering</v>
      </c>
    </row>
    <row r="62" spans="1:27" x14ac:dyDescent="0.35">
      <c r="A62" s="32" t="s">
        <v>14</v>
      </c>
      <c r="B62" s="2" t="str">
        <f>VLOOKUP(A62,Stammdaten!$A$3:$B$7,2,FALSE)</f>
        <v>Filiale Nord</v>
      </c>
      <c r="C62" s="3" t="str" cm="1">
        <f t="array" ref="C62">INDEX(Stammdaten!$A$11:$A$25,INT((ROW()-5)/12)+1 - INT((ROW()-5)/180)*15)</f>
        <v>A005</v>
      </c>
      <c r="D62" s="2" t="str">
        <f>VLOOKUP(C62,Stammdaten!$A$11:$B$25,2,FALSE)</f>
        <v>Gouda 200g</v>
      </c>
      <c r="E62" s="3" t="str">
        <f>VLOOKUP(C62,Stammdaten!$A$11:$C$25,3,FALSE)</f>
        <v>Käse</v>
      </c>
      <c r="F62" s="19">
        <f>VLOOKUP(C62,Stammdaten!$A$11:$D$25,4,FALSE)</f>
        <v>1.99</v>
      </c>
      <c r="G62" s="4">
        <f t="shared" si="0"/>
        <v>10</v>
      </c>
      <c r="H62" s="20" t="str">
        <f>VLOOKUP(G62,Stammdaten!$A$30:$B$41,2,FALSE)</f>
        <v>Oktober</v>
      </c>
      <c r="I62" s="4">
        <v>288</v>
      </c>
      <c r="J62" s="4">
        <v>279</v>
      </c>
      <c r="K62" s="4">
        <f t="shared" si="1"/>
        <v>-9</v>
      </c>
      <c r="L62" s="27">
        <f t="shared" si="2"/>
        <v>-3.125</v>
      </c>
      <c r="M62" s="52" t="str">
        <f t="shared" si="3"/>
        <v>Schwund</v>
      </c>
      <c r="N62" s="28">
        <f t="shared" si="4"/>
        <v>17.91</v>
      </c>
      <c r="O62" s="5">
        <v>4</v>
      </c>
      <c r="P62" s="4">
        <v>7</v>
      </c>
      <c r="Q62" s="28">
        <f t="shared" si="5"/>
        <v>4.4775</v>
      </c>
      <c r="R62" s="50">
        <f t="shared" si="6"/>
        <v>5.3730000000000002</v>
      </c>
      <c r="S62" s="2" t="str">
        <f t="shared" si="7"/>
        <v>Normal</v>
      </c>
      <c r="T62" s="4">
        <v>0</v>
      </c>
      <c r="U62" s="4" t="str">
        <f t="shared" si="8"/>
        <v>Nein</v>
      </c>
      <c r="V62" s="4">
        <f t="shared" si="9"/>
        <v>0</v>
      </c>
      <c r="W62" s="19">
        <f t="shared" si="10"/>
        <v>1.99</v>
      </c>
      <c r="X62" s="5">
        <v>0</v>
      </c>
      <c r="Y62" s="28">
        <f t="shared" si="11"/>
        <v>0</v>
      </c>
      <c r="Z62" s="31" t="s">
        <v>172</v>
      </c>
      <c r="AA62" t="str">
        <f t="shared" si="12"/>
        <v>Prozessfehler</v>
      </c>
    </row>
    <row r="63" spans="1:27" x14ac:dyDescent="0.35">
      <c r="A63" s="32" t="s">
        <v>14</v>
      </c>
      <c r="B63" s="2" t="str">
        <f>VLOOKUP(A63,Stammdaten!$A$3:$B$7,2,FALSE)</f>
        <v>Filiale Nord</v>
      </c>
      <c r="C63" s="3" t="str" cm="1">
        <f t="array" ref="C63">INDEX(Stammdaten!$A$11:$A$25,INT((ROW()-5)/12)+1 - INT((ROW()-5)/180)*15)</f>
        <v>A005</v>
      </c>
      <c r="D63" s="2" t="str">
        <f>VLOOKUP(C63,Stammdaten!$A$11:$B$25,2,FALSE)</f>
        <v>Gouda 200g</v>
      </c>
      <c r="E63" s="3" t="str">
        <f>VLOOKUP(C63,Stammdaten!$A$11:$C$25,3,FALSE)</f>
        <v>Käse</v>
      </c>
      <c r="F63" s="19">
        <f>VLOOKUP(C63,Stammdaten!$A$11:$D$25,4,FALSE)</f>
        <v>1.99</v>
      </c>
      <c r="G63" s="4">
        <f t="shared" si="0"/>
        <v>11</v>
      </c>
      <c r="H63" s="20" t="str">
        <f>VLOOKUP(G63,Stammdaten!$A$30:$B$41,2,FALSE)</f>
        <v>November</v>
      </c>
      <c r="I63" s="4">
        <v>340</v>
      </c>
      <c r="J63" s="4">
        <v>342</v>
      </c>
      <c r="K63" s="4">
        <f t="shared" si="1"/>
        <v>2</v>
      </c>
      <c r="L63" s="27">
        <f t="shared" si="2"/>
        <v>0.58823529411764708</v>
      </c>
      <c r="M63" s="52" t="str">
        <f t="shared" si="3"/>
        <v>Überbestand</v>
      </c>
      <c r="N63" s="28">
        <f t="shared" si="4"/>
        <v>3.98</v>
      </c>
      <c r="O63" s="5">
        <v>10</v>
      </c>
      <c r="P63" s="4">
        <v>5</v>
      </c>
      <c r="Q63" s="28">
        <f t="shared" si="5"/>
        <v>0</v>
      </c>
      <c r="R63" s="50">
        <f t="shared" si="6"/>
        <v>0</v>
      </c>
      <c r="S63" s="2" t="str">
        <f t="shared" si="7"/>
        <v>Black Friday</v>
      </c>
      <c r="T63" s="4">
        <v>2</v>
      </c>
      <c r="U63" s="4" t="str">
        <f t="shared" si="8"/>
        <v>Nein</v>
      </c>
      <c r="V63" s="4">
        <f t="shared" si="9"/>
        <v>0</v>
      </c>
      <c r="W63" s="19">
        <f t="shared" si="10"/>
        <v>1.99</v>
      </c>
      <c r="X63" s="5">
        <v>0</v>
      </c>
      <c r="Y63" s="28">
        <f t="shared" si="11"/>
        <v>0</v>
      </c>
      <c r="Z63" s="31" t="s">
        <v>172</v>
      </c>
      <c r="AA63" t="str">
        <f t="shared" si="12"/>
        <v>Kassenfehler (Überbestand)</v>
      </c>
    </row>
    <row r="64" spans="1:27" x14ac:dyDescent="0.35">
      <c r="A64" s="32" t="s">
        <v>14</v>
      </c>
      <c r="B64" s="2" t="str">
        <f>VLOOKUP(A64,Stammdaten!$A$3:$B$7,2,FALSE)</f>
        <v>Filiale Nord</v>
      </c>
      <c r="C64" s="3" t="str" cm="1">
        <f t="array" ref="C64">INDEX(Stammdaten!$A$11:$A$25,INT((ROW()-5)/12)+1 - INT((ROW()-5)/180)*15)</f>
        <v>A005</v>
      </c>
      <c r="D64" s="2" t="str">
        <f>VLOOKUP(C64,Stammdaten!$A$11:$B$25,2,FALSE)</f>
        <v>Gouda 200g</v>
      </c>
      <c r="E64" s="3" t="str">
        <f>VLOOKUP(C64,Stammdaten!$A$11:$C$25,3,FALSE)</f>
        <v>Käse</v>
      </c>
      <c r="F64" s="19">
        <f>VLOOKUP(C64,Stammdaten!$A$11:$D$25,4,FALSE)</f>
        <v>1.99</v>
      </c>
      <c r="G64" s="4">
        <f t="shared" si="0"/>
        <v>12</v>
      </c>
      <c r="H64" s="20" t="str">
        <f>VLOOKUP(G64,Stammdaten!$A$30:$B$41,2,FALSE)</f>
        <v>Dezember</v>
      </c>
      <c r="I64" s="4">
        <v>399</v>
      </c>
      <c r="J64" s="4">
        <v>406</v>
      </c>
      <c r="K64" s="4">
        <f t="shared" si="1"/>
        <v>7</v>
      </c>
      <c r="L64" s="27">
        <f t="shared" si="2"/>
        <v>1.7543859649122806</v>
      </c>
      <c r="M64" s="52" t="str">
        <f t="shared" si="3"/>
        <v>Überbestand</v>
      </c>
      <c r="N64" s="28">
        <f t="shared" si="4"/>
        <v>13.93</v>
      </c>
      <c r="O64" s="5">
        <v>16</v>
      </c>
      <c r="P64" s="4">
        <v>2</v>
      </c>
      <c r="Q64" s="28">
        <f t="shared" si="5"/>
        <v>0</v>
      </c>
      <c r="R64" s="50">
        <f t="shared" si="6"/>
        <v>0</v>
      </c>
      <c r="S64" s="2" t="str">
        <f t="shared" si="7"/>
        <v>Weihnachten/Silvester</v>
      </c>
      <c r="T64" s="4">
        <v>7</v>
      </c>
      <c r="U64" s="4" t="str">
        <f t="shared" si="8"/>
        <v>Nein</v>
      </c>
      <c r="V64" s="4">
        <f t="shared" si="9"/>
        <v>0</v>
      </c>
      <c r="W64" s="19">
        <f t="shared" si="10"/>
        <v>1.99</v>
      </c>
      <c r="X64" s="5">
        <v>0</v>
      </c>
      <c r="Y64" s="28">
        <f t="shared" si="11"/>
        <v>0</v>
      </c>
      <c r="Z64" s="31" t="s">
        <v>172</v>
      </c>
      <c r="AA64" t="str">
        <f t="shared" si="12"/>
        <v>Kassenfehler (Überbestand)</v>
      </c>
    </row>
    <row r="65" spans="1:27" x14ac:dyDescent="0.35">
      <c r="A65" s="32" t="s">
        <v>14</v>
      </c>
      <c r="B65" s="2" t="str">
        <f>VLOOKUP(A65,Stammdaten!$A$3:$B$7,2,FALSE)</f>
        <v>Filiale Nord</v>
      </c>
      <c r="C65" s="3" t="str" cm="1">
        <f t="array" ref="C65">INDEX(Stammdaten!$A$11:$A$25,INT((ROW()-5)/12)+1 - INT((ROW()-5)/180)*15)</f>
        <v>A006</v>
      </c>
      <c r="D65" s="2" t="str">
        <f>VLOOKUP(C65,Stammdaten!$A$11:$B$25,2,FALSE)</f>
        <v>Emmentaler 200g</v>
      </c>
      <c r="E65" s="3" t="str">
        <f>VLOOKUP(C65,Stammdaten!$A$11:$C$25,3,FALSE)</f>
        <v>Käse</v>
      </c>
      <c r="F65" s="19">
        <f>VLOOKUP(C65,Stammdaten!$A$11:$D$25,4,FALSE)</f>
        <v>2.4900000000000002</v>
      </c>
      <c r="G65" s="4">
        <f t="shared" si="0"/>
        <v>1</v>
      </c>
      <c r="H65" s="20" t="str">
        <f>VLOOKUP(G65,Stammdaten!$A$30:$B$41,2,FALSE)</f>
        <v>Januar</v>
      </c>
      <c r="I65" s="4">
        <v>234</v>
      </c>
      <c r="J65" s="4">
        <v>232</v>
      </c>
      <c r="K65" s="4">
        <f t="shared" si="1"/>
        <v>-2</v>
      </c>
      <c r="L65" s="27">
        <f t="shared" si="2"/>
        <v>-0.85470085470085477</v>
      </c>
      <c r="M65" s="52" t="str">
        <f t="shared" si="3"/>
        <v>Schwund</v>
      </c>
      <c r="N65" s="28">
        <f t="shared" si="4"/>
        <v>4.9800000000000004</v>
      </c>
      <c r="O65" s="5">
        <v>6</v>
      </c>
      <c r="P65" s="4">
        <v>5</v>
      </c>
      <c r="Q65" s="28">
        <f t="shared" si="5"/>
        <v>1.2450000000000001</v>
      </c>
      <c r="R65" s="50">
        <f t="shared" si="6"/>
        <v>1.494</v>
      </c>
      <c r="S65" s="2" t="str">
        <f t="shared" si="7"/>
        <v>Normal</v>
      </c>
      <c r="T65" s="4">
        <v>0</v>
      </c>
      <c r="U65" s="4" t="str">
        <f t="shared" si="8"/>
        <v>Nein</v>
      </c>
      <c r="V65" s="4">
        <f t="shared" si="9"/>
        <v>0</v>
      </c>
      <c r="W65" s="19">
        <f t="shared" si="10"/>
        <v>2.4900000000000002</v>
      </c>
      <c r="X65" s="5">
        <v>0</v>
      </c>
      <c r="Y65" s="28">
        <f t="shared" si="11"/>
        <v>0</v>
      </c>
      <c r="Z65" s="31" t="s">
        <v>172</v>
      </c>
      <c r="AA65" t="str">
        <f t="shared" si="12"/>
        <v>Normal/Gering</v>
      </c>
    </row>
    <row r="66" spans="1:27" x14ac:dyDescent="0.35">
      <c r="A66" s="32" t="s">
        <v>14</v>
      </c>
      <c r="B66" s="2" t="str">
        <f>VLOOKUP(A66,Stammdaten!$A$3:$B$7,2,FALSE)</f>
        <v>Filiale Nord</v>
      </c>
      <c r="C66" s="3" t="str" cm="1">
        <f t="array" ref="C66">INDEX(Stammdaten!$A$11:$A$25,INT((ROW()-5)/12)+1 - INT((ROW()-5)/180)*15)</f>
        <v>A006</v>
      </c>
      <c r="D66" s="2" t="str">
        <f>VLOOKUP(C66,Stammdaten!$A$11:$B$25,2,FALSE)</f>
        <v>Emmentaler 200g</v>
      </c>
      <c r="E66" s="3" t="str">
        <f>VLOOKUP(C66,Stammdaten!$A$11:$C$25,3,FALSE)</f>
        <v>Käse</v>
      </c>
      <c r="F66" s="19">
        <f>VLOOKUP(C66,Stammdaten!$A$11:$D$25,4,FALSE)</f>
        <v>2.4900000000000002</v>
      </c>
      <c r="G66" s="4">
        <f t="shared" si="0"/>
        <v>2</v>
      </c>
      <c r="H66" s="20" t="str">
        <f>VLOOKUP(G66,Stammdaten!$A$30:$B$41,2,FALSE)</f>
        <v>Februar</v>
      </c>
      <c r="I66" s="4">
        <v>202</v>
      </c>
      <c r="J66" s="4">
        <v>197</v>
      </c>
      <c r="K66" s="4">
        <f t="shared" si="1"/>
        <v>-5</v>
      </c>
      <c r="L66" s="27">
        <f t="shared" si="2"/>
        <v>-2.4752475247524752</v>
      </c>
      <c r="M66" s="52" t="str">
        <f t="shared" si="3"/>
        <v>Schwund</v>
      </c>
      <c r="N66" s="28">
        <f t="shared" si="4"/>
        <v>12.450000000000001</v>
      </c>
      <c r="O66" s="5">
        <v>20</v>
      </c>
      <c r="P66" s="4">
        <v>3</v>
      </c>
      <c r="Q66" s="28">
        <f t="shared" si="5"/>
        <v>3.1125000000000003</v>
      </c>
      <c r="R66" s="50">
        <f t="shared" si="6"/>
        <v>3.7350000000000003</v>
      </c>
      <c r="S66" s="2" t="str">
        <f t="shared" si="7"/>
        <v>Karneval</v>
      </c>
      <c r="T66" s="4">
        <v>0</v>
      </c>
      <c r="U66" s="4" t="str">
        <f t="shared" si="8"/>
        <v>Nein</v>
      </c>
      <c r="V66" s="4">
        <f t="shared" si="9"/>
        <v>0</v>
      </c>
      <c r="W66" s="19">
        <f t="shared" si="10"/>
        <v>2.4900000000000002</v>
      </c>
      <c r="X66" s="5">
        <v>0</v>
      </c>
      <c r="Y66" s="28">
        <f t="shared" si="11"/>
        <v>0</v>
      </c>
      <c r="Z66" s="31" t="s">
        <v>172</v>
      </c>
      <c r="AA66" t="str">
        <f t="shared" si="12"/>
        <v>Prozessfehler</v>
      </c>
    </row>
    <row r="67" spans="1:27" x14ac:dyDescent="0.35">
      <c r="A67" s="32" t="s">
        <v>14</v>
      </c>
      <c r="B67" s="2" t="str">
        <f>VLOOKUP(A67,Stammdaten!$A$3:$B$7,2,FALSE)</f>
        <v>Filiale Nord</v>
      </c>
      <c r="C67" s="3" t="str" cm="1">
        <f t="array" ref="C67">INDEX(Stammdaten!$A$11:$A$25,INT((ROW()-5)/12)+1 - INT((ROW()-5)/180)*15)</f>
        <v>A006</v>
      </c>
      <c r="D67" s="2" t="str">
        <f>VLOOKUP(C67,Stammdaten!$A$11:$B$25,2,FALSE)</f>
        <v>Emmentaler 200g</v>
      </c>
      <c r="E67" s="3" t="str">
        <f>VLOOKUP(C67,Stammdaten!$A$11:$C$25,3,FALSE)</f>
        <v>Käse</v>
      </c>
      <c r="F67" s="19">
        <f>VLOOKUP(C67,Stammdaten!$A$11:$D$25,4,FALSE)</f>
        <v>2.4900000000000002</v>
      </c>
      <c r="G67" s="4">
        <f t="shared" si="0"/>
        <v>3</v>
      </c>
      <c r="H67" s="20" t="str">
        <f>VLOOKUP(G67,Stammdaten!$A$30:$B$41,2,FALSE)</f>
        <v>März</v>
      </c>
      <c r="I67" s="4">
        <v>273</v>
      </c>
      <c r="J67" s="4">
        <v>268</v>
      </c>
      <c r="K67" s="4">
        <f t="shared" si="1"/>
        <v>-5</v>
      </c>
      <c r="L67" s="27">
        <f t="shared" si="2"/>
        <v>-1.8315018315018317</v>
      </c>
      <c r="M67" s="52" t="str">
        <f t="shared" si="3"/>
        <v>Schwund</v>
      </c>
      <c r="N67" s="28">
        <f t="shared" si="4"/>
        <v>12.450000000000001</v>
      </c>
      <c r="O67" s="5">
        <v>3</v>
      </c>
      <c r="P67" s="4">
        <v>0</v>
      </c>
      <c r="Q67" s="28">
        <f t="shared" si="5"/>
        <v>3.1125000000000003</v>
      </c>
      <c r="R67" s="50">
        <f t="shared" si="6"/>
        <v>3.7350000000000003</v>
      </c>
      <c r="S67" s="2" t="str">
        <f t="shared" si="7"/>
        <v>Normal</v>
      </c>
      <c r="T67" s="4">
        <v>0</v>
      </c>
      <c r="U67" s="4" t="str">
        <f t="shared" si="8"/>
        <v>Ja - 20% Reduzierung</v>
      </c>
      <c r="V67" s="4">
        <f t="shared" si="9"/>
        <v>20</v>
      </c>
      <c r="W67" s="19">
        <f t="shared" si="10"/>
        <v>1.99</v>
      </c>
      <c r="X67" s="5">
        <v>25</v>
      </c>
      <c r="Y67" s="28">
        <f t="shared" si="11"/>
        <v>12.45</v>
      </c>
      <c r="Z67" s="31" t="s">
        <v>173</v>
      </c>
      <c r="AA67" t="str">
        <f t="shared" si="12"/>
        <v>Normal/Gering</v>
      </c>
    </row>
    <row r="68" spans="1:27" x14ac:dyDescent="0.35">
      <c r="A68" s="32" t="s">
        <v>14</v>
      </c>
      <c r="B68" s="2" t="str">
        <f>VLOOKUP(A68,Stammdaten!$A$3:$B$7,2,FALSE)</f>
        <v>Filiale Nord</v>
      </c>
      <c r="C68" s="3" t="str" cm="1">
        <f t="array" ref="C68">INDEX(Stammdaten!$A$11:$A$25,INT((ROW()-5)/12)+1 - INT((ROW()-5)/180)*15)</f>
        <v>A006</v>
      </c>
      <c r="D68" s="2" t="str">
        <f>VLOOKUP(C68,Stammdaten!$A$11:$B$25,2,FALSE)</f>
        <v>Emmentaler 200g</v>
      </c>
      <c r="E68" s="3" t="str">
        <f>VLOOKUP(C68,Stammdaten!$A$11:$C$25,3,FALSE)</f>
        <v>Käse</v>
      </c>
      <c r="F68" s="19">
        <f>VLOOKUP(C68,Stammdaten!$A$11:$D$25,4,FALSE)</f>
        <v>2.4900000000000002</v>
      </c>
      <c r="G68" s="4">
        <f t="shared" si="0"/>
        <v>4</v>
      </c>
      <c r="H68" s="20" t="str">
        <f>VLOOKUP(G68,Stammdaten!$A$30:$B$41,2,FALSE)</f>
        <v>April</v>
      </c>
      <c r="I68" s="4">
        <v>316</v>
      </c>
      <c r="J68" s="4">
        <v>305</v>
      </c>
      <c r="K68" s="4">
        <f t="shared" si="1"/>
        <v>-11</v>
      </c>
      <c r="L68" s="27">
        <f t="shared" si="2"/>
        <v>-3.481012658227848</v>
      </c>
      <c r="M68" s="52" t="str">
        <f t="shared" si="3"/>
        <v>Schwund</v>
      </c>
      <c r="N68" s="28">
        <f t="shared" si="4"/>
        <v>27.39</v>
      </c>
      <c r="O68" s="5">
        <v>0</v>
      </c>
      <c r="P68" s="4">
        <v>4</v>
      </c>
      <c r="Q68" s="28">
        <f t="shared" si="5"/>
        <v>6.8475000000000001</v>
      </c>
      <c r="R68" s="50">
        <f t="shared" si="6"/>
        <v>8.2170000000000005</v>
      </c>
      <c r="S68" s="2" t="str">
        <f t="shared" si="7"/>
        <v>Ostern</v>
      </c>
      <c r="T68" s="4">
        <v>0</v>
      </c>
      <c r="U68" s="4" t="str">
        <f t="shared" si="8"/>
        <v>Abschreibung</v>
      </c>
      <c r="V68" s="4">
        <f t="shared" si="9"/>
        <v>100</v>
      </c>
      <c r="W68" s="19">
        <f t="shared" si="10"/>
        <v>0</v>
      </c>
      <c r="X68" s="5">
        <v>6</v>
      </c>
      <c r="Y68" s="28">
        <f t="shared" si="11"/>
        <v>14.94</v>
      </c>
      <c r="Z68" s="31" t="s">
        <v>173</v>
      </c>
      <c r="AA68" t="str">
        <f t="shared" si="12"/>
        <v>Verderb - Abgelaufen</v>
      </c>
    </row>
    <row r="69" spans="1:27" x14ac:dyDescent="0.35">
      <c r="A69" s="32" t="s">
        <v>14</v>
      </c>
      <c r="B69" s="2" t="str">
        <f>VLOOKUP(A69,Stammdaten!$A$3:$B$7,2,FALSE)</f>
        <v>Filiale Nord</v>
      </c>
      <c r="C69" s="3" t="str" cm="1">
        <f t="array" ref="C69">INDEX(Stammdaten!$A$11:$A$25,INT((ROW()-5)/12)+1 - INT((ROW()-5)/180)*15)</f>
        <v>A006</v>
      </c>
      <c r="D69" s="2" t="str">
        <f>VLOOKUP(C69,Stammdaten!$A$11:$B$25,2,FALSE)</f>
        <v>Emmentaler 200g</v>
      </c>
      <c r="E69" s="3" t="str">
        <f>VLOOKUP(C69,Stammdaten!$A$11:$C$25,3,FALSE)</f>
        <v>Käse</v>
      </c>
      <c r="F69" s="19">
        <f>VLOOKUP(C69,Stammdaten!$A$11:$D$25,4,FALSE)</f>
        <v>2.4900000000000002</v>
      </c>
      <c r="G69" s="4">
        <f t="shared" si="0"/>
        <v>5</v>
      </c>
      <c r="H69" s="20" t="str">
        <f>VLOOKUP(G69,Stammdaten!$A$30:$B$41,2,FALSE)</f>
        <v>Mai</v>
      </c>
      <c r="I69" s="4">
        <v>260</v>
      </c>
      <c r="J69" s="4">
        <v>253</v>
      </c>
      <c r="K69" s="4">
        <f t="shared" si="1"/>
        <v>-7</v>
      </c>
      <c r="L69" s="27">
        <f t="shared" si="2"/>
        <v>-2.6923076923076925</v>
      </c>
      <c r="M69" s="52" t="str">
        <f t="shared" si="3"/>
        <v>Schwund</v>
      </c>
      <c r="N69" s="28">
        <f t="shared" si="4"/>
        <v>17.43</v>
      </c>
      <c r="O69" s="5">
        <v>17</v>
      </c>
      <c r="P69" s="4">
        <v>5</v>
      </c>
      <c r="Q69" s="28">
        <f t="shared" si="5"/>
        <v>4.3574999999999999</v>
      </c>
      <c r="R69" s="50">
        <f t="shared" si="6"/>
        <v>5.2290000000000001</v>
      </c>
      <c r="S69" s="2" t="str">
        <f t="shared" si="7"/>
        <v>Normal</v>
      </c>
      <c r="T69" s="4">
        <v>0</v>
      </c>
      <c r="U69" s="4" t="str">
        <f t="shared" si="8"/>
        <v>Nein</v>
      </c>
      <c r="V69" s="4">
        <f t="shared" si="9"/>
        <v>0</v>
      </c>
      <c r="W69" s="19">
        <f t="shared" si="10"/>
        <v>2.4900000000000002</v>
      </c>
      <c r="X69" s="5">
        <v>0</v>
      </c>
      <c r="Y69" s="28">
        <f t="shared" si="11"/>
        <v>0</v>
      </c>
      <c r="Z69" s="31" t="s">
        <v>172</v>
      </c>
      <c r="AA69" t="str">
        <f t="shared" si="12"/>
        <v>Prozessfehler</v>
      </c>
    </row>
    <row r="70" spans="1:27" x14ac:dyDescent="0.35">
      <c r="A70" s="32" t="s">
        <v>14</v>
      </c>
      <c r="B70" s="2" t="str">
        <f>VLOOKUP(A70,Stammdaten!$A$3:$B$7,2,FALSE)</f>
        <v>Filiale Nord</v>
      </c>
      <c r="C70" s="3" t="str" cm="1">
        <f t="array" ref="C70">INDEX(Stammdaten!$A$11:$A$25,INT((ROW()-5)/12)+1 - INT((ROW()-5)/180)*15)</f>
        <v>A006</v>
      </c>
      <c r="D70" s="2" t="str">
        <f>VLOOKUP(C70,Stammdaten!$A$11:$B$25,2,FALSE)</f>
        <v>Emmentaler 200g</v>
      </c>
      <c r="E70" s="3" t="str">
        <f>VLOOKUP(C70,Stammdaten!$A$11:$C$25,3,FALSE)</f>
        <v>Käse</v>
      </c>
      <c r="F70" s="19">
        <f>VLOOKUP(C70,Stammdaten!$A$11:$D$25,4,FALSE)</f>
        <v>2.4900000000000002</v>
      </c>
      <c r="G70" s="4">
        <f t="shared" ref="G70:G133" si="13">MOD(ROW()-5,12)+1</f>
        <v>6</v>
      </c>
      <c r="H70" s="20" t="str">
        <f>VLOOKUP(G70,Stammdaten!$A$30:$B$41,2,FALSE)</f>
        <v>Juni</v>
      </c>
      <c r="I70" s="4">
        <v>267</v>
      </c>
      <c r="J70" s="4">
        <v>267</v>
      </c>
      <c r="K70" s="4">
        <f t="shared" ref="K70:K133" si="14">J70-I70</f>
        <v>0</v>
      </c>
      <c r="L70" s="27">
        <f t="shared" ref="L70:L133" si="15">IF(I70=0,0,(K70)/I70*100)</f>
        <v>0</v>
      </c>
      <c r="M70" s="52" t="str">
        <f t="shared" ref="M70:M133" si="16">IF(K70=0,"Perfekt",IF(K70&lt;0,"Schwund","Überbestand"))</f>
        <v>Perfekt</v>
      </c>
      <c r="N70" s="28">
        <f t="shared" ref="N70:N133" si="17">ABS(K70)*F70</f>
        <v>0</v>
      </c>
      <c r="O70" s="5">
        <v>1</v>
      </c>
      <c r="P70" s="4">
        <v>5</v>
      </c>
      <c r="Q70" s="28">
        <f t="shared" ref="Q70:Q133" si="18">IF(K70&lt;0,ABS(N70)*0.25,0)</f>
        <v>0</v>
      </c>
      <c r="R70" s="50">
        <f t="shared" ref="R70:R133" si="19">IF(K70&lt;0,ABS(N70)*0.3,0)</f>
        <v>0</v>
      </c>
      <c r="S70" s="2" t="str">
        <f t="shared" ref="S70:S133" si="20">IF(G70=4,"Ostern",IF(G70=12,"Weihnachten/Silvester",IF(G70=11,"Black Friday",IF(G70=2,"Karneval","Normal"))))</f>
        <v>Normal</v>
      </c>
      <c r="T70" s="4">
        <v>0</v>
      </c>
      <c r="U70" s="4" t="str">
        <f t="shared" ref="U70:U133" si="21">IF(O70&lt;=0,"Abschreibung",IF(O70&lt;=3,"Ja - 20% Reduzierung","Nein"))</f>
        <v>Ja - 20% Reduzierung</v>
      </c>
      <c r="V70" s="4">
        <f t="shared" ref="V70:V133" si="22">IF(O70&lt;=0,100,IF(O70&lt;=3,20,0))</f>
        <v>20</v>
      </c>
      <c r="W70" s="19">
        <f t="shared" ref="W70:W133" si="23">IF(V70=100,0,ROUND(F70*(1-V70/100),2))</f>
        <v>1.99</v>
      </c>
      <c r="X70" s="5">
        <v>16</v>
      </c>
      <c r="Y70" s="28">
        <f t="shared" ref="Y70:Y133" si="24">ROUND(X70*F70*(V70/100),2)</f>
        <v>7.97</v>
      </c>
      <c r="Z70" s="31" t="s">
        <v>173</v>
      </c>
      <c r="AA70" t="str">
        <f t="shared" ref="AA70:AA133" si="25">IF(O70&lt;=0,"Verderb - Abgelaufen",IF(AND(O70&lt;=3,Z70&lt;&gt;"Korrekt",Z70&lt;&gt;"Kein MHD - Prozess"),"MHD - Prozessfehler",IF(K70&gt;0,"Kassenfehler (Überbestand)",IF(AND(ABS(L70)&gt;3,A70="F005"),"Diebstahlrisiko",IF(AND(ABS(L70)&gt;2,P70&lt;2),"Buchungsfehler Wareneingang",IF(ABS(L70)&gt;2,"Prozessfehler","Normal/Gering"))))))</f>
        <v>Normal/Gering</v>
      </c>
    </row>
    <row r="71" spans="1:27" x14ac:dyDescent="0.35">
      <c r="A71" s="32" t="s">
        <v>14</v>
      </c>
      <c r="B71" s="2" t="str">
        <f>VLOOKUP(A71,Stammdaten!$A$3:$B$7,2,FALSE)</f>
        <v>Filiale Nord</v>
      </c>
      <c r="C71" s="3" t="str" cm="1">
        <f t="array" ref="C71">INDEX(Stammdaten!$A$11:$A$25,INT((ROW()-5)/12)+1 - INT((ROW()-5)/180)*15)</f>
        <v>A006</v>
      </c>
      <c r="D71" s="2" t="str">
        <f>VLOOKUP(C71,Stammdaten!$A$11:$B$25,2,FALSE)</f>
        <v>Emmentaler 200g</v>
      </c>
      <c r="E71" s="3" t="str">
        <f>VLOOKUP(C71,Stammdaten!$A$11:$C$25,3,FALSE)</f>
        <v>Käse</v>
      </c>
      <c r="F71" s="19">
        <f>VLOOKUP(C71,Stammdaten!$A$11:$D$25,4,FALSE)</f>
        <v>2.4900000000000002</v>
      </c>
      <c r="G71" s="4">
        <f t="shared" si="13"/>
        <v>7</v>
      </c>
      <c r="H71" s="20" t="str">
        <f>VLOOKUP(G71,Stammdaten!$A$30:$B$41,2,FALSE)</f>
        <v>Juli</v>
      </c>
      <c r="I71" s="4">
        <v>297</v>
      </c>
      <c r="J71" s="4">
        <v>287</v>
      </c>
      <c r="K71" s="4">
        <f t="shared" si="14"/>
        <v>-10</v>
      </c>
      <c r="L71" s="27">
        <f t="shared" si="15"/>
        <v>-3.3670033670033668</v>
      </c>
      <c r="M71" s="52" t="str">
        <f t="shared" si="16"/>
        <v>Schwund</v>
      </c>
      <c r="N71" s="28">
        <f t="shared" si="17"/>
        <v>24.900000000000002</v>
      </c>
      <c r="O71" s="5">
        <v>10</v>
      </c>
      <c r="P71" s="4">
        <v>7</v>
      </c>
      <c r="Q71" s="28">
        <f t="shared" si="18"/>
        <v>6.2250000000000005</v>
      </c>
      <c r="R71" s="50">
        <f t="shared" si="19"/>
        <v>7.4700000000000006</v>
      </c>
      <c r="S71" s="2" t="str">
        <f t="shared" si="20"/>
        <v>Normal</v>
      </c>
      <c r="T71" s="4">
        <v>0</v>
      </c>
      <c r="U71" s="4" t="str">
        <f t="shared" si="21"/>
        <v>Nein</v>
      </c>
      <c r="V71" s="4">
        <f t="shared" si="22"/>
        <v>0</v>
      </c>
      <c r="W71" s="19">
        <f t="shared" si="23"/>
        <v>2.4900000000000002</v>
      </c>
      <c r="X71" s="5">
        <v>0</v>
      </c>
      <c r="Y71" s="28">
        <f t="shared" si="24"/>
        <v>0</v>
      </c>
      <c r="Z71" s="31" t="s">
        <v>172</v>
      </c>
      <c r="AA71" t="str">
        <f t="shared" si="25"/>
        <v>Prozessfehler</v>
      </c>
    </row>
    <row r="72" spans="1:27" x14ac:dyDescent="0.35">
      <c r="A72" s="32" t="s">
        <v>14</v>
      </c>
      <c r="B72" s="2" t="str">
        <f>VLOOKUP(A72,Stammdaten!$A$3:$B$7,2,FALSE)</f>
        <v>Filiale Nord</v>
      </c>
      <c r="C72" s="3" t="str" cm="1">
        <f t="array" ref="C72">INDEX(Stammdaten!$A$11:$A$25,INT((ROW()-5)/12)+1 - INT((ROW()-5)/180)*15)</f>
        <v>A006</v>
      </c>
      <c r="D72" s="2" t="str">
        <f>VLOOKUP(C72,Stammdaten!$A$11:$B$25,2,FALSE)</f>
        <v>Emmentaler 200g</v>
      </c>
      <c r="E72" s="3" t="str">
        <f>VLOOKUP(C72,Stammdaten!$A$11:$C$25,3,FALSE)</f>
        <v>Käse</v>
      </c>
      <c r="F72" s="19">
        <f>VLOOKUP(C72,Stammdaten!$A$11:$D$25,4,FALSE)</f>
        <v>2.4900000000000002</v>
      </c>
      <c r="G72" s="4">
        <f t="shared" si="13"/>
        <v>8</v>
      </c>
      <c r="H72" s="20" t="str">
        <f>VLOOKUP(G72,Stammdaten!$A$30:$B$41,2,FALSE)</f>
        <v>August</v>
      </c>
      <c r="I72" s="4">
        <v>302</v>
      </c>
      <c r="J72" s="4">
        <v>294</v>
      </c>
      <c r="K72" s="4">
        <f t="shared" si="14"/>
        <v>-8</v>
      </c>
      <c r="L72" s="27">
        <f t="shared" si="15"/>
        <v>-2.6490066225165565</v>
      </c>
      <c r="M72" s="52" t="str">
        <f t="shared" si="16"/>
        <v>Schwund</v>
      </c>
      <c r="N72" s="28">
        <f t="shared" si="17"/>
        <v>19.920000000000002</v>
      </c>
      <c r="O72" s="5">
        <v>1</v>
      </c>
      <c r="P72" s="4">
        <v>1</v>
      </c>
      <c r="Q72" s="28">
        <f t="shared" si="18"/>
        <v>4.9800000000000004</v>
      </c>
      <c r="R72" s="50">
        <f t="shared" si="19"/>
        <v>5.976</v>
      </c>
      <c r="S72" s="2" t="str">
        <f t="shared" si="20"/>
        <v>Normal</v>
      </c>
      <c r="T72" s="4">
        <v>0</v>
      </c>
      <c r="U72" s="4" t="str">
        <f t="shared" si="21"/>
        <v>Ja - 20% Reduzierung</v>
      </c>
      <c r="V72" s="4">
        <f t="shared" si="22"/>
        <v>20</v>
      </c>
      <c r="W72" s="19">
        <f t="shared" si="23"/>
        <v>1.99</v>
      </c>
      <c r="X72" s="5">
        <v>33</v>
      </c>
      <c r="Y72" s="28">
        <f t="shared" si="24"/>
        <v>16.43</v>
      </c>
      <c r="Z72" s="31" t="s">
        <v>173</v>
      </c>
      <c r="AA72" t="str">
        <f t="shared" si="25"/>
        <v>Buchungsfehler Wareneingang</v>
      </c>
    </row>
    <row r="73" spans="1:27" x14ac:dyDescent="0.35">
      <c r="A73" s="32" t="s">
        <v>14</v>
      </c>
      <c r="B73" s="2" t="str">
        <f>VLOOKUP(A73,Stammdaten!$A$3:$B$7,2,FALSE)</f>
        <v>Filiale Nord</v>
      </c>
      <c r="C73" s="3" t="str" cm="1">
        <f t="array" ref="C73">INDEX(Stammdaten!$A$11:$A$25,INT((ROW()-5)/12)+1 - INT((ROW()-5)/180)*15)</f>
        <v>A006</v>
      </c>
      <c r="D73" s="2" t="str">
        <f>VLOOKUP(C73,Stammdaten!$A$11:$B$25,2,FALSE)</f>
        <v>Emmentaler 200g</v>
      </c>
      <c r="E73" s="3" t="str">
        <f>VLOOKUP(C73,Stammdaten!$A$11:$C$25,3,FALSE)</f>
        <v>Käse</v>
      </c>
      <c r="F73" s="19">
        <f>VLOOKUP(C73,Stammdaten!$A$11:$D$25,4,FALSE)</f>
        <v>2.4900000000000002</v>
      </c>
      <c r="G73" s="4">
        <f t="shared" si="13"/>
        <v>9</v>
      </c>
      <c r="H73" s="20" t="str">
        <f>VLOOKUP(G73,Stammdaten!$A$30:$B$41,2,FALSE)</f>
        <v>September</v>
      </c>
      <c r="I73" s="4">
        <v>247</v>
      </c>
      <c r="J73" s="4">
        <v>251</v>
      </c>
      <c r="K73" s="4">
        <f t="shared" si="14"/>
        <v>4</v>
      </c>
      <c r="L73" s="27">
        <f t="shared" si="15"/>
        <v>1.6194331983805668</v>
      </c>
      <c r="M73" s="52" t="str">
        <f t="shared" si="16"/>
        <v>Überbestand</v>
      </c>
      <c r="N73" s="28">
        <f t="shared" si="17"/>
        <v>9.9600000000000009</v>
      </c>
      <c r="O73" s="5">
        <v>4</v>
      </c>
      <c r="P73" s="4">
        <v>6</v>
      </c>
      <c r="Q73" s="28">
        <f t="shared" si="18"/>
        <v>0</v>
      </c>
      <c r="R73" s="50">
        <f t="shared" si="19"/>
        <v>0</v>
      </c>
      <c r="S73" s="2" t="str">
        <f t="shared" si="20"/>
        <v>Normal</v>
      </c>
      <c r="T73" s="4">
        <v>4</v>
      </c>
      <c r="U73" s="4" t="str">
        <f t="shared" si="21"/>
        <v>Nein</v>
      </c>
      <c r="V73" s="4">
        <f t="shared" si="22"/>
        <v>0</v>
      </c>
      <c r="W73" s="19">
        <f t="shared" si="23"/>
        <v>2.4900000000000002</v>
      </c>
      <c r="X73" s="5">
        <v>0</v>
      </c>
      <c r="Y73" s="28">
        <f t="shared" si="24"/>
        <v>0</v>
      </c>
      <c r="Z73" s="31" t="s">
        <v>172</v>
      </c>
      <c r="AA73" t="str">
        <f t="shared" si="25"/>
        <v>Kassenfehler (Überbestand)</v>
      </c>
    </row>
    <row r="74" spans="1:27" x14ac:dyDescent="0.35">
      <c r="A74" s="32" t="s">
        <v>14</v>
      </c>
      <c r="B74" s="2" t="str">
        <f>VLOOKUP(A74,Stammdaten!$A$3:$B$7,2,FALSE)</f>
        <v>Filiale Nord</v>
      </c>
      <c r="C74" s="3" t="str" cm="1">
        <f t="array" ref="C74">INDEX(Stammdaten!$A$11:$A$25,INT((ROW()-5)/12)+1 - INT((ROW()-5)/180)*15)</f>
        <v>A006</v>
      </c>
      <c r="D74" s="2" t="str">
        <f>VLOOKUP(C74,Stammdaten!$A$11:$B$25,2,FALSE)</f>
        <v>Emmentaler 200g</v>
      </c>
      <c r="E74" s="3" t="str">
        <f>VLOOKUP(C74,Stammdaten!$A$11:$C$25,3,FALSE)</f>
        <v>Käse</v>
      </c>
      <c r="F74" s="19">
        <f>VLOOKUP(C74,Stammdaten!$A$11:$D$25,4,FALSE)</f>
        <v>2.4900000000000002</v>
      </c>
      <c r="G74" s="4">
        <f t="shared" si="13"/>
        <v>10</v>
      </c>
      <c r="H74" s="20" t="str">
        <f>VLOOKUP(G74,Stammdaten!$A$30:$B$41,2,FALSE)</f>
        <v>Oktober</v>
      </c>
      <c r="I74" s="4">
        <v>255</v>
      </c>
      <c r="J74" s="4">
        <v>251</v>
      </c>
      <c r="K74" s="4">
        <f t="shared" si="14"/>
        <v>-4</v>
      </c>
      <c r="L74" s="27">
        <f t="shared" si="15"/>
        <v>-1.5686274509803921</v>
      </c>
      <c r="M74" s="52" t="str">
        <f t="shared" si="16"/>
        <v>Schwund</v>
      </c>
      <c r="N74" s="28">
        <f t="shared" si="17"/>
        <v>9.9600000000000009</v>
      </c>
      <c r="O74" s="5">
        <v>7</v>
      </c>
      <c r="P74" s="4">
        <v>3</v>
      </c>
      <c r="Q74" s="28">
        <f t="shared" si="18"/>
        <v>2.4900000000000002</v>
      </c>
      <c r="R74" s="50">
        <f t="shared" si="19"/>
        <v>2.988</v>
      </c>
      <c r="S74" s="2" t="str">
        <f t="shared" si="20"/>
        <v>Normal</v>
      </c>
      <c r="T74" s="4">
        <v>0</v>
      </c>
      <c r="U74" s="4" t="str">
        <f t="shared" si="21"/>
        <v>Nein</v>
      </c>
      <c r="V74" s="4">
        <f t="shared" si="22"/>
        <v>0</v>
      </c>
      <c r="W74" s="19">
        <f t="shared" si="23"/>
        <v>2.4900000000000002</v>
      </c>
      <c r="X74" s="5">
        <v>0</v>
      </c>
      <c r="Y74" s="28">
        <f t="shared" si="24"/>
        <v>0</v>
      </c>
      <c r="Z74" s="31" t="s">
        <v>172</v>
      </c>
      <c r="AA74" t="str">
        <f t="shared" si="25"/>
        <v>Normal/Gering</v>
      </c>
    </row>
    <row r="75" spans="1:27" x14ac:dyDescent="0.35">
      <c r="A75" s="32" t="s">
        <v>14</v>
      </c>
      <c r="B75" s="2" t="str">
        <f>VLOOKUP(A75,Stammdaten!$A$3:$B$7,2,FALSE)</f>
        <v>Filiale Nord</v>
      </c>
      <c r="C75" s="3" t="str" cm="1">
        <f t="array" ref="C75">INDEX(Stammdaten!$A$11:$A$25,INT((ROW()-5)/12)+1 - INT((ROW()-5)/180)*15)</f>
        <v>A006</v>
      </c>
      <c r="D75" s="2" t="str">
        <f>VLOOKUP(C75,Stammdaten!$A$11:$B$25,2,FALSE)</f>
        <v>Emmentaler 200g</v>
      </c>
      <c r="E75" s="3" t="str">
        <f>VLOOKUP(C75,Stammdaten!$A$11:$C$25,3,FALSE)</f>
        <v>Käse</v>
      </c>
      <c r="F75" s="19">
        <f>VLOOKUP(C75,Stammdaten!$A$11:$D$25,4,FALSE)</f>
        <v>2.4900000000000002</v>
      </c>
      <c r="G75" s="4">
        <f t="shared" si="13"/>
        <v>11</v>
      </c>
      <c r="H75" s="20" t="str">
        <f>VLOOKUP(G75,Stammdaten!$A$30:$B$41,2,FALSE)</f>
        <v>November</v>
      </c>
      <c r="I75" s="4">
        <v>289</v>
      </c>
      <c r="J75" s="4">
        <v>280</v>
      </c>
      <c r="K75" s="4">
        <f t="shared" si="14"/>
        <v>-9</v>
      </c>
      <c r="L75" s="27">
        <f t="shared" si="15"/>
        <v>-3.1141868512110724</v>
      </c>
      <c r="M75" s="52" t="str">
        <f t="shared" si="16"/>
        <v>Schwund</v>
      </c>
      <c r="N75" s="28">
        <f t="shared" si="17"/>
        <v>22.410000000000004</v>
      </c>
      <c r="O75" s="5">
        <v>2</v>
      </c>
      <c r="P75" s="4">
        <v>2</v>
      </c>
      <c r="Q75" s="28">
        <f t="shared" si="18"/>
        <v>5.6025000000000009</v>
      </c>
      <c r="R75" s="50">
        <f t="shared" si="19"/>
        <v>6.7230000000000008</v>
      </c>
      <c r="S75" s="2" t="str">
        <f t="shared" si="20"/>
        <v>Black Friday</v>
      </c>
      <c r="T75" s="4">
        <v>0</v>
      </c>
      <c r="U75" s="4" t="str">
        <f t="shared" si="21"/>
        <v>Ja - 20% Reduzierung</v>
      </c>
      <c r="V75" s="4">
        <f t="shared" si="22"/>
        <v>20</v>
      </c>
      <c r="W75" s="19">
        <f t="shared" si="23"/>
        <v>1.99</v>
      </c>
      <c r="X75" s="5">
        <v>43</v>
      </c>
      <c r="Y75" s="28">
        <f t="shared" si="24"/>
        <v>21.41</v>
      </c>
      <c r="Z75" s="31" t="s">
        <v>167</v>
      </c>
      <c r="AA75" t="str">
        <f t="shared" si="25"/>
        <v>MHD - Prozessfehler</v>
      </c>
    </row>
    <row r="76" spans="1:27" x14ac:dyDescent="0.35">
      <c r="A76" s="32" t="s">
        <v>14</v>
      </c>
      <c r="B76" s="2" t="str">
        <f>VLOOKUP(A76,Stammdaten!$A$3:$B$7,2,FALSE)</f>
        <v>Filiale Nord</v>
      </c>
      <c r="C76" s="3" t="str" cm="1">
        <f t="array" ref="C76">INDEX(Stammdaten!$A$11:$A$25,INT((ROW()-5)/12)+1 - INT((ROW()-5)/180)*15)</f>
        <v>A006</v>
      </c>
      <c r="D76" s="2" t="str">
        <f>VLOOKUP(C76,Stammdaten!$A$11:$B$25,2,FALSE)</f>
        <v>Emmentaler 200g</v>
      </c>
      <c r="E76" s="3" t="str">
        <f>VLOOKUP(C76,Stammdaten!$A$11:$C$25,3,FALSE)</f>
        <v>Käse</v>
      </c>
      <c r="F76" s="19">
        <f>VLOOKUP(C76,Stammdaten!$A$11:$D$25,4,FALSE)</f>
        <v>2.4900000000000002</v>
      </c>
      <c r="G76" s="4">
        <f t="shared" si="13"/>
        <v>12</v>
      </c>
      <c r="H76" s="20" t="str">
        <f>VLOOKUP(G76,Stammdaten!$A$30:$B$41,2,FALSE)</f>
        <v>Dezember</v>
      </c>
      <c r="I76" s="4">
        <v>333</v>
      </c>
      <c r="J76" s="4">
        <v>337</v>
      </c>
      <c r="K76" s="4">
        <f t="shared" si="14"/>
        <v>4</v>
      </c>
      <c r="L76" s="27">
        <f t="shared" si="15"/>
        <v>1.2012012012012012</v>
      </c>
      <c r="M76" s="52" t="str">
        <f t="shared" si="16"/>
        <v>Überbestand</v>
      </c>
      <c r="N76" s="28">
        <f t="shared" si="17"/>
        <v>9.9600000000000009</v>
      </c>
      <c r="O76" s="5">
        <v>20</v>
      </c>
      <c r="P76" s="4">
        <v>6</v>
      </c>
      <c r="Q76" s="28">
        <f t="shared" si="18"/>
        <v>0</v>
      </c>
      <c r="R76" s="50">
        <f t="shared" si="19"/>
        <v>0</v>
      </c>
      <c r="S76" s="2" t="str">
        <f t="shared" si="20"/>
        <v>Weihnachten/Silvester</v>
      </c>
      <c r="T76" s="4">
        <v>4</v>
      </c>
      <c r="U76" s="4" t="str">
        <f t="shared" si="21"/>
        <v>Nein</v>
      </c>
      <c r="V76" s="4">
        <f t="shared" si="22"/>
        <v>0</v>
      </c>
      <c r="W76" s="19">
        <f t="shared" si="23"/>
        <v>2.4900000000000002</v>
      </c>
      <c r="X76" s="5">
        <v>0</v>
      </c>
      <c r="Y76" s="28">
        <f t="shared" si="24"/>
        <v>0</v>
      </c>
      <c r="Z76" s="31" t="s">
        <v>172</v>
      </c>
      <c r="AA76" t="str">
        <f t="shared" si="25"/>
        <v>Kassenfehler (Überbestand)</v>
      </c>
    </row>
    <row r="77" spans="1:27" x14ac:dyDescent="0.35">
      <c r="A77" s="32" t="s">
        <v>14</v>
      </c>
      <c r="B77" s="2" t="str">
        <f>VLOOKUP(A77,Stammdaten!$A$3:$B$7,2,FALSE)</f>
        <v>Filiale Nord</v>
      </c>
      <c r="C77" s="3" t="str" cm="1">
        <f t="array" ref="C77">INDEX(Stammdaten!$A$11:$A$25,INT((ROW()-5)/12)+1 - INT((ROW()-5)/180)*15)</f>
        <v>A007</v>
      </c>
      <c r="D77" s="2" t="str">
        <f>VLOOKUP(C77,Stammdaten!$A$11:$B$25,2,FALSE)</f>
        <v>Naturjoghurt 500g</v>
      </c>
      <c r="E77" s="3" t="str">
        <f>VLOOKUP(C77,Stammdaten!$A$11:$C$25,3,FALSE)</f>
        <v>Joghurt</v>
      </c>
      <c r="F77" s="19">
        <f>VLOOKUP(C77,Stammdaten!$A$11:$D$25,4,FALSE)</f>
        <v>0.89</v>
      </c>
      <c r="G77" s="4">
        <f t="shared" si="13"/>
        <v>1</v>
      </c>
      <c r="H77" s="20" t="str">
        <f>VLOOKUP(G77,Stammdaten!$A$30:$B$41,2,FALSE)</f>
        <v>Januar</v>
      </c>
      <c r="I77" s="4">
        <v>515</v>
      </c>
      <c r="J77" s="4">
        <v>505</v>
      </c>
      <c r="K77" s="4">
        <f t="shared" si="14"/>
        <v>-10</v>
      </c>
      <c r="L77" s="27">
        <f t="shared" si="15"/>
        <v>-1.9417475728155338</v>
      </c>
      <c r="M77" s="52" t="str">
        <f t="shared" si="16"/>
        <v>Schwund</v>
      </c>
      <c r="N77" s="28">
        <f t="shared" si="17"/>
        <v>8.9</v>
      </c>
      <c r="O77" s="5">
        <v>5</v>
      </c>
      <c r="P77" s="4">
        <v>3</v>
      </c>
      <c r="Q77" s="28">
        <f t="shared" si="18"/>
        <v>2.2250000000000001</v>
      </c>
      <c r="R77" s="50">
        <f t="shared" si="19"/>
        <v>2.67</v>
      </c>
      <c r="S77" s="2" t="str">
        <f t="shared" si="20"/>
        <v>Normal</v>
      </c>
      <c r="T77" s="4">
        <v>0</v>
      </c>
      <c r="U77" s="4" t="str">
        <f t="shared" si="21"/>
        <v>Nein</v>
      </c>
      <c r="V77" s="4">
        <f t="shared" si="22"/>
        <v>0</v>
      </c>
      <c r="W77" s="19">
        <f t="shared" si="23"/>
        <v>0.89</v>
      </c>
      <c r="X77" s="5">
        <v>0</v>
      </c>
      <c r="Y77" s="28">
        <f t="shared" si="24"/>
        <v>0</v>
      </c>
      <c r="Z77" s="31" t="s">
        <v>172</v>
      </c>
      <c r="AA77" t="str">
        <f t="shared" si="25"/>
        <v>Normal/Gering</v>
      </c>
    </row>
    <row r="78" spans="1:27" x14ac:dyDescent="0.35">
      <c r="A78" s="32" t="s">
        <v>14</v>
      </c>
      <c r="B78" s="2" t="str">
        <f>VLOOKUP(A78,Stammdaten!$A$3:$B$7,2,FALSE)</f>
        <v>Filiale Nord</v>
      </c>
      <c r="C78" s="3" t="str" cm="1">
        <f t="array" ref="C78">INDEX(Stammdaten!$A$11:$A$25,INT((ROW()-5)/12)+1 - INT((ROW()-5)/180)*15)</f>
        <v>A007</v>
      </c>
      <c r="D78" s="2" t="str">
        <f>VLOOKUP(C78,Stammdaten!$A$11:$B$25,2,FALSE)</f>
        <v>Naturjoghurt 500g</v>
      </c>
      <c r="E78" s="3" t="str">
        <f>VLOOKUP(C78,Stammdaten!$A$11:$C$25,3,FALSE)</f>
        <v>Joghurt</v>
      </c>
      <c r="F78" s="19">
        <f>VLOOKUP(C78,Stammdaten!$A$11:$D$25,4,FALSE)</f>
        <v>0.89</v>
      </c>
      <c r="G78" s="4">
        <f t="shared" si="13"/>
        <v>2</v>
      </c>
      <c r="H78" s="20" t="str">
        <f>VLOOKUP(G78,Stammdaten!$A$30:$B$41,2,FALSE)</f>
        <v>Februar</v>
      </c>
      <c r="I78" s="4">
        <v>444</v>
      </c>
      <c r="J78" s="4">
        <v>432</v>
      </c>
      <c r="K78" s="4">
        <f t="shared" si="14"/>
        <v>-12</v>
      </c>
      <c r="L78" s="27">
        <f t="shared" si="15"/>
        <v>-2.7027027027027026</v>
      </c>
      <c r="M78" s="52" t="str">
        <f t="shared" si="16"/>
        <v>Schwund</v>
      </c>
      <c r="N78" s="28">
        <f t="shared" si="17"/>
        <v>10.68</v>
      </c>
      <c r="O78" s="5">
        <v>2</v>
      </c>
      <c r="P78" s="4">
        <v>0</v>
      </c>
      <c r="Q78" s="28">
        <f t="shared" si="18"/>
        <v>2.67</v>
      </c>
      <c r="R78" s="50">
        <f t="shared" si="19"/>
        <v>3.2039999999999997</v>
      </c>
      <c r="S78" s="2" t="str">
        <f t="shared" si="20"/>
        <v>Karneval</v>
      </c>
      <c r="T78" s="4">
        <v>0</v>
      </c>
      <c r="U78" s="4" t="str">
        <f t="shared" si="21"/>
        <v>Ja - 20% Reduzierung</v>
      </c>
      <c r="V78" s="4">
        <f t="shared" si="22"/>
        <v>20</v>
      </c>
      <c r="W78" s="19">
        <f t="shared" si="23"/>
        <v>0.71</v>
      </c>
      <c r="X78" s="5">
        <v>53</v>
      </c>
      <c r="Y78" s="28">
        <f t="shared" si="24"/>
        <v>9.43</v>
      </c>
      <c r="Z78" s="31" t="s">
        <v>164</v>
      </c>
      <c r="AA78" t="str">
        <f t="shared" si="25"/>
        <v>MHD - Prozessfehler</v>
      </c>
    </row>
    <row r="79" spans="1:27" x14ac:dyDescent="0.35">
      <c r="A79" s="32" t="s">
        <v>14</v>
      </c>
      <c r="B79" s="2" t="str">
        <f>VLOOKUP(A79,Stammdaten!$A$3:$B$7,2,FALSE)</f>
        <v>Filiale Nord</v>
      </c>
      <c r="C79" s="3" t="str" cm="1">
        <f t="array" ref="C79">INDEX(Stammdaten!$A$11:$A$25,INT((ROW()-5)/12)+1 - INT((ROW()-5)/180)*15)</f>
        <v>A007</v>
      </c>
      <c r="D79" s="2" t="str">
        <f>VLOOKUP(C79,Stammdaten!$A$11:$B$25,2,FALSE)</f>
        <v>Naturjoghurt 500g</v>
      </c>
      <c r="E79" s="3" t="str">
        <f>VLOOKUP(C79,Stammdaten!$A$11:$C$25,3,FALSE)</f>
        <v>Joghurt</v>
      </c>
      <c r="F79" s="19">
        <f>VLOOKUP(C79,Stammdaten!$A$11:$D$25,4,FALSE)</f>
        <v>0.89</v>
      </c>
      <c r="G79" s="4">
        <f t="shared" si="13"/>
        <v>3</v>
      </c>
      <c r="H79" s="20" t="str">
        <f>VLOOKUP(G79,Stammdaten!$A$30:$B$41,2,FALSE)</f>
        <v>März</v>
      </c>
      <c r="I79" s="4">
        <v>549</v>
      </c>
      <c r="J79" s="4">
        <v>524</v>
      </c>
      <c r="K79" s="4">
        <f t="shared" si="14"/>
        <v>-25</v>
      </c>
      <c r="L79" s="27">
        <f t="shared" si="15"/>
        <v>-4.5537340619307827</v>
      </c>
      <c r="M79" s="52" t="str">
        <f t="shared" si="16"/>
        <v>Schwund</v>
      </c>
      <c r="N79" s="28">
        <f t="shared" si="17"/>
        <v>22.25</v>
      </c>
      <c r="O79" s="5">
        <v>11</v>
      </c>
      <c r="P79" s="4">
        <v>5</v>
      </c>
      <c r="Q79" s="28">
        <f t="shared" si="18"/>
        <v>5.5625</v>
      </c>
      <c r="R79" s="50">
        <f t="shared" si="19"/>
        <v>6.6749999999999998</v>
      </c>
      <c r="S79" s="2" t="str">
        <f t="shared" si="20"/>
        <v>Normal</v>
      </c>
      <c r="T79" s="4">
        <v>0</v>
      </c>
      <c r="U79" s="4" t="str">
        <f t="shared" si="21"/>
        <v>Nein</v>
      </c>
      <c r="V79" s="4">
        <f t="shared" si="22"/>
        <v>0</v>
      </c>
      <c r="W79" s="19">
        <f t="shared" si="23"/>
        <v>0.89</v>
      </c>
      <c r="X79" s="5">
        <v>0</v>
      </c>
      <c r="Y79" s="28">
        <f t="shared" si="24"/>
        <v>0</v>
      </c>
      <c r="Z79" s="31" t="s">
        <v>172</v>
      </c>
      <c r="AA79" t="str">
        <f t="shared" si="25"/>
        <v>Prozessfehler</v>
      </c>
    </row>
    <row r="80" spans="1:27" x14ac:dyDescent="0.35">
      <c r="A80" s="32" t="s">
        <v>14</v>
      </c>
      <c r="B80" s="2" t="str">
        <f>VLOOKUP(A80,Stammdaten!$A$3:$B$7,2,FALSE)</f>
        <v>Filiale Nord</v>
      </c>
      <c r="C80" s="3" t="str" cm="1">
        <f t="array" ref="C80">INDEX(Stammdaten!$A$11:$A$25,INT((ROW()-5)/12)+1 - INT((ROW()-5)/180)*15)</f>
        <v>A007</v>
      </c>
      <c r="D80" s="2" t="str">
        <f>VLOOKUP(C80,Stammdaten!$A$11:$B$25,2,FALSE)</f>
        <v>Naturjoghurt 500g</v>
      </c>
      <c r="E80" s="3" t="str">
        <f>VLOOKUP(C80,Stammdaten!$A$11:$C$25,3,FALSE)</f>
        <v>Joghurt</v>
      </c>
      <c r="F80" s="19">
        <f>VLOOKUP(C80,Stammdaten!$A$11:$D$25,4,FALSE)</f>
        <v>0.89</v>
      </c>
      <c r="G80" s="4">
        <f t="shared" si="13"/>
        <v>4</v>
      </c>
      <c r="H80" s="20" t="str">
        <f>VLOOKUP(G80,Stammdaten!$A$30:$B$41,2,FALSE)</f>
        <v>April</v>
      </c>
      <c r="I80" s="4">
        <v>715</v>
      </c>
      <c r="J80" s="4">
        <v>718</v>
      </c>
      <c r="K80" s="4">
        <f t="shared" si="14"/>
        <v>3</v>
      </c>
      <c r="L80" s="27">
        <f t="shared" si="15"/>
        <v>0.41958041958041958</v>
      </c>
      <c r="M80" s="52" t="str">
        <f t="shared" si="16"/>
        <v>Überbestand</v>
      </c>
      <c r="N80" s="28">
        <f t="shared" si="17"/>
        <v>2.67</v>
      </c>
      <c r="O80" s="5">
        <v>8</v>
      </c>
      <c r="P80" s="4">
        <v>0</v>
      </c>
      <c r="Q80" s="28">
        <f t="shared" si="18"/>
        <v>0</v>
      </c>
      <c r="R80" s="50">
        <f t="shared" si="19"/>
        <v>0</v>
      </c>
      <c r="S80" s="2" t="str">
        <f t="shared" si="20"/>
        <v>Ostern</v>
      </c>
      <c r="T80" s="4">
        <v>3</v>
      </c>
      <c r="U80" s="4" t="str">
        <f t="shared" si="21"/>
        <v>Nein</v>
      </c>
      <c r="V80" s="4">
        <f t="shared" si="22"/>
        <v>0</v>
      </c>
      <c r="W80" s="19">
        <f t="shared" si="23"/>
        <v>0.89</v>
      </c>
      <c r="X80" s="5">
        <v>0</v>
      </c>
      <c r="Y80" s="28">
        <f t="shared" si="24"/>
        <v>0</v>
      </c>
      <c r="Z80" s="31" t="s">
        <v>172</v>
      </c>
      <c r="AA80" t="str">
        <f t="shared" si="25"/>
        <v>Kassenfehler (Überbestand)</v>
      </c>
    </row>
    <row r="81" spans="1:27" x14ac:dyDescent="0.35">
      <c r="A81" s="32" t="s">
        <v>14</v>
      </c>
      <c r="B81" s="2" t="str">
        <f>VLOOKUP(A81,Stammdaten!$A$3:$B$7,2,FALSE)</f>
        <v>Filiale Nord</v>
      </c>
      <c r="C81" s="3" t="str" cm="1">
        <f t="array" ref="C81">INDEX(Stammdaten!$A$11:$A$25,INT((ROW()-5)/12)+1 - INT((ROW()-5)/180)*15)</f>
        <v>A007</v>
      </c>
      <c r="D81" s="2" t="str">
        <f>VLOOKUP(C81,Stammdaten!$A$11:$B$25,2,FALSE)</f>
        <v>Naturjoghurt 500g</v>
      </c>
      <c r="E81" s="3" t="str">
        <f>VLOOKUP(C81,Stammdaten!$A$11:$C$25,3,FALSE)</f>
        <v>Joghurt</v>
      </c>
      <c r="F81" s="19">
        <f>VLOOKUP(C81,Stammdaten!$A$11:$D$25,4,FALSE)</f>
        <v>0.89</v>
      </c>
      <c r="G81" s="4">
        <f t="shared" si="13"/>
        <v>5</v>
      </c>
      <c r="H81" s="20" t="str">
        <f>VLOOKUP(G81,Stammdaten!$A$30:$B$41,2,FALSE)</f>
        <v>Mai</v>
      </c>
      <c r="I81" s="4">
        <v>572</v>
      </c>
      <c r="J81" s="4">
        <v>551</v>
      </c>
      <c r="K81" s="4">
        <f t="shared" si="14"/>
        <v>-21</v>
      </c>
      <c r="L81" s="27">
        <f t="shared" si="15"/>
        <v>-3.6713286713286712</v>
      </c>
      <c r="M81" s="52" t="str">
        <f t="shared" si="16"/>
        <v>Schwund</v>
      </c>
      <c r="N81" s="28">
        <f t="shared" si="17"/>
        <v>18.690000000000001</v>
      </c>
      <c r="O81" s="5">
        <v>1</v>
      </c>
      <c r="P81" s="4">
        <v>5</v>
      </c>
      <c r="Q81" s="28">
        <f t="shared" si="18"/>
        <v>4.6725000000000003</v>
      </c>
      <c r="R81" s="50">
        <f t="shared" si="19"/>
        <v>5.6070000000000002</v>
      </c>
      <c r="S81" s="2" t="str">
        <f t="shared" si="20"/>
        <v>Normal</v>
      </c>
      <c r="T81" s="4">
        <v>0</v>
      </c>
      <c r="U81" s="4" t="str">
        <f t="shared" si="21"/>
        <v>Ja - 20% Reduzierung</v>
      </c>
      <c r="V81" s="4">
        <f t="shared" si="22"/>
        <v>20</v>
      </c>
      <c r="W81" s="19">
        <f t="shared" si="23"/>
        <v>0.71</v>
      </c>
      <c r="X81" s="5">
        <v>46</v>
      </c>
      <c r="Y81" s="28">
        <f t="shared" si="24"/>
        <v>8.19</v>
      </c>
      <c r="Z81" s="31" t="s">
        <v>173</v>
      </c>
      <c r="AA81" t="str">
        <f t="shared" si="25"/>
        <v>Prozessfehler</v>
      </c>
    </row>
    <row r="82" spans="1:27" x14ac:dyDescent="0.35">
      <c r="A82" s="32" t="s">
        <v>14</v>
      </c>
      <c r="B82" s="2" t="str">
        <f>VLOOKUP(A82,Stammdaten!$A$3:$B$7,2,FALSE)</f>
        <v>Filiale Nord</v>
      </c>
      <c r="C82" s="3" t="str" cm="1">
        <f t="array" ref="C82">INDEX(Stammdaten!$A$11:$A$25,INT((ROW()-5)/12)+1 - INT((ROW()-5)/180)*15)</f>
        <v>A007</v>
      </c>
      <c r="D82" s="2" t="str">
        <f>VLOOKUP(C82,Stammdaten!$A$11:$B$25,2,FALSE)</f>
        <v>Naturjoghurt 500g</v>
      </c>
      <c r="E82" s="3" t="str">
        <f>VLOOKUP(C82,Stammdaten!$A$11:$C$25,3,FALSE)</f>
        <v>Joghurt</v>
      </c>
      <c r="F82" s="19">
        <f>VLOOKUP(C82,Stammdaten!$A$11:$D$25,4,FALSE)</f>
        <v>0.89</v>
      </c>
      <c r="G82" s="4">
        <f t="shared" si="13"/>
        <v>6</v>
      </c>
      <c r="H82" s="20" t="str">
        <f>VLOOKUP(G82,Stammdaten!$A$30:$B$41,2,FALSE)</f>
        <v>Juni</v>
      </c>
      <c r="I82" s="4">
        <v>611</v>
      </c>
      <c r="J82" s="4">
        <v>598</v>
      </c>
      <c r="K82" s="4">
        <f t="shared" si="14"/>
        <v>-13</v>
      </c>
      <c r="L82" s="27">
        <f t="shared" si="15"/>
        <v>-2.1276595744680851</v>
      </c>
      <c r="M82" s="52" t="str">
        <f t="shared" si="16"/>
        <v>Schwund</v>
      </c>
      <c r="N82" s="28">
        <f t="shared" si="17"/>
        <v>11.57</v>
      </c>
      <c r="O82" s="5">
        <v>2</v>
      </c>
      <c r="P82" s="4">
        <v>5</v>
      </c>
      <c r="Q82" s="28">
        <f t="shared" si="18"/>
        <v>2.8925000000000001</v>
      </c>
      <c r="R82" s="50">
        <f t="shared" si="19"/>
        <v>3.4710000000000001</v>
      </c>
      <c r="S82" s="2" t="str">
        <f t="shared" si="20"/>
        <v>Normal</v>
      </c>
      <c r="T82" s="4">
        <v>0</v>
      </c>
      <c r="U82" s="4" t="str">
        <f t="shared" si="21"/>
        <v>Ja - 20% Reduzierung</v>
      </c>
      <c r="V82" s="4">
        <f t="shared" si="22"/>
        <v>20</v>
      </c>
      <c r="W82" s="19">
        <f t="shared" si="23"/>
        <v>0.71</v>
      </c>
      <c r="X82" s="5">
        <v>67</v>
      </c>
      <c r="Y82" s="28">
        <f t="shared" si="24"/>
        <v>11.93</v>
      </c>
      <c r="Z82" s="31" t="s">
        <v>173</v>
      </c>
      <c r="AA82" t="str">
        <f t="shared" si="25"/>
        <v>Prozessfehler</v>
      </c>
    </row>
    <row r="83" spans="1:27" x14ac:dyDescent="0.35">
      <c r="A83" s="32" t="s">
        <v>14</v>
      </c>
      <c r="B83" s="2" t="str">
        <f>VLOOKUP(A83,Stammdaten!$A$3:$B$7,2,FALSE)</f>
        <v>Filiale Nord</v>
      </c>
      <c r="C83" s="3" t="str" cm="1">
        <f t="array" ref="C83">INDEX(Stammdaten!$A$11:$A$25,INT((ROW()-5)/12)+1 - INT((ROW()-5)/180)*15)</f>
        <v>A007</v>
      </c>
      <c r="D83" s="2" t="str">
        <f>VLOOKUP(C83,Stammdaten!$A$11:$B$25,2,FALSE)</f>
        <v>Naturjoghurt 500g</v>
      </c>
      <c r="E83" s="3" t="str">
        <f>VLOOKUP(C83,Stammdaten!$A$11:$C$25,3,FALSE)</f>
        <v>Joghurt</v>
      </c>
      <c r="F83" s="19">
        <f>VLOOKUP(C83,Stammdaten!$A$11:$D$25,4,FALSE)</f>
        <v>0.89</v>
      </c>
      <c r="G83" s="4">
        <f t="shared" si="13"/>
        <v>7</v>
      </c>
      <c r="H83" s="20" t="str">
        <f>VLOOKUP(G83,Stammdaten!$A$30:$B$41,2,FALSE)</f>
        <v>Juli</v>
      </c>
      <c r="I83" s="4">
        <v>634</v>
      </c>
      <c r="J83" s="4">
        <v>599</v>
      </c>
      <c r="K83" s="4">
        <f t="shared" si="14"/>
        <v>-35</v>
      </c>
      <c r="L83" s="27">
        <f t="shared" si="15"/>
        <v>-5.5205047318611982</v>
      </c>
      <c r="M83" s="52" t="str">
        <f t="shared" si="16"/>
        <v>Schwund</v>
      </c>
      <c r="N83" s="28">
        <f t="shared" si="17"/>
        <v>31.150000000000002</v>
      </c>
      <c r="O83" s="5">
        <v>3</v>
      </c>
      <c r="P83" s="4">
        <v>1</v>
      </c>
      <c r="Q83" s="28">
        <f t="shared" si="18"/>
        <v>7.7875000000000005</v>
      </c>
      <c r="R83" s="50">
        <f t="shared" si="19"/>
        <v>9.3450000000000006</v>
      </c>
      <c r="S83" s="2" t="str">
        <f t="shared" si="20"/>
        <v>Normal</v>
      </c>
      <c r="T83" s="4">
        <v>0</v>
      </c>
      <c r="U83" s="4" t="str">
        <f t="shared" si="21"/>
        <v>Ja - 20% Reduzierung</v>
      </c>
      <c r="V83" s="4">
        <f t="shared" si="22"/>
        <v>20</v>
      </c>
      <c r="W83" s="19">
        <f t="shared" si="23"/>
        <v>0.71</v>
      </c>
      <c r="X83" s="5">
        <v>95</v>
      </c>
      <c r="Y83" s="28">
        <f t="shared" si="24"/>
        <v>16.91</v>
      </c>
      <c r="Z83" s="31" t="s">
        <v>173</v>
      </c>
      <c r="AA83" t="str">
        <f t="shared" si="25"/>
        <v>Buchungsfehler Wareneingang</v>
      </c>
    </row>
    <row r="84" spans="1:27" x14ac:dyDescent="0.35">
      <c r="A84" s="32" t="s">
        <v>14</v>
      </c>
      <c r="B84" s="2" t="str">
        <f>VLOOKUP(A84,Stammdaten!$A$3:$B$7,2,FALSE)</f>
        <v>Filiale Nord</v>
      </c>
      <c r="C84" s="3" t="str" cm="1">
        <f t="array" ref="C84">INDEX(Stammdaten!$A$11:$A$25,INT((ROW()-5)/12)+1 - INT((ROW()-5)/180)*15)</f>
        <v>A007</v>
      </c>
      <c r="D84" s="2" t="str">
        <f>VLOOKUP(C84,Stammdaten!$A$11:$B$25,2,FALSE)</f>
        <v>Naturjoghurt 500g</v>
      </c>
      <c r="E84" s="3" t="str">
        <f>VLOOKUP(C84,Stammdaten!$A$11:$C$25,3,FALSE)</f>
        <v>Joghurt</v>
      </c>
      <c r="F84" s="19">
        <f>VLOOKUP(C84,Stammdaten!$A$11:$D$25,4,FALSE)</f>
        <v>0.89</v>
      </c>
      <c r="G84" s="4">
        <f t="shared" si="13"/>
        <v>8</v>
      </c>
      <c r="H84" s="20" t="str">
        <f>VLOOKUP(G84,Stammdaten!$A$30:$B$41,2,FALSE)</f>
        <v>August</v>
      </c>
      <c r="I84" s="4">
        <v>607</v>
      </c>
      <c r="J84" s="4">
        <v>582</v>
      </c>
      <c r="K84" s="4">
        <f t="shared" si="14"/>
        <v>-25</v>
      </c>
      <c r="L84" s="27">
        <f t="shared" si="15"/>
        <v>-4.1186161449752881</v>
      </c>
      <c r="M84" s="52" t="str">
        <f t="shared" si="16"/>
        <v>Schwund</v>
      </c>
      <c r="N84" s="28">
        <f t="shared" si="17"/>
        <v>22.25</v>
      </c>
      <c r="O84" s="5">
        <v>11</v>
      </c>
      <c r="P84" s="4">
        <v>3</v>
      </c>
      <c r="Q84" s="28">
        <f t="shared" si="18"/>
        <v>5.5625</v>
      </c>
      <c r="R84" s="50">
        <f t="shared" si="19"/>
        <v>6.6749999999999998</v>
      </c>
      <c r="S84" s="2" t="str">
        <f t="shared" si="20"/>
        <v>Normal</v>
      </c>
      <c r="T84" s="4">
        <v>0</v>
      </c>
      <c r="U84" s="4" t="str">
        <f t="shared" si="21"/>
        <v>Nein</v>
      </c>
      <c r="V84" s="4">
        <f t="shared" si="22"/>
        <v>0</v>
      </c>
      <c r="W84" s="19">
        <f t="shared" si="23"/>
        <v>0.89</v>
      </c>
      <c r="X84" s="5">
        <v>0</v>
      </c>
      <c r="Y84" s="28">
        <f t="shared" si="24"/>
        <v>0</v>
      </c>
      <c r="Z84" s="31" t="s">
        <v>172</v>
      </c>
      <c r="AA84" t="str">
        <f t="shared" si="25"/>
        <v>Prozessfehler</v>
      </c>
    </row>
    <row r="85" spans="1:27" x14ac:dyDescent="0.35">
      <c r="A85" s="32" t="s">
        <v>14</v>
      </c>
      <c r="B85" s="2" t="str">
        <f>VLOOKUP(A85,Stammdaten!$A$3:$B$7,2,FALSE)</f>
        <v>Filiale Nord</v>
      </c>
      <c r="C85" s="3" t="str" cm="1">
        <f t="array" ref="C85">INDEX(Stammdaten!$A$11:$A$25,INT((ROW()-5)/12)+1 - INT((ROW()-5)/180)*15)</f>
        <v>A007</v>
      </c>
      <c r="D85" s="2" t="str">
        <f>VLOOKUP(C85,Stammdaten!$A$11:$B$25,2,FALSE)</f>
        <v>Naturjoghurt 500g</v>
      </c>
      <c r="E85" s="3" t="str">
        <f>VLOOKUP(C85,Stammdaten!$A$11:$C$25,3,FALSE)</f>
        <v>Joghurt</v>
      </c>
      <c r="F85" s="19">
        <f>VLOOKUP(C85,Stammdaten!$A$11:$D$25,4,FALSE)</f>
        <v>0.89</v>
      </c>
      <c r="G85" s="4">
        <f t="shared" si="13"/>
        <v>9</v>
      </c>
      <c r="H85" s="20" t="str">
        <f>VLOOKUP(G85,Stammdaten!$A$30:$B$41,2,FALSE)</f>
        <v>September</v>
      </c>
      <c r="I85" s="4">
        <v>496</v>
      </c>
      <c r="J85" s="4">
        <v>501</v>
      </c>
      <c r="K85" s="4">
        <f t="shared" si="14"/>
        <v>5</v>
      </c>
      <c r="L85" s="27">
        <f t="shared" si="15"/>
        <v>1.0080645161290323</v>
      </c>
      <c r="M85" s="52" t="str">
        <f t="shared" si="16"/>
        <v>Überbestand</v>
      </c>
      <c r="N85" s="28">
        <f t="shared" si="17"/>
        <v>4.45</v>
      </c>
      <c r="O85" s="5">
        <v>6</v>
      </c>
      <c r="P85" s="4">
        <v>4</v>
      </c>
      <c r="Q85" s="28">
        <f t="shared" si="18"/>
        <v>0</v>
      </c>
      <c r="R85" s="50">
        <f t="shared" si="19"/>
        <v>0</v>
      </c>
      <c r="S85" s="2" t="str">
        <f t="shared" si="20"/>
        <v>Normal</v>
      </c>
      <c r="T85" s="4">
        <v>5</v>
      </c>
      <c r="U85" s="4" t="str">
        <f t="shared" si="21"/>
        <v>Nein</v>
      </c>
      <c r="V85" s="4">
        <f t="shared" si="22"/>
        <v>0</v>
      </c>
      <c r="W85" s="19">
        <f t="shared" si="23"/>
        <v>0.89</v>
      </c>
      <c r="X85" s="5">
        <v>0</v>
      </c>
      <c r="Y85" s="28">
        <f t="shared" si="24"/>
        <v>0</v>
      </c>
      <c r="Z85" s="31" t="s">
        <v>172</v>
      </c>
      <c r="AA85" t="str">
        <f t="shared" si="25"/>
        <v>Kassenfehler (Überbestand)</v>
      </c>
    </row>
    <row r="86" spans="1:27" x14ac:dyDescent="0.35">
      <c r="A86" s="32" t="s">
        <v>14</v>
      </c>
      <c r="B86" s="2" t="str">
        <f>VLOOKUP(A86,Stammdaten!$A$3:$B$7,2,FALSE)</f>
        <v>Filiale Nord</v>
      </c>
      <c r="C86" s="3" t="str" cm="1">
        <f t="array" ref="C86">INDEX(Stammdaten!$A$11:$A$25,INT((ROW()-5)/12)+1 - INT((ROW()-5)/180)*15)</f>
        <v>A007</v>
      </c>
      <c r="D86" s="2" t="str">
        <f>VLOOKUP(C86,Stammdaten!$A$11:$B$25,2,FALSE)</f>
        <v>Naturjoghurt 500g</v>
      </c>
      <c r="E86" s="3" t="str">
        <f>VLOOKUP(C86,Stammdaten!$A$11:$C$25,3,FALSE)</f>
        <v>Joghurt</v>
      </c>
      <c r="F86" s="19">
        <f>VLOOKUP(C86,Stammdaten!$A$11:$D$25,4,FALSE)</f>
        <v>0.89</v>
      </c>
      <c r="G86" s="4">
        <f t="shared" si="13"/>
        <v>10</v>
      </c>
      <c r="H86" s="20" t="str">
        <f>VLOOKUP(G86,Stammdaten!$A$30:$B$41,2,FALSE)</f>
        <v>Oktober</v>
      </c>
      <c r="I86" s="4">
        <v>578</v>
      </c>
      <c r="J86" s="4">
        <v>552</v>
      </c>
      <c r="K86" s="4">
        <f t="shared" si="14"/>
        <v>-26</v>
      </c>
      <c r="L86" s="27">
        <f t="shared" si="15"/>
        <v>-4.4982698961937722</v>
      </c>
      <c r="M86" s="52" t="str">
        <f t="shared" si="16"/>
        <v>Schwund</v>
      </c>
      <c r="N86" s="28">
        <f t="shared" si="17"/>
        <v>23.14</v>
      </c>
      <c r="O86" s="5">
        <v>0</v>
      </c>
      <c r="P86" s="4">
        <v>0</v>
      </c>
      <c r="Q86" s="28">
        <f t="shared" si="18"/>
        <v>5.7850000000000001</v>
      </c>
      <c r="R86" s="50">
        <f t="shared" si="19"/>
        <v>6.9420000000000002</v>
      </c>
      <c r="S86" s="2" t="str">
        <f t="shared" si="20"/>
        <v>Normal</v>
      </c>
      <c r="T86" s="4">
        <v>0</v>
      </c>
      <c r="U86" s="4" t="str">
        <f t="shared" si="21"/>
        <v>Abschreibung</v>
      </c>
      <c r="V86" s="4">
        <f t="shared" si="22"/>
        <v>100</v>
      </c>
      <c r="W86" s="19">
        <f t="shared" si="23"/>
        <v>0</v>
      </c>
      <c r="X86" s="5">
        <v>17</v>
      </c>
      <c r="Y86" s="28">
        <f t="shared" si="24"/>
        <v>15.13</v>
      </c>
      <c r="Z86" s="31" t="s">
        <v>173</v>
      </c>
      <c r="AA86" t="str">
        <f t="shared" si="25"/>
        <v>Verderb - Abgelaufen</v>
      </c>
    </row>
    <row r="87" spans="1:27" x14ac:dyDescent="0.35">
      <c r="A87" s="32" t="s">
        <v>14</v>
      </c>
      <c r="B87" s="2" t="str">
        <f>VLOOKUP(A87,Stammdaten!$A$3:$B$7,2,FALSE)</f>
        <v>Filiale Nord</v>
      </c>
      <c r="C87" s="3" t="str" cm="1">
        <f t="array" ref="C87">INDEX(Stammdaten!$A$11:$A$25,INT((ROW()-5)/12)+1 - INT((ROW()-5)/180)*15)</f>
        <v>A007</v>
      </c>
      <c r="D87" s="2" t="str">
        <f>VLOOKUP(C87,Stammdaten!$A$11:$B$25,2,FALSE)</f>
        <v>Naturjoghurt 500g</v>
      </c>
      <c r="E87" s="3" t="str">
        <f>VLOOKUP(C87,Stammdaten!$A$11:$C$25,3,FALSE)</f>
        <v>Joghurt</v>
      </c>
      <c r="F87" s="19">
        <f>VLOOKUP(C87,Stammdaten!$A$11:$D$25,4,FALSE)</f>
        <v>0.89</v>
      </c>
      <c r="G87" s="4">
        <f t="shared" si="13"/>
        <v>11</v>
      </c>
      <c r="H87" s="20" t="str">
        <f>VLOOKUP(G87,Stammdaten!$A$30:$B$41,2,FALSE)</f>
        <v>November</v>
      </c>
      <c r="I87" s="4">
        <v>611</v>
      </c>
      <c r="J87" s="4">
        <v>592</v>
      </c>
      <c r="K87" s="4">
        <f t="shared" si="14"/>
        <v>-19</v>
      </c>
      <c r="L87" s="27">
        <f t="shared" si="15"/>
        <v>-3.1096563011456628</v>
      </c>
      <c r="M87" s="52" t="str">
        <f t="shared" si="16"/>
        <v>Schwund</v>
      </c>
      <c r="N87" s="28">
        <f t="shared" si="17"/>
        <v>16.91</v>
      </c>
      <c r="O87" s="5">
        <v>7</v>
      </c>
      <c r="P87" s="4">
        <v>4</v>
      </c>
      <c r="Q87" s="28">
        <f t="shared" si="18"/>
        <v>4.2275</v>
      </c>
      <c r="R87" s="50">
        <f t="shared" si="19"/>
        <v>5.0729999999999995</v>
      </c>
      <c r="S87" s="2" t="str">
        <f t="shared" si="20"/>
        <v>Black Friday</v>
      </c>
      <c r="T87" s="4">
        <v>0</v>
      </c>
      <c r="U87" s="4" t="str">
        <f t="shared" si="21"/>
        <v>Nein</v>
      </c>
      <c r="V87" s="4">
        <f t="shared" si="22"/>
        <v>0</v>
      </c>
      <c r="W87" s="19">
        <f t="shared" si="23"/>
        <v>0.89</v>
      </c>
      <c r="X87" s="5">
        <v>0</v>
      </c>
      <c r="Y87" s="28">
        <f t="shared" si="24"/>
        <v>0</v>
      </c>
      <c r="Z87" s="31" t="s">
        <v>172</v>
      </c>
      <c r="AA87" t="str">
        <f t="shared" si="25"/>
        <v>Prozessfehler</v>
      </c>
    </row>
    <row r="88" spans="1:27" x14ac:dyDescent="0.35">
      <c r="A88" s="32" t="s">
        <v>14</v>
      </c>
      <c r="B88" s="2" t="str">
        <f>VLOOKUP(A88,Stammdaten!$A$3:$B$7,2,FALSE)</f>
        <v>Filiale Nord</v>
      </c>
      <c r="C88" s="3" t="str" cm="1">
        <f t="array" ref="C88">INDEX(Stammdaten!$A$11:$A$25,INT((ROW()-5)/12)+1 - INT((ROW()-5)/180)*15)</f>
        <v>A007</v>
      </c>
      <c r="D88" s="2" t="str">
        <f>VLOOKUP(C88,Stammdaten!$A$11:$B$25,2,FALSE)</f>
        <v>Naturjoghurt 500g</v>
      </c>
      <c r="E88" s="3" t="str">
        <f>VLOOKUP(C88,Stammdaten!$A$11:$C$25,3,FALSE)</f>
        <v>Joghurt</v>
      </c>
      <c r="F88" s="19">
        <f>VLOOKUP(C88,Stammdaten!$A$11:$D$25,4,FALSE)</f>
        <v>0.89</v>
      </c>
      <c r="G88" s="4">
        <f t="shared" si="13"/>
        <v>12</v>
      </c>
      <c r="H88" s="20" t="str">
        <f>VLOOKUP(G88,Stammdaten!$A$30:$B$41,2,FALSE)</f>
        <v>Dezember</v>
      </c>
      <c r="I88" s="4">
        <v>785</v>
      </c>
      <c r="J88" s="4">
        <v>742</v>
      </c>
      <c r="K88" s="4">
        <f t="shared" si="14"/>
        <v>-43</v>
      </c>
      <c r="L88" s="27">
        <f t="shared" si="15"/>
        <v>-5.4777070063694273</v>
      </c>
      <c r="M88" s="52" t="str">
        <f t="shared" si="16"/>
        <v>Schwund</v>
      </c>
      <c r="N88" s="28">
        <f t="shared" si="17"/>
        <v>38.270000000000003</v>
      </c>
      <c r="O88" s="5">
        <v>1</v>
      </c>
      <c r="P88" s="4">
        <v>2</v>
      </c>
      <c r="Q88" s="28">
        <f t="shared" si="18"/>
        <v>9.5675000000000008</v>
      </c>
      <c r="R88" s="50">
        <f t="shared" si="19"/>
        <v>11.481</v>
      </c>
      <c r="S88" s="2" t="str">
        <f t="shared" si="20"/>
        <v>Weihnachten/Silvester</v>
      </c>
      <c r="T88" s="4">
        <v>0</v>
      </c>
      <c r="U88" s="4" t="str">
        <f t="shared" si="21"/>
        <v>Ja - 20% Reduzierung</v>
      </c>
      <c r="V88" s="4">
        <f t="shared" si="22"/>
        <v>20</v>
      </c>
      <c r="W88" s="19">
        <f t="shared" si="23"/>
        <v>0.71</v>
      </c>
      <c r="X88" s="5">
        <v>79</v>
      </c>
      <c r="Y88" s="28">
        <f t="shared" si="24"/>
        <v>14.06</v>
      </c>
      <c r="Z88" s="31" t="s">
        <v>173</v>
      </c>
      <c r="AA88" t="str">
        <f t="shared" si="25"/>
        <v>Prozessfehler</v>
      </c>
    </row>
    <row r="89" spans="1:27" x14ac:dyDescent="0.35">
      <c r="A89" s="32" t="s">
        <v>14</v>
      </c>
      <c r="B89" s="2" t="str">
        <f>VLOOKUP(A89,Stammdaten!$A$3:$B$7,2,FALSE)</f>
        <v>Filiale Nord</v>
      </c>
      <c r="C89" s="3" t="str" cm="1">
        <f t="array" ref="C89">INDEX(Stammdaten!$A$11:$A$25,INT((ROW()-5)/12)+1 - INT((ROW()-5)/180)*15)</f>
        <v>A008</v>
      </c>
      <c r="D89" s="2" t="str">
        <f>VLOOKUP(C89,Stammdaten!$A$11:$B$25,2,FALSE)</f>
        <v>Fruchtjoghurt 4er</v>
      </c>
      <c r="E89" s="3" t="str">
        <f>VLOOKUP(C89,Stammdaten!$A$11:$C$25,3,FALSE)</f>
        <v>Joghurt</v>
      </c>
      <c r="F89" s="19">
        <f>VLOOKUP(C89,Stammdaten!$A$11:$D$25,4,FALSE)</f>
        <v>1.89</v>
      </c>
      <c r="G89" s="4">
        <f t="shared" si="13"/>
        <v>1</v>
      </c>
      <c r="H89" s="20" t="str">
        <f>VLOOKUP(G89,Stammdaten!$A$30:$B$41,2,FALSE)</f>
        <v>Januar</v>
      </c>
      <c r="I89" s="4">
        <v>299</v>
      </c>
      <c r="J89" s="4">
        <v>287</v>
      </c>
      <c r="K89" s="4">
        <f t="shared" si="14"/>
        <v>-12</v>
      </c>
      <c r="L89" s="27">
        <f t="shared" si="15"/>
        <v>-4.0133779264214047</v>
      </c>
      <c r="M89" s="52" t="str">
        <f t="shared" si="16"/>
        <v>Schwund</v>
      </c>
      <c r="N89" s="28">
        <f t="shared" si="17"/>
        <v>22.68</v>
      </c>
      <c r="O89" s="5">
        <v>7</v>
      </c>
      <c r="P89" s="4">
        <v>5</v>
      </c>
      <c r="Q89" s="28">
        <f t="shared" si="18"/>
        <v>5.67</v>
      </c>
      <c r="R89" s="50">
        <f t="shared" si="19"/>
        <v>6.8039999999999994</v>
      </c>
      <c r="S89" s="2" t="str">
        <f t="shared" si="20"/>
        <v>Normal</v>
      </c>
      <c r="T89" s="4">
        <v>0</v>
      </c>
      <c r="U89" s="4" t="str">
        <f t="shared" si="21"/>
        <v>Nein</v>
      </c>
      <c r="V89" s="4">
        <f t="shared" si="22"/>
        <v>0</v>
      </c>
      <c r="W89" s="19">
        <f t="shared" si="23"/>
        <v>1.89</v>
      </c>
      <c r="X89" s="5">
        <v>0</v>
      </c>
      <c r="Y89" s="28">
        <f t="shared" si="24"/>
        <v>0</v>
      </c>
      <c r="Z89" s="31" t="s">
        <v>172</v>
      </c>
      <c r="AA89" t="str">
        <f t="shared" si="25"/>
        <v>Prozessfehler</v>
      </c>
    </row>
    <row r="90" spans="1:27" x14ac:dyDescent="0.35">
      <c r="A90" s="32" t="s">
        <v>14</v>
      </c>
      <c r="B90" s="2" t="str">
        <f>VLOOKUP(A90,Stammdaten!$A$3:$B$7,2,FALSE)</f>
        <v>Filiale Nord</v>
      </c>
      <c r="C90" s="3" t="str" cm="1">
        <f t="array" ref="C90">INDEX(Stammdaten!$A$11:$A$25,INT((ROW()-5)/12)+1 - INT((ROW()-5)/180)*15)</f>
        <v>A008</v>
      </c>
      <c r="D90" s="2" t="str">
        <f>VLOOKUP(C90,Stammdaten!$A$11:$B$25,2,FALSE)</f>
        <v>Fruchtjoghurt 4er</v>
      </c>
      <c r="E90" s="3" t="str">
        <f>VLOOKUP(C90,Stammdaten!$A$11:$C$25,3,FALSE)</f>
        <v>Joghurt</v>
      </c>
      <c r="F90" s="19">
        <f>VLOOKUP(C90,Stammdaten!$A$11:$D$25,4,FALSE)</f>
        <v>1.89</v>
      </c>
      <c r="G90" s="4">
        <f t="shared" si="13"/>
        <v>2</v>
      </c>
      <c r="H90" s="20" t="str">
        <f>VLOOKUP(G90,Stammdaten!$A$30:$B$41,2,FALSE)</f>
        <v>Februar</v>
      </c>
      <c r="I90" s="4">
        <v>303</v>
      </c>
      <c r="J90" s="4">
        <v>295</v>
      </c>
      <c r="K90" s="4">
        <f t="shared" si="14"/>
        <v>-8</v>
      </c>
      <c r="L90" s="27">
        <f t="shared" si="15"/>
        <v>-2.6402640264026402</v>
      </c>
      <c r="M90" s="52" t="str">
        <f t="shared" si="16"/>
        <v>Schwund</v>
      </c>
      <c r="N90" s="28">
        <f t="shared" si="17"/>
        <v>15.12</v>
      </c>
      <c r="O90" s="5">
        <v>0</v>
      </c>
      <c r="P90" s="4">
        <v>4</v>
      </c>
      <c r="Q90" s="28">
        <f t="shared" si="18"/>
        <v>3.78</v>
      </c>
      <c r="R90" s="50">
        <f t="shared" si="19"/>
        <v>4.5359999999999996</v>
      </c>
      <c r="S90" s="2" t="str">
        <f t="shared" si="20"/>
        <v>Karneval</v>
      </c>
      <c r="T90" s="4">
        <v>0</v>
      </c>
      <c r="U90" s="4" t="str">
        <f t="shared" si="21"/>
        <v>Abschreibung</v>
      </c>
      <c r="V90" s="4">
        <f t="shared" si="22"/>
        <v>100</v>
      </c>
      <c r="W90" s="19">
        <f t="shared" si="23"/>
        <v>0</v>
      </c>
      <c r="X90" s="5">
        <v>6</v>
      </c>
      <c r="Y90" s="28">
        <f t="shared" si="24"/>
        <v>11.34</v>
      </c>
      <c r="Z90" s="31" t="s">
        <v>173</v>
      </c>
      <c r="AA90" t="str">
        <f t="shared" si="25"/>
        <v>Verderb - Abgelaufen</v>
      </c>
    </row>
    <row r="91" spans="1:27" x14ac:dyDescent="0.35">
      <c r="A91" s="32" t="s">
        <v>14</v>
      </c>
      <c r="B91" s="2" t="str">
        <f>VLOOKUP(A91,Stammdaten!$A$3:$B$7,2,FALSE)</f>
        <v>Filiale Nord</v>
      </c>
      <c r="C91" s="3" t="str" cm="1">
        <f t="array" ref="C91">INDEX(Stammdaten!$A$11:$A$25,INT((ROW()-5)/12)+1 - INT((ROW()-5)/180)*15)</f>
        <v>A008</v>
      </c>
      <c r="D91" s="2" t="str">
        <f>VLOOKUP(C91,Stammdaten!$A$11:$B$25,2,FALSE)</f>
        <v>Fruchtjoghurt 4er</v>
      </c>
      <c r="E91" s="3" t="str">
        <f>VLOOKUP(C91,Stammdaten!$A$11:$C$25,3,FALSE)</f>
        <v>Joghurt</v>
      </c>
      <c r="F91" s="19">
        <f>VLOOKUP(C91,Stammdaten!$A$11:$D$25,4,FALSE)</f>
        <v>1.89</v>
      </c>
      <c r="G91" s="4">
        <f t="shared" si="13"/>
        <v>3</v>
      </c>
      <c r="H91" s="20" t="str">
        <f>VLOOKUP(G91,Stammdaten!$A$30:$B$41,2,FALSE)</f>
        <v>März</v>
      </c>
      <c r="I91" s="4">
        <v>371</v>
      </c>
      <c r="J91" s="4">
        <v>360</v>
      </c>
      <c r="K91" s="4">
        <f t="shared" si="14"/>
        <v>-11</v>
      </c>
      <c r="L91" s="27">
        <f t="shared" si="15"/>
        <v>-2.9649595687331538</v>
      </c>
      <c r="M91" s="52" t="str">
        <f t="shared" si="16"/>
        <v>Schwund</v>
      </c>
      <c r="N91" s="28">
        <f t="shared" si="17"/>
        <v>20.79</v>
      </c>
      <c r="O91" s="5">
        <v>10</v>
      </c>
      <c r="P91" s="4">
        <v>3</v>
      </c>
      <c r="Q91" s="28">
        <f t="shared" si="18"/>
        <v>5.1974999999999998</v>
      </c>
      <c r="R91" s="50">
        <f t="shared" si="19"/>
        <v>6.2369999999999992</v>
      </c>
      <c r="S91" s="2" t="str">
        <f t="shared" si="20"/>
        <v>Normal</v>
      </c>
      <c r="T91" s="4">
        <v>0</v>
      </c>
      <c r="U91" s="4" t="str">
        <f t="shared" si="21"/>
        <v>Nein</v>
      </c>
      <c r="V91" s="4">
        <f t="shared" si="22"/>
        <v>0</v>
      </c>
      <c r="W91" s="19">
        <f t="shared" si="23"/>
        <v>1.89</v>
      </c>
      <c r="X91" s="5">
        <v>0</v>
      </c>
      <c r="Y91" s="28">
        <f t="shared" si="24"/>
        <v>0</v>
      </c>
      <c r="Z91" s="31" t="s">
        <v>172</v>
      </c>
      <c r="AA91" t="str">
        <f t="shared" si="25"/>
        <v>Prozessfehler</v>
      </c>
    </row>
    <row r="92" spans="1:27" x14ac:dyDescent="0.35">
      <c r="A92" s="32" t="s">
        <v>14</v>
      </c>
      <c r="B92" s="2" t="str">
        <f>VLOOKUP(A92,Stammdaten!$A$3:$B$7,2,FALSE)</f>
        <v>Filiale Nord</v>
      </c>
      <c r="C92" s="3" t="str" cm="1">
        <f t="array" ref="C92">INDEX(Stammdaten!$A$11:$A$25,INT((ROW()-5)/12)+1 - INT((ROW()-5)/180)*15)</f>
        <v>A008</v>
      </c>
      <c r="D92" s="2" t="str">
        <f>VLOOKUP(C92,Stammdaten!$A$11:$B$25,2,FALSE)</f>
        <v>Fruchtjoghurt 4er</v>
      </c>
      <c r="E92" s="3" t="str">
        <f>VLOOKUP(C92,Stammdaten!$A$11:$C$25,3,FALSE)</f>
        <v>Joghurt</v>
      </c>
      <c r="F92" s="19">
        <f>VLOOKUP(C92,Stammdaten!$A$11:$D$25,4,FALSE)</f>
        <v>1.89</v>
      </c>
      <c r="G92" s="4">
        <f t="shared" si="13"/>
        <v>4</v>
      </c>
      <c r="H92" s="20" t="str">
        <f>VLOOKUP(G92,Stammdaten!$A$30:$B$41,2,FALSE)</f>
        <v>April</v>
      </c>
      <c r="I92" s="4">
        <v>433</v>
      </c>
      <c r="J92" s="4">
        <v>436</v>
      </c>
      <c r="K92" s="4">
        <f t="shared" si="14"/>
        <v>3</v>
      </c>
      <c r="L92" s="27">
        <f t="shared" si="15"/>
        <v>0.69284064665127021</v>
      </c>
      <c r="M92" s="52" t="str">
        <f t="shared" si="16"/>
        <v>Überbestand</v>
      </c>
      <c r="N92" s="28">
        <f t="shared" si="17"/>
        <v>5.67</v>
      </c>
      <c r="O92" s="5">
        <v>7</v>
      </c>
      <c r="P92" s="4">
        <v>3</v>
      </c>
      <c r="Q92" s="28">
        <f t="shared" si="18"/>
        <v>0</v>
      </c>
      <c r="R92" s="50">
        <f t="shared" si="19"/>
        <v>0</v>
      </c>
      <c r="S92" s="2" t="str">
        <f t="shared" si="20"/>
        <v>Ostern</v>
      </c>
      <c r="T92" s="4">
        <v>3</v>
      </c>
      <c r="U92" s="4" t="str">
        <f t="shared" si="21"/>
        <v>Nein</v>
      </c>
      <c r="V92" s="4">
        <f t="shared" si="22"/>
        <v>0</v>
      </c>
      <c r="W92" s="19">
        <f t="shared" si="23"/>
        <v>1.89</v>
      </c>
      <c r="X92" s="5">
        <v>0</v>
      </c>
      <c r="Y92" s="28">
        <f t="shared" si="24"/>
        <v>0</v>
      </c>
      <c r="Z92" s="31" t="s">
        <v>172</v>
      </c>
      <c r="AA92" t="str">
        <f t="shared" si="25"/>
        <v>Kassenfehler (Überbestand)</v>
      </c>
    </row>
    <row r="93" spans="1:27" x14ac:dyDescent="0.35">
      <c r="A93" s="32" t="s">
        <v>14</v>
      </c>
      <c r="B93" s="2" t="str">
        <f>VLOOKUP(A93,Stammdaten!$A$3:$B$7,2,FALSE)</f>
        <v>Filiale Nord</v>
      </c>
      <c r="C93" s="3" t="str" cm="1">
        <f t="array" ref="C93">INDEX(Stammdaten!$A$11:$A$25,INT((ROW()-5)/12)+1 - INT((ROW()-5)/180)*15)</f>
        <v>A008</v>
      </c>
      <c r="D93" s="2" t="str">
        <f>VLOOKUP(C93,Stammdaten!$A$11:$B$25,2,FALSE)</f>
        <v>Fruchtjoghurt 4er</v>
      </c>
      <c r="E93" s="3" t="str">
        <f>VLOOKUP(C93,Stammdaten!$A$11:$C$25,3,FALSE)</f>
        <v>Joghurt</v>
      </c>
      <c r="F93" s="19">
        <f>VLOOKUP(C93,Stammdaten!$A$11:$D$25,4,FALSE)</f>
        <v>1.89</v>
      </c>
      <c r="G93" s="4">
        <f t="shared" si="13"/>
        <v>5</v>
      </c>
      <c r="H93" s="20" t="str">
        <f>VLOOKUP(G93,Stammdaten!$A$30:$B$41,2,FALSE)</f>
        <v>Mai</v>
      </c>
      <c r="I93" s="4">
        <v>354</v>
      </c>
      <c r="J93" s="4">
        <v>342</v>
      </c>
      <c r="K93" s="4">
        <f t="shared" si="14"/>
        <v>-12</v>
      </c>
      <c r="L93" s="27">
        <f t="shared" si="15"/>
        <v>-3.3898305084745761</v>
      </c>
      <c r="M93" s="52" t="str">
        <f t="shared" si="16"/>
        <v>Schwund</v>
      </c>
      <c r="N93" s="28">
        <f t="shared" si="17"/>
        <v>22.68</v>
      </c>
      <c r="O93" s="5">
        <v>1</v>
      </c>
      <c r="P93" s="4">
        <v>0</v>
      </c>
      <c r="Q93" s="28">
        <f t="shared" si="18"/>
        <v>5.67</v>
      </c>
      <c r="R93" s="50">
        <f t="shared" si="19"/>
        <v>6.8039999999999994</v>
      </c>
      <c r="S93" s="2" t="str">
        <f t="shared" si="20"/>
        <v>Normal</v>
      </c>
      <c r="T93" s="4">
        <v>0</v>
      </c>
      <c r="U93" s="4" t="str">
        <f t="shared" si="21"/>
        <v>Ja - 20% Reduzierung</v>
      </c>
      <c r="V93" s="4">
        <f t="shared" si="22"/>
        <v>20</v>
      </c>
      <c r="W93" s="19">
        <f t="shared" si="23"/>
        <v>1.51</v>
      </c>
      <c r="X93" s="5">
        <v>18</v>
      </c>
      <c r="Y93" s="28">
        <f t="shared" si="24"/>
        <v>6.8</v>
      </c>
      <c r="Z93" s="31" t="s">
        <v>173</v>
      </c>
      <c r="AA93" t="str">
        <f t="shared" si="25"/>
        <v>Buchungsfehler Wareneingang</v>
      </c>
    </row>
    <row r="94" spans="1:27" x14ac:dyDescent="0.35">
      <c r="A94" s="32" t="s">
        <v>14</v>
      </c>
      <c r="B94" s="2" t="str">
        <f>VLOOKUP(A94,Stammdaten!$A$3:$B$7,2,FALSE)</f>
        <v>Filiale Nord</v>
      </c>
      <c r="C94" s="3" t="str" cm="1">
        <f t="array" ref="C94">INDEX(Stammdaten!$A$11:$A$25,INT((ROW()-5)/12)+1 - INT((ROW()-5)/180)*15)</f>
        <v>A008</v>
      </c>
      <c r="D94" s="2" t="str">
        <f>VLOOKUP(C94,Stammdaten!$A$11:$B$25,2,FALSE)</f>
        <v>Fruchtjoghurt 4er</v>
      </c>
      <c r="E94" s="3" t="str">
        <f>VLOOKUP(C94,Stammdaten!$A$11:$C$25,3,FALSE)</f>
        <v>Joghurt</v>
      </c>
      <c r="F94" s="19">
        <f>VLOOKUP(C94,Stammdaten!$A$11:$D$25,4,FALSE)</f>
        <v>1.89</v>
      </c>
      <c r="G94" s="4">
        <f t="shared" si="13"/>
        <v>6</v>
      </c>
      <c r="H94" s="20" t="str">
        <f>VLOOKUP(G94,Stammdaten!$A$30:$B$41,2,FALSE)</f>
        <v>Juni</v>
      </c>
      <c r="I94" s="4">
        <v>389</v>
      </c>
      <c r="J94" s="4">
        <v>368</v>
      </c>
      <c r="K94" s="4">
        <f t="shared" si="14"/>
        <v>-21</v>
      </c>
      <c r="L94" s="27">
        <f t="shared" si="15"/>
        <v>-5.3984575835475574</v>
      </c>
      <c r="M94" s="52" t="str">
        <f t="shared" si="16"/>
        <v>Schwund</v>
      </c>
      <c r="N94" s="28">
        <f t="shared" si="17"/>
        <v>39.69</v>
      </c>
      <c r="O94" s="5">
        <v>5</v>
      </c>
      <c r="P94" s="4">
        <v>4</v>
      </c>
      <c r="Q94" s="28">
        <f t="shared" si="18"/>
        <v>9.9224999999999994</v>
      </c>
      <c r="R94" s="50">
        <f t="shared" si="19"/>
        <v>11.906999999999998</v>
      </c>
      <c r="S94" s="2" t="str">
        <f t="shared" si="20"/>
        <v>Normal</v>
      </c>
      <c r="T94" s="4">
        <v>0</v>
      </c>
      <c r="U94" s="4" t="str">
        <f t="shared" si="21"/>
        <v>Nein</v>
      </c>
      <c r="V94" s="4">
        <f t="shared" si="22"/>
        <v>0</v>
      </c>
      <c r="W94" s="19">
        <f t="shared" si="23"/>
        <v>1.89</v>
      </c>
      <c r="X94" s="5">
        <v>0</v>
      </c>
      <c r="Y94" s="28">
        <f t="shared" si="24"/>
        <v>0</v>
      </c>
      <c r="Z94" s="31" t="s">
        <v>172</v>
      </c>
      <c r="AA94" t="str">
        <f t="shared" si="25"/>
        <v>Prozessfehler</v>
      </c>
    </row>
    <row r="95" spans="1:27" x14ac:dyDescent="0.35">
      <c r="A95" s="32" t="s">
        <v>14</v>
      </c>
      <c r="B95" s="2" t="str">
        <f>VLOOKUP(A95,Stammdaten!$A$3:$B$7,2,FALSE)</f>
        <v>Filiale Nord</v>
      </c>
      <c r="C95" s="3" t="str" cm="1">
        <f t="array" ref="C95">INDEX(Stammdaten!$A$11:$A$25,INT((ROW()-5)/12)+1 - INT((ROW()-5)/180)*15)</f>
        <v>A008</v>
      </c>
      <c r="D95" s="2" t="str">
        <f>VLOOKUP(C95,Stammdaten!$A$11:$B$25,2,FALSE)</f>
        <v>Fruchtjoghurt 4er</v>
      </c>
      <c r="E95" s="3" t="str">
        <f>VLOOKUP(C95,Stammdaten!$A$11:$C$25,3,FALSE)</f>
        <v>Joghurt</v>
      </c>
      <c r="F95" s="19">
        <f>VLOOKUP(C95,Stammdaten!$A$11:$D$25,4,FALSE)</f>
        <v>1.89</v>
      </c>
      <c r="G95" s="4">
        <f t="shared" si="13"/>
        <v>7</v>
      </c>
      <c r="H95" s="20" t="str">
        <f>VLOOKUP(G95,Stammdaten!$A$30:$B$41,2,FALSE)</f>
        <v>Juli</v>
      </c>
      <c r="I95" s="4">
        <v>424</v>
      </c>
      <c r="J95" s="4">
        <v>406</v>
      </c>
      <c r="K95" s="4">
        <f t="shared" si="14"/>
        <v>-18</v>
      </c>
      <c r="L95" s="27">
        <f t="shared" si="15"/>
        <v>-4.2452830188679247</v>
      </c>
      <c r="M95" s="52" t="str">
        <f t="shared" si="16"/>
        <v>Schwund</v>
      </c>
      <c r="N95" s="28">
        <f t="shared" si="17"/>
        <v>34.019999999999996</v>
      </c>
      <c r="O95" s="5">
        <v>1</v>
      </c>
      <c r="P95" s="4">
        <v>4</v>
      </c>
      <c r="Q95" s="28">
        <f t="shared" si="18"/>
        <v>8.504999999999999</v>
      </c>
      <c r="R95" s="50">
        <f t="shared" si="19"/>
        <v>10.205999999999998</v>
      </c>
      <c r="S95" s="2" t="str">
        <f t="shared" si="20"/>
        <v>Normal</v>
      </c>
      <c r="T95" s="4">
        <v>0</v>
      </c>
      <c r="U95" s="4" t="str">
        <f t="shared" si="21"/>
        <v>Ja - 20% Reduzierung</v>
      </c>
      <c r="V95" s="4">
        <f t="shared" si="22"/>
        <v>20</v>
      </c>
      <c r="W95" s="19">
        <f t="shared" si="23"/>
        <v>1.51</v>
      </c>
      <c r="X95" s="5">
        <v>30</v>
      </c>
      <c r="Y95" s="28">
        <f t="shared" si="24"/>
        <v>11.34</v>
      </c>
      <c r="Z95" s="31" t="s">
        <v>173</v>
      </c>
      <c r="AA95" t="str">
        <f t="shared" si="25"/>
        <v>Prozessfehler</v>
      </c>
    </row>
    <row r="96" spans="1:27" x14ac:dyDescent="0.35">
      <c r="A96" s="32" t="s">
        <v>14</v>
      </c>
      <c r="B96" s="2" t="str">
        <f>VLOOKUP(A96,Stammdaten!$A$3:$B$7,2,FALSE)</f>
        <v>Filiale Nord</v>
      </c>
      <c r="C96" s="3" t="str" cm="1">
        <f t="array" ref="C96">INDEX(Stammdaten!$A$11:$A$25,INT((ROW()-5)/12)+1 - INT((ROW()-5)/180)*15)</f>
        <v>A008</v>
      </c>
      <c r="D96" s="2" t="str">
        <f>VLOOKUP(C96,Stammdaten!$A$11:$B$25,2,FALSE)</f>
        <v>Fruchtjoghurt 4er</v>
      </c>
      <c r="E96" s="3" t="str">
        <f>VLOOKUP(C96,Stammdaten!$A$11:$C$25,3,FALSE)</f>
        <v>Joghurt</v>
      </c>
      <c r="F96" s="19">
        <f>VLOOKUP(C96,Stammdaten!$A$11:$D$25,4,FALSE)</f>
        <v>1.89</v>
      </c>
      <c r="G96" s="4">
        <f t="shared" si="13"/>
        <v>8</v>
      </c>
      <c r="H96" s="20" t="str">
        <f>VLOOKUP(G96,Stammdaten!$A$30:$B$41,2,FALSE)</f>
        <v>August</v>
      </c>
      <c r="I96" s="4">
        <v>403</v>
      </c>
      <c r="J96" s="4">
        <v>379</v>
      </c>
      <c r="K96" s="4">
        <f t="shared" si="14"/>
        <v>-24</v>
      </c>
      <c r="L96" s="27">
        <f t="shared" si="15"/>
        <v>-5.9553349875930524</v>
      </c>
      <c r="M96" s="52" t="str">
        <f t="shared" si="16"/>
        <v>Schwund</v>
      </c>
      <c r="N96" s="28">
        <f t="shared" si="17"/>
        <v>45.36</v>
      </c>
      <c r="O96" s="5">
        <v>4</v>
      </c>
      <c r="P96" s="4">
        <v>4</v>
      </c>
      <c r="Q96" s="28">
        <f t="shared" si="18"/>
        <v>11.34</v>
      </c>
      <c r="R96" s="50">
        <f t="shared" si="19"/>
        <v>13.607999999999999</v>
      </c>
      <c r="S96" s="2" t="str">
        <f t="shared" si="20"/>
        <v>Normal</v>
      </c>
      <c r="T96" s="4">
        <v>0</v>
      </c>
      <c r="U96" s="4" t="str">
        <f t="shared" si="21"/>
        <v>Nein</v>
      </c>
      <c r="V96" s="4">
        <f t="shared" si="22"/>
        <v>0</v>
      </c>
      <c r="W96" s="19">
        <f t="shared" si="23"/>
        <v>1.89</v>
      </c>
      <c r="X96" s="5">
        <v>0</v>
      </c>
      <c r="Y96" s="28">
        <f t="shared" si="24"/>
        <v>0</v>
      </c>
      <c r="Z96" s="31" t="s">
        <v>172</v>
      </c>
      <c r="AA96" t="str">
        <f t="shared" si="25"/>
        <v>Prozessfehler</v>
      </c>
    </row>
    <row r="97" spans="1:27" x14ac:dyDescent="0.35">
      <c r="A97" s="32" t="s">
        <v>14</v>
      </c>
      <c r="B97" s="2" t="str">
        <f>VLOOKUP(A97,Stammdaten!$A$3:$B$7,2,FALSE)</f>
        <v>Filiale Nord</v>
      </c>
      <c r="C97" s="3" t="str" cm="1">
        <f t="array" ref="C97">INDEX(Stammdaten!$A$11:$A$25,INT((ROW()-5)/12)+1 - INT((ROW()-5)/180)*15)</f>
        <v>A008</v>
      </c>
      <c r="D97" s="2" t="str">
        <f>VLOOKUP(C97,Stammdaten!$A$11:$B$25,2,FALSE)</f>
        <v>Fruchtjoghurt 4er</v>
      </c>
      <c r="E97" s="3" t="str">
        <f>VLOOKUP(C97,Stammdaten!$A$11:$C$25,3,FALSE)</f>
        <v>Joghurt</v>
      </c>
      <c r="F97" s="19">
        <f>VLOOKUP(C97,Stammdaten!$A$11:$D$25,4,FALSE)</f>
        <v>1.89</v>
      </c>
      <c r="G97" s="4">
        <f t="shared" si="13"/>
        <v>9</v>
      </c>
      <c r="H97" s="20" t="str">
        <f>VLOOKUP(G97,Stammdaten!$A$30:$B$41,2,FALSE)</f>
        <v>September</v>
      </c>
      <c r="I97" s="4">
        <v>342</v>
      </c>
      <c r="J97" s="4">
        <v>330</v>
      </c>
      <c r="K97" s="4">
        <f t="shared" si="14"/>
        <v>-12</v>
      </c>
      <c r="L97" s="27">
        <f t="shared" si="15"/>
        <v>-3.5087719298245612</v>
      </c>
      <c r="M97" s="52" t="str">
        <f t="shared" si="16"/>
        <v>Schwund</v>
      </c>
      <c r="N97" s="28">
        <f t="shared" si="17"/>
        <v>22.68</v>
      </c>
      <c r="O97" s="5">
        <v>5</v>
      </c>
      <c r="P97" s="4">
        <v>1</v>
      </c>
      <c r="Q97" s="28">
        <f t="shared" si="18"/>
        <v>5.67</v>
      </c>
      <c r="R97" s="50">
        <f t="shared" si="19"/>
        <v>6.8039999999999994</v>
      </c>
      <c r="S97" s="2" t="str">
        <f t="shared" si="20"/>
        <v>Normal</v>
      </c>
      <c r="T97" s="4">
        <v>0</v>
      </c>
      <c r="U97" s="4" t="str">
        <f t="shared" si="21"/>
        <v>Nein</v>
      </c>
      <c r="V97" s="4">
        <f t="shared" si="22"/>
        <v>0</v>
      </c>
      <c r="W97" s="19">
        <f t="shared" si="23"/>
        <v>1.89</v>
      </c>
      <c r="X97" s="5">
        <v>0</v>
      </c>
      <c r="Y97" s="28">
        <f t="shared" si="24"/>
        <v>0</v>
      </c>
      <c r="Z97" s="31" t="s">
        <v>172</v>
      </c>
      <c r="AA97" t="str">
        <f t="shared" si="25"/>
        <v>Buchungsfehler Wareneingang</v>
      </c>
    </row>
    <row r="98" spans="1:27" x14ac:dyDescent="0.35">
      <c r="A98" s="32" t="s">
        <v>14</v>
      </c>
      <c r="B98" s="2" t="str">
        <f>VLOOKUP(A98,Stammdaten!$A$3:$B$7,2,FALSE)</f>
        <v>Filiale Nord</v>
      </c>
      <c r="C98" s="3" t="str" cm="1">
        <f t="array" ref="C98">INDEX(Stammdaten!$A$11:$A$25,INT((ROW()-5)/12)+1 - INT((ROW()-5)/180)*15)</f>
        <v>A008</v>
      </c>
      <c r="D98" s="2" t="str">
        <f>VLOOKUP(C98,Stammdaten!$A$11:$B$25,2,FALSE)</f>
        <v>Fruchtjoghurt 4er</v>
      </c>
      <c r="E98" s="3" t="str">
        <f>VLOOKUP(C98,Stammdaten!$A$11:$C$25,3,FALSE)</f>
        <v>Joghurt</v>
      </c>
      <c r="F98" s="19">
        <f>VLOOKUP(C98,Stammdaten!$A$11:$D$25,4,FALSE)</f>
        <v>1.89</v>
      </c>
      <c r="G98" s="4">
        <f t="shared" si="13"/>
        <v>10</v>
      </c>
      <c r="H98" s="20" t="str">
        <f>VLOOKUP(G98,Stammdaten!$A$30:$B$41,2,FALSE)</f>
        <v>Oktober</v>
      </c>
      <c r="I98" s="4">
        <v>354</v>
      </c>
      <c r="J98" s="4">
        <v>342</v>
      </c>
      <c r="K98" s="4">
        <f t="shared" si="14"/>
        <v>-12</v>
      </c>
      <c r="L98" s="27">
        <f t="shared" si="15"/>
        <v>-3.3898305084745761</v>
      </c>
      <c r="M98" s="52" t="str">
        <f t="shared" si="16"/>
        <v>Schwund</v>
      </c>
      <c r="N98" s="28">
        <f t="shared" si="17"/>
        <v>22.68</v>
      </c>
      <c r="O98" s="5">
        <v>1</v>
      </c>
      <c r="P98" s="4">
        <v>2</v>
      </c>
      <c r="Q98" s="28">
        <f t="shared" si="18"/>
        <v>5.67</v>
      </c>
      <c r="R98" s="50">
        <f t="shared" si="19"/>
        <v>6.8039999999999994</v>
      </c>
      <c r="S98" s="2" t="str">
        <f t="shared" si="20"/>
        <v>Normal</v>
      </c>
      <c r="T98" s="4">
        <v>0</v>
      </c>
      <c r="U98" s="4" t="str">
        <f t="shared" si="21"/>
        <v>Ja - 20% Reduzierung</v>
      </c>
      <c r="V98" s="4">
        <f t="shared" si="22"/>
        <v>20</v>
      </c>
      <c r="W98" s="19">
        <f t="shared" si="23"/>
        <v>1.51</v>
      </c>
      <c r="X98" s="5">
        <v>42</v>
      </c>
      <c r="Y98" s="28">
        <f t="shared" si="24"/>
        <v>15.88</v>
      </c>
      <c r="Z98" s="31" t="s">
        <v>173</v>
      </c>
      <c r="AA98" t="str">
        <f t="shared" si="25"/>
        <v>Prozessfehler</v>
      </c>
    </row>
    <row r="99" spans="1:27" x14ac:dyDescent="0.35">
      <c r="A99" s="32" t="s">
        <v>14</v>
      </c>
      <c r="B99" s="2" t="str">
        <f>VLOOKUP(A99,Stammdaten!$A$3:$B$7,2,FALSE)</f>
        <v>Filiale Nord</v>
      </c>
      <c r="C99" s="3" t="str" cm="1">
        <f t="array" ref="C99">INDEX(Stammdaten!$A$11:$A$25,INT((ROW()-5)/12)+1 - INT((ROW()-5)/180)*15)</f>
        <v>A008</v>
      </c>
      <c r="D99" s="2" t="str">
        <f>VLOOKUP(C99,Stammdaten!$A$11:$B$25,2,FALSE)</f>
        <v>Fruchtjoghurt 4er</v>
      </c>
      <c r="E99" s="3" t="str">
        <f>VLOOKUP(C99,Stammdaten!$A$11:$C$25,3,FALSE)</f>
        <v>Joghurt</v>
      </c>
      <c r="F99" s="19">
        <f>VLOOKUP(C99,Stammdaten!$A$11:$D$25,4,FALSE)</f>
        <v>1.89</v>
      </c>
      <c r="G99" s="4">
        <f t="shared" si="13"/>
        <v>11</v>
      </c>
      <c r="H99" s="20" t="str">
        <f>VLOOKUP(G99,Stammdaten!$A$30:$B$41,2,FALSE)</f>
        <v>November</v>
      </c>
      <c r="I99" s="4">
        <v>397</v>
      </c>
      <c r="J99" s="4">
        <v>383</v>
      </c>
      <c r="K99" s="4">
        <f t="shared" si="14"/>
        <v>-14</v>
      </c>
      <c r="L99" s="27">
        <f t="shared" si="15"/>
        <v>-3.5264483627204033</v>
      </c>
      <c r="M99" s="52" t="str">
        <f t="shared" si="16"/>
        <v>Schwund</v>
      </c>
      <c r="N99" s="28">
        <f t="shared" si="17"/>
        <v>26.459999999999997</v>
      </c>
      <c r="O99" s="5">
        <v>7</v>
      </c>
      <c r="P99" s="4">
        <v>3</v>
      </c>
      <c r="Q99" s="28">
        <f t="shared" si="18"/>
        <v>6.6149999999999993</v>
      </c>
      <c r="R99" s="50">
        <f t="shared" si="19"/>
        <v>7.9379999999999988</v>
      </c>
      <c r="S99" s="2" t="str">
        <f t="shared" si="20"/>
        <v>Black Friday</v>
      </c>
      <c r="T99" s="4">
        <v>0</v>
      </c>
      <c r="U99" s="4" t="str">
        <f t="shared" si="21"/>
        <v>Nein</v>
      </c>
      <c r="V99" s="4">
        <f t="shared" si="22"/>
        <v>0</v>
      </c>
      <c r="W99" s="19">
        <f t="shared" si="23"/>
        <v>1.89</v>
      </c>
      <c r="X99" s="5">
        <v>0</v>
      </c>
      <c r="Y99" s="28">
        <f t="shared" si="24"/>
        <v>0</v>
      </c>
      <c r="Z99" s="31" t="s">
        <v>172</v>
      </c>
      <c r="AA99" t="str">
        <f t="shared" si="25"/>
        <v>Prozessfehler</v>
      </c>
    </row>
    <row r="100" spans="1:27" x14ac:dyDescent="0.35">
      <c r="A100" s="32" t="s">
        <v>14</v>
      </c>
      <c r="B100" s="2" t="str">
        <f>VLOOKUP(A100,Stammdaten!$A$3:$B$7,2,FALSE)</f>
        <v>Filiale Nord</v>
      </c>
      <c r="C100" s="3" t="str" cm="1">
        <f t="array" ref="C100">INDEX(Stammdaten!$A$11:$A$25,INT((ROW()-5)/12)+1 - INT((ROW()-5)/180)*15)</f>
        <v>A008</v>
      </c>
      <c r="D100" s="2" t="str">
        <f>VLOOKUP(C100,Stammdaten!$A$11:$B$25,2,FALSE)</f>
        <v>Fruchtjoghurt 4er</v>
      </c>
      <c r="E100" s="3" t="str">
        <f>VLOOKUP(C100,Stammdaten!$A$11:$C$25,3,FALSE)</f>
        <v>Joghurt</v>
      </c>
      <c r="F100" s="19">
        <f>VLOOKUP(C100,Stammdaten!$A$11:$D$25,4,FALSE)</f>
        <v>1.89</v>
      </c>
      <c r="G100" s="4">
        <f t="shared" si="13"/>
        <v>12</v>
      </c>
      <c r="H100" s="20" t="str">
        <f>VLOOKUP(G100,Stammdaten!$A$30:$B$41,2,FALSE)</f>
        <v>Dezember</v>
      </c>
      <c r="I100" s="4">
        <v>500</v>
      </c>
      <c r="J100" s="4">
        <v>500</v>
      </c>
      <c r="K100" s="4">
        <f t="shared" si="14"/>
        <v>0</v>
      </c>
      <c r="L100" s="27">
        <f t="shared" si="15"/>
        <v>0</v>
      </c>
      <c r="M100" s="52" t="str">
        <f t="shared" si="16"/>
        <v>Perfekt</v>
      </c>
      <c r="N100" s="28">
        <f t="shared" si="17"/>
        <v>0</v>
      </c>
      <c r="O100" s="5">
        <v>3</v>
      </c>
      <c r="P100" s="4">
        <v>2</v>
      </c>
      <c r="Q100" s="28">
        <f t="shared" si="18"/>
        <v>0</v>
      </c>
      <c r="R100" s="50">
        <f t="shared" si="19"/>
        <v>0</v>
      </c>
      <c r="S100" s="2" t="str">
        <f t="shared" si="20"/>
        <v>Weihnachten/Silvester</v>
      </c>
      <c r="T100" s="4">
        <v>0</v>
      </c>
      <c r="U100" s="4" t="str">
        <f t="shared" si="21"/>
        <v>Ja - 20% Reduzierung</v>
      </c>
      <c r="V100" s="4">
        <f t="shared" si="22"/>
        <v>20</v>
      </c>
      <c r="W100" s="19">
        <f t="shared" si="23"/>
        <v>1.51</v>
      </c>
      <c r="X100" s="5">
        <v>40</v>
      </c>
      <c r="Y100" s="28">
        <f t="shared" si="24"/>
        <v>15.12</v>
      </c>
      <c r="Z100" s="31" t="s">
        <v>173</v>
      </c>
      <c r="AA100" t="str">
        <f t="shared" si="25"/>
        <v>Normal/Gering</v>
      </c>
    </row>
    <row r="101" spans="1:27" x14ac:dyDescent="0.35">
      <c r="A101" s="32" t="s">
        <v>14</v>
      </c>
      <c r="B101" s="2" t="str">
        <f>VLOOKUP(A101,Stammdaten!$A$3:$B$7,2,FALSE)</f>
        <v>Filiale Nord</v>
      </c>
      <c r="C101" s="3" t="str" cm="1">
        <f t="array" ref="C101">INDEX(Stammdaten!$A$11:$A$25,INT((ROW()-5)/12)+1 - INT((ROW()-5)/180)*15)</f>
        <v>A009</v>
      </c>
      <c r="D101" s="2" t="str">
        <f>VLOOKUP(C101,Stammdaten!$A$11:$B$25,2,FALSE)</f>
        <v>Sahne 200ml</v>
      </c>
      <c r="E101" s="3" t="str">
        <f>VLOOKUP(C101,Stammdaten!$A$11:$C$25,3,FALSE)</f>
        <v>Sahne</v>
      </c>
      <c r="F101" s="19">
        <f>VLOOKUP(C101,Stammdaten!$A$11:$D$25,4,FALSE)</f>
        <v>0.79</v>
      </c>
      <c r="G101" s="4">
        <f t="shared" si="13"/>
        <v>1</v>
      </c>
      <c r="H101" s="20" t="str">
        <f>VLOOKUP(G101,Stammdaten!$A$30:$B$41,2,FALSE)</f>
        <v>Januar</v>
      </c>
      <c r="I101" s="4">
        <v>175</v>
      </c>
      <c r="J101" s="4">
        <v>171</v>
      </c>
      <c r="K101" s="4">
        <f t="shared" si="14"/>
        <v>-4</v>
      </c>
      <c r="L101" s="27">
        <f t="shared" si="15"/>
        <v>-2.2857142857142856</v>
      </c>
      <c r="M101" s="52" t="str">
        <f t="shared" si="16"/>
        <v>Schwund</v>
      </c>
      <c r="N101" s="28">
        <f t="shared" si="17"/>
        <v>3.16</v>
      </c>
      <c r="O101" s="5">
        <v>7</v>
      </c>
      <c r="P101" s="4">
        <v>3</v>
      </c>
      <c r="Q101" s="28">
        <f t="shared" si="18"/>
        <v>0.79</v>
      </c>
      <c r="R101" s="50">
        <f t="shared" si="19"/>
        <v>0.94799999999999995</v>
      </c>
      <c r="S101" s="2" t="str">
        <f t="shared" si="20"/>
        <v>Normal</v>
      </c>
      <c r="T101" s="4">
        <v>0</v>
      </c>
      <c r="U101" s="4" t="str">
        <f t="shared" si="21"/>
        <v>Nein</v>
      </c>
      <c r="V101" s="4">
        <f t="shared" si="22"/>
        <v>0</v>
      </c>
      <c r="W101" s="19">
        <f t="shared" si="23"/>
        <v>0.79</v>
      </c>
      <c r="X101" s="5">
        <v>0</v>
      </c>
      <c r="Y101" s="28">
        <f t="shared" si="24"/>
        <v>0</v>
      </c>
      <c r="Z101" s="31" t="s">
        <v>172</v>
      </c>
      <c r="AA101" t="str">
        <f t="shared" si="25"/>
        <v>Prozessfehler</v>
      </c>
    </row>
    <row r="102" spans="1:27" x14ac:dyDescent="0.35">
      <c r="A102" s="32" t="s">
        <v>14</v>
      </c>
      <c r="B102" s="2" t="str">
        <f>VLOOKUP(A102,Stammdaten!$A$3:$B$7,2,FALSE)</f>
        <v>Filiale Nord</v>
      </c>
      <c r="C102" s="3" t="str" cm="1">
        <f t="array" ref="C102">INDEX(Stammdaten!$A$11:$A$25,INT((ROW()-5)/12)+1 - INT((ROW()-5)/180)*15)</f>
        <v>A009</v>
      </c>
      <c r="D102" s="2" t="str">
        <f>VLOOKUP(C102,Stammdaten!$A$11:$B$25,2,FALSE)</f>
        <v>Sahne 200ml</v>
      </c>
      <c r="E102" s="3" t="str">
        <f>VLOOKUP(C102,Stammdaten!$A$11:$C$25,3,FALSE)</f>
        <v>Sahne</v>
      </c>
      <c r="F102" s="19">
        <f>VLOOKUP(C102,Stammdaten!$A$11:$D$25,4,FALSE)</f>
        <v>0.79</v>
      </c>
      <c r="G102" s="4">
        <f t="shared" si="13"/>
        <v>2</v>
      </c>
      <c r="H102" s="20" t="str">
        <f>VLOOKUP(G102,Stammdaten!$A$30:$B$41,2,FALSE)</f>
        <v>Februar</v>
      </c>
      <c r="I102" s="4">
        <v>165</v>
      </c>
      <c r="J102" s="4">
        <v>163</v>
      </c>
      <c r="K102" s="4">
        <f t="shared" si="14"/>
        <v>-2</v>
      </c>
      <c r="L102" s="27">
        <f t="shared" si="15"/>
        <v>-1.2121212121212122</v>
      </c>
      <c r="M102" s="52" t="str">
        <f t="shared" si="16"/>
        <v>Schwund</v>
      </c>
      <c r="N102" s="28">
        <f t="shared" si="17"/>
        <v>1.58</v>
      </c>
      <c r="O102" s="5">
        <v>7</v>
      </c>
      <c r="P102" s="4">
        <v>1</v>
      </c>
      <c r="Q102" s="28">
        <f t="shared" si="18"/>
        <v>0.39500000000000002</v>
      </c>
      <c r="R102" s="50">
        <f t="shared" si="19"/>
        <v>0.47399999999999998</v>
      </c>
      <c r="S102" s="2" t="str">
        <f t="shared" si="20"/>
        <v>Karneval</v>
      </c>
      <c r="T102" s="4">
        <v>0</v>
      </c>
      <c r="U102" s="4" t="str">
        <f t="shared" si="21"/>
        <v>Nein</v>
      </c>
      <c r="V102" s="4">
        <f t="shared" si="22"/>
        <v>0</v>
      </c>
      <c r="W102" s="19">
        <f t="shared" si="23"/>
        <v>0.79</v>
      </c>
      <c r="X102" s="5">
        <v>0</v>
      </c>
      <c r="Y102" s="28">
        <f t="shared" si="24"/>
        <v>0</v>
      </c>
      <c r="Z102" s="31" t="s">
        <v>172</v>
      </c>
      <c r="AA102" t="str">
        <f t="shared" si="25"/>
        <v>Normal/Gering</v>
      </c>
    </row>
    <row r="103" spans="1:27" x14ac:dyDescent="0.35">
      <c r="A103" s="32" t="s">
        <v>14</v>
      </c>
      <c r="B103" s="2" t="str">
        <f>VLOOKUP(A103,Stammdaten!$A$3:$B$7,2,FALSE)</f>
        <v>Filiale Nord</v>
      </c>
      <c r="C103" s="3" t="str" cm="1">
        <f t="array" ref="C103">INDEX(Stammdaten!$A$11:$A$25,INT((ROW()-5)/12)+1 - INT((ROW()-5)/180)*15)</f>
        <v>A009</v>
      </c>
      <c r="D103" s="2" t="str">
        <f>VLOOKUP(C103,Stammdaten!$A$11:$B$25,2,FALSE)</f>
        <v>Sahne 200ml</v>
      </c>
      <c r="E103" s="3" t="str">
        <f>VLOOKUP(C103,Stammdaten!$A$11:$C$25,3,FALSE)</f>
        <v>Sahne</v>
      </c>
      <c r="F103" s="19">
        <f>VLOOKUP(C103,Stammdaten!$A$11:$D$25,4,FALSE)</f>
        <v>0.79</v>
      </c>
      <c r="G103" s="4">
        <f t="shared" si="13"/>
        <v>3</v>
      </c>
      <c r="H103" s="20" t="str">
        <f>VLOOKUP(G103,Stammdaten!$A$30:$B$41,2,FALSE)</f>
        <v>März</v>
      </c>
      <c r="I103" s="4">
        <v>204</v>
      </c>
      <c r="J103" s="4">
        <v>208</v>
      </c>
      <c r="K103" s="4">
        <f t="shared" si="14"/>
        <v>4</v>
      </c>
      <c r="L103" s="27">
        <f t="shared" si="15"/>
        <v>1.9607843137254901</v>
      </c>
      <c r="M103" s="52" t="str">
        <f t="shared" si="16"/>
        <v>Überbestand</v>
      </c>
      <c r="N103" s="28">
        <f t="shared" si="17"/>
        <v>3.16</v>
      </c>
      <c r="O103" s="5">
        <v>5</v>
      </c>
      <c r="P103" s="4">
        <v>4</v>
      </c>
      <c r="Q103" s="28">
        <f t="shared" si="18"/>
        <v>0</v>
      </c>
      <c r="R103" s="50">
        <f t="shared" si="19"/>
        <v>0</v>
      </c>
      <c r="S103" s="2" t="str">
        <f t="shared" si="20"/>
        <v>Normal</v>
      </c>
      <c r="T103" s="4">
        <v>4</v>
      </c>
      <c r="U103" s="4" t="str">
        <f t="shared" si="21"/>
        <v>Nein</v>
      </c>
      <c r="V103" s="4">
        <f t="shared" si="22"/>
        <v>0</v>
      </c>
      <c r="W103" s="19">
        <f t="shared" si="23"/>
        <v>0.79</v>
      </c>
      <c r="X103" s="5">
        <v>0</v>
      </c>
      <c r="Y103" s="28">
        <f t="shared" si="24"/>
        <v>0</v>
      </c>
      <c r="Z103" s="31" t="s">
        <v>172</v>
      </c>
      <c r="AA103" t="str">
        <f t="shared" si="25"/>
        <v>Kassenfehler (Überbestand)</v>
      </c>
    </row>
    <row r="104" spans="1:27" x14ac:dyDescent="0.35">
      <c r="A104" s="32" t="s">
        <v>14</v>
      </c>
      <c r="B104" s="2" t="str">
        <f>VLOOKUP(A104,Stammdaten!$A$3:$B$7,2,FALSE)</f>
        <v>Filiale Nord</v>
      </c>
      <c r="C104" s="3" t="str" cm="1">
        <f t="array" ref="C104">INDEX(Stammdaten!$A$11:$A$25,INT((ROW()-5)/12)+1 - INT((ROW()-5)/180)*15)</f>
        <v>A009</v>
      </c>
      <c r="D104" s="2" t="str">
        <f>VLOOKUP(C104,Stammdaten!$A$11:$B$25,2,FALSE)</f>
        <v>Sahne 200ml</v>
      </c>
      <c r="E104" s="3" t="str">
        <f>VLOOKUP(C104,Stammdaten!$A$11:$C$25,3,FALSE)</f>
        <v>Sahne</v>
      </c>
      <c r="F104" s="19">
        <f>VLOOKUP(C104,Stammdaten!$A$11:$D$25,4,FALSE)</f>
        <v>0.79</v>
      </c>
      <c r="G104" s="4">
        <f t="shared" si="13"/>
        <v>4</v>
      </c>
      <c r="H104" s="20" t="str">
        <f>VLOOKUP(G104,Stammdaten!$A$30:$B$41,2,FALSE)</f>
        <v>April</v>
      </c>
      <c r="I104" s="4">
        <v>238</v>
      </c>
      <c r="J104" s="4">
        <v>240</v>
      </c>
      <c r="K104" s="4">
        <f t="shared" si="14"/>
        <v>2</v>
      </c>
      <c r="L104" s="27">
        <f t="shared" si="15"/>
        <v>0.84033613445378152</v>
      </c>
      <c r="M104" s="52" t="str">
        <f t="shared" si="16"/>
        <v>Überbestand</v>
      </c>
      <c r="N104" s="28">
        <f t="shared" si="17"/>
        <v>1.58</v>
      </c>
      <c r="O104" s="5">
        <v>4</v>
      </c>
      <c r="P104" s="4">
        <v>4</v>
      </c>
      <c r="Q104" s="28">
        <f t="shared" si="18"/>
        <v>0</v>
      </c>
      <c r="R104" s="50">
        <f t="shared" si="19"/>
        <v>0</v>
      </c>
      <c r="S104" s="2" t="str">
        <f t="shared" si="20"/>
        <v>Ostern</v>
      </c>
      <c r="T104" s="4">
        <v>2</v>
      </c>
      <c r="U104" s="4" t="str">
        <f t="shared" si="21"/>
        <v>Nein</v>
      </c>
      <c r="V104" s="4">
        <f t="shared" si="22"/>
        <v>0</v>
      </c>
      <c r="W104" s="19">
        <f t="shared" si="23"/>
        <v>0.79</v>
      </c>
      <c r="X104" s="5">
        <v>0</v>
      </c>
      <c r="Y104" s="28">
        <f t="shared" si="24"/>
        <v>0</v>
      </c>
      <c r="Z104" s="31" t="s">
        <v>172</v>
      </c>
      <c r="AA104" t="str">
        <f t="shared" si="25"/>
        <v>Kassenfehler (Überbestand)</v>
      </c>
    </row>
    <row r="105" spans="1:27" x14ac:dyDescent="0.35">
      <c r="A105" s="32" t="s">
        <v>14</v>
      </c>
      <c r="B105" s="2" t="str">
        <f>VLOOKUP(A105,Stammdaten!$A$3:$B$7,2,FALSE)</f>
        <v>Filiale Nord</v>
      </c>
      <c r="C105" s="3" t="str" cm="1">
        <f t="array" ref="C105">INDEX(Stammdaten!$A$11:$A$25,INT((ROW()-5)/12)+1 - INT((ROW()-5)/180)*15)</f>
        <v>A009</v>
      </c>
      <c r="D105" s="2" t="str">
        <f>VLOOKUP(C105,Stammdaten!$A$11:$B$25,2,FALSE)</f>
        <v>Sahne 200ml</v>
      </c>
      <c r="E105" s="3" t="str">
        <f>VLOOKUP(C105,Stammdaten!$A$11:$C$25,3,FALSE)</f>
        <v>Sahne</v>
      </c>
      <c r="F105" s="19">
        <f>VLOOKUP(C105,Stammdaten!$A$11:$D$25,4,FALSE)</f>
        <v>0.79</v>
      </c>
      <c r="G105" s="4">
        <f t="shared" si="13"/>
        <v>5</v>
      </c>
      <c r="H105" s="20" t="str">
        <f>VLOOKUP(G105,Stammdaten!$A$30:$B$41,2,FALSE)</f>
        <v>Mai</v>
      </c>
      <c r="I105" s="4">
        <v>210</v>
      </c>
      <c r="J105" s="4">
        <v>205</v>
      </c>
      <c r="K105" s="4">
        <f t="shared" si="14"/>
        <v>-5</v>
      </c>
      <c r="L105" s="27">
        <f t="shared" si="15"/>
        <v>-2.3809523809523809</v>
      </c>
      <c r="M105" s="52" t="str">
        <f t="shared" si="16"/>
        <v>Schwund</v>
      </c>
      <c r="N105" s="28">
        <f t="shared" si="17"/>
        <v>3.95</v>
      </c>
      <c r="O105" s="5">
        <v>8</v>
      </c>
      <c r="P105" s="4">
        <v>4</v>
      </c>
      <c r="Q105" s="28">
        <f t="shared" si="18"/>
        <v>0.98750000000000004</v>
      </c>
      <c r="R105" s="50">
        <f t="shared" si="19"/>
        <v>1.1850000000000001</v>
      </c>
      <c r="S105" s="2" t="str">
        <f t="shared" si="20"/>
        <v>Normal</v>
      </c>
      <c r="T105" s="4">
        <v>0</v>
      </c>
      <c r="U105" s="4" t="str">
        <f t="shared" si="21"/>
        <v>Nein</v>
      </c>
      <c r="V105" s="4">
        <f t="shared" si="22"/>
        <v>0</v>
      </c>
      <c r="W105" s="19">
        <f t="shared" si="23"/>
        <v>0.79</v>
      </c>
      <c r="X105" s="5">
        <v>0</v>
      </c>
      <c r="Y105" s="28">
        <f t="shared" si="24"/>
        <v>0</v>
      </c>
      <c r="Z105" s="31" t="s">
        <v>172</v>
      </c>
      <c r="AA105" t="str">
        <f t="shared" si="25"/>
        <v>Prozessfehler</v>
      </c>
    </row>
    <row r="106" spans="1:27" x14ac:dyDescent="0.35">
      <c r="A106" s="32" t="s">
        <v>14</v>
      </c>
      <c r="B106" s="2" t="str">
        <f>VLOOKUP(A106,Stammdaten!$A$3:$B$7,2,FALSE)</f>
        <v>Filiale Nord</v>
      </c>
      <c r="C106" s="3" t="str" cm="1">
        <f t="array" ref="C106">INDEX(Stammdaten!$A$11:$A$25,INT((ROW()-5)/12)+1 - INT((ROW()-5)/180)*15)</f>
        <v>A009</v>
      </c>
      <c r="D106" s="2" t="str">
        <f>VLOOKUP(C106,Stammdaten!$A$11:$B$25,2,FALSE)</f>
        <v>Sahne 200ml</v>
      </c>
      <c r="E106" s="3" t="str">
        <f>VLOOKUP(C106,Stammdaten!$A$11:$C$25,3,FALSE)</f>
        <v>Sahne</v>
      </c>
      <c r="F106" s="19">
        <f>VLOOKUP(C106,Stammdaten!$A$11:$D$25,4,FALSE)</f>
        <v>0.79</v>
      </c>
      <c r="G106" s="4">
        <f t="shared" si="13"/>
        <v>6</v>
      </c>
      <c r="H106" s="20" t="str">
        <f>VLOOKUP(G106,Stammdaten!$A$30:$B$41,2,FALSE)</f>
        <v>Juni</v>
      </c>
      <c r="I106" s="4">
        <v>231</v>
      </c>
      <c r="J106" s="4">
        <v>227</v>
      </c>
      <c r="K106" s="4">
        <f t="shared" si="14"/>
        <v>-4</v>
      </c>
      <c r="L106" s="27">
        <f t="shared" si="15"/>
        <v>-1.7316017316017316</v>
      </c>
      <c r="M106" s="52" t="str">
        <f t="shared" si="16"/>
        <v>Schwund</v>
      </c>
      <c r="N106" s="28">
        <f t="shared" si="17"/>
        <v>3.16</v>
      </c>
      <c r="O106" s="5">
        <v>6</v>
      </c>
      <c r="P106" s="4">
        <v>3</v>
      </c>
      <c r="Q106" s="28">
        <f t="shared" si="18"/>
        <v>0.79</v>
      </c>
      <c r="R106" s="50">
        <f t="shared" si="19"/>
        <v>0.94799999999999995</v>
      </c>
      <c r="S106" s="2" t="str">
        <f t="shared" si="20"/>
        <v>Normal</v>
      </c>
      <c r="T106" s="4">
        <v>0</v>
      </c>
      <c r="U106" s="4" t="str">
        <f t="shared" si="21"/>
        <v>Nein</v>
      </c>
      <c r="V106" s="4">
        <f t="shared" si="22"/>
        <v>0</v>
      </c>
      <c r="W106" s="19">
        <f t="shared" si="23"/>
        <v>0.79</v>
      </c>
      <c r="X106" s="5">
        <v>0</v>
      </c>
      <c r="Y106" s="28">
        <f t="shared" si="24"/>
        <v>0</v>
      </c>
      <c r="Z106" s="31" t="s">
        <v>172</v>
      </c>
      <c r="AA106" t="str">
        <f t="shared" si="25"/>
        <v>Normal/Gering</v>
      </c>
    </row>
    <row r="107" spans="1:27" x14ac:dyDescent="0.35">
      <c r="A107" s="32" t="s">
        <v>14</v>
      </c>
      <c r="B107" s="2" t="str">
        <f>VLOOKUP(A107,Stammdaten!$A$3:$B$7,2,FALSE)</f>
        <v>Filiale Nord</v>
      </c>
      <c r="C107" s="3" t="str" cm="1">
        <f t="array" ref="C107">INDEX(Stammdaten!$A$11:$A$25,INT((ROW()-5)/12)+1 - INT((ROW()-5)/180)*15)</f>
        <v>A009</v>
      </c>
      <c r="D107" s="2" t="str">
        <f>VLOOKUP(C107,Stammdaten!$A$11:$B$25,2,FALSE)</f>
        <v>Sahne 200ml</v>
      </c>
      <c r="E107" s="3" t="str">
        <f>VLOOKUP(C107,Stammdaten!$A$11:$C$25,3,FALSE)</f>
        <v>Sahne</v>
      </c>
      <c r="F107" s="19">
        <f>VLOOKUP(C107,Stammdaten!$A$11:$D$25,4,FALSE)</f>
        <v>0.79</v>
      </c>
      <c r="G107" s="4">
        <f t="shared" si="13"/>
        <v>7</v>
      </c>
      <c r="H107" s="20" t="str">
        <f>VLOOKUP(G107,Stammdaten!$A$30:$B$41,2,FALSE)</f>
        <v>Juli</v>
      </c>
      <c r="I107" s="4">
        <v>240</v>
      </c>
      <c r="J107" s="4">
        <v>240</v>
      </c>
      <c r="K107" s="4">
        <f t="shared" si="14"/>
        <v>0</v>
      </c>
      <c r="L107" s="27">
        <f t="shared" si="15"/>
        <v>0</v>
      </c>
      <c r="M107" s="52" t="str">
        <f t="shared" si="16"/>
        <v>Perfekt</v>
      </c>
      <c r="N107" s="28">
        <f t="shared" si="17"/>
        <v>0</v>
      </c>
      <c r="O107" s="5">
        <v>10</v>
      </c>
      <c r="P107" s="4">
        <v>0</v>
      </c>
      <c r="Q107" s="28">
        <f t="shared" si="18"/>
        <v>0</v>
      </c>
      <c r="R107" s="50">
        <f t="shared" si="19"/>
        <v>0</v>
      </c>
      <c r="S107" s="2" t="str">
        <f t="shared" si="20"/>
        <v>Normal</v>
      </c>
      <c r="T107" s="4">
        <v>0</v>
      </c>
      <c r="U107" s="4" t="str">
        <f t="shared" si="21"/>
        <v>Nein</v>
      </c>
      <c r="V107" s="4">
        <f t="shared" si="22"/>
        <v>0</v>
      </c>
      <c r="W107" s="19">
        <f t="shared" si="23"/>
        <v>0.79</v>
      </c>
      <c r="X107" s="5">
        <v>0</v>
      </c>
      <c r="Y107" s="28">
        <f t="shared" si="24"/>
        <v>0</v>
      </c>
      <c r="Z107" s="31" t="s">
        <v>172</v>
      </c>
      <c r="AA107" t="str">
        <f t="shared" si="25"/>
        <v>Normal/Gering</v>
      </c>
    </row>
    <row r="108" spans="1:27" x14ac:dyDescent="0.35">
      <c r="A108" s="32" t="s">
        <v>14</v>
      </c>
      <c r="B108" s="2" t="str">
        <f>VLOOKUP(A108,Stammdaten!$A$3:$B$7,2,FALSE)</f>
        <v>Filiale Nord</v>
      </c>
      <c r="C108" s="3" t="str" cm="1">
        <f t="array" ref="C108">INDEX(Stammdaten!$A$11:$A$25,INT((ROW()-5)/12)+1 - INT((ROW()-5)/180)*15)</f>
        <v>A009</v>
      </c>
      <c r="D108" s="2" t="str">
        <f>VLOOKUP(C108,Stammdaten!$A$11:$B$25,2,FALSE)</f>
        <v>Sahne 200ml</v>
      </c>
      <c r="E108" s="3" t="str">
        <f>VLOOKUP(C108,Stammdaten!$A$11:$C$25,3,FALSE)</f>
        <v>Sahne</v>
      </c>
      <c r="F108" s="19">
        <f>VLOOKUP(C108,Stammdaten!$A$11:$D$25,4,FALSE)</f>
        <v>0.79</v>
      </c>
      <c r="G108" s="4">
        <f t="shared" si="13"/>
        <v>8</v>
      </c>
      <c r="H108" s="20" t="str">
        <f>VLOOKUP(G108,Stammdaten!$A$30:$B$41,2,FALSE)</f>
        <v>August</v>
      </c>
      <c r="I108" s="4">
        <v>232</v>
      </c>
      <c r="J108" s="4">
        <v>228</v>
      </c>
      <c r="K108" s="4">
        <f t="shared" si="14"/>
        <v>-4</v>
      </c>
      <c r="L108" s="27">
        <f t="shared" si="15"/>
        <v>-1.7241379310344827</v>
      </c>
      <c r="M108" s="52" t="str">
        <f t="shared" si="16"/>
        <v>Schwund</v>
      </c>
      <c r="N108" s="28">
        <f t="shared" si="17"/>
        <v>3.16</v>
      </c>
      <c r="O108" s="5">
        <v>3</v>
      </c>
      <c r="P108" s="4">
        <v>1</v>
      </c>
      <c r="Q108" s="28">
        <f t="shared" si="18"/>
        <v>0.79</v>
      </c>
      <c r="R108" s="50">
        <f t="shared" si="19"/>
        <v>0.94799999999999995</v>
      </c>
      <c r="S108" s="2" t="str">
        <f t="shared" si="20"/>
        <v>Normal</v>
      </c>
      <c r="T108" s="4">
        <v>0</v>
      </c>
      <c r="U108" s="4" t="str">
        <f t="shared" si="21"/>
        <v>Ja - 20% Reduzierung</v>
      </c>
      <c r="V108" s="4">
        <f t="shared" si="22"/>
        <v>20</v>
      </c>
      <c r="W108" s="19">
        <f t="shared" si="23"/>
        <v>0.63</v>
      </c>
      <c r="X108" s="5">
        <v>28</v>
      </c>
      <c r="Y108" s="28">
        <f t="shared" si="24"/>
        <v>4.42</v>
      </c>
      <c r="Z108" s="31" t="s">
        <v>173</v>
      </c>
      <c r="AA108" t="str">
        <f t="shared" si="25"/>
        <v>Normal/Gering</v>
      </c>
    </row>
    <row r="109" spans="1:27" x14ac:dyDescent="0.35">
      <c r="A109" s="32" t="s">
        <v>14</v>
      </c>
      <c r="B109" s="2" t="str">
        <f>VLOOKUP(A109,Stammdaten!$A$3:$B$7,2,FALSE)</f>
        <v>Filiale Nord</v>
      </c>
      <c r="C109" s="3" t="str" cm="1">
        <f t="array" ref="C109">INDEX(Stammdaten!$A$11:$A$25,INT((ROW()-5)/12)+1 - INT((ROW()-5)/180)*15)</f>
        <v>A009</v>
      </c>
      <c r="D109" s="2" t="str">
        <f>VLOOKUP(C109,Stammdaten!$A$11:$B$25,2,FALSE)</f>
        <v>Sahne 200ml</v>
      </c>
      <c r="E109" s="3" t="str">
        <f>VLOOKUP(C109,Stammdaten!$A$11:$C$25,3,FALSE)</f>
        <v>Sahne</v>
      </c>
      <c r="F109" s="19">
        <f>VLOOKUP(C109,Stammdaten!$A$11:$D$25,4,FALSE)</f>
        <v>0.79</v>
      </c>
      <c r="G109" s="4">
        <f t="shared" si="13"/>
        <v>9</v>
      </c>
      <c r="H109" s="20" t="str">
        <f>VLOOKUP(G109,Stammdaten!$A$30:$B$41,2,FALSE)</f>
        <v>September</v>
      </c>
      <c r="I109" s="4">
        <v>194</v>
      </c>
      <c r="J109" s="4">
        <v>188</v>
      </c>
      <c r="K109" s="4">
        <f t="shared" si="14"/>
        <v>-6</v>
      </c>
      <c r="L109" s="27">
        <f t="shared" si="15"/>
        <v>-3.0927835051546393</v>
      </c>
      <c r="M109" s="52" t="str">
        <f t="shared" si="16"/>
        <v>Schwund</v>
      </c>
      <c r="N109" s="28">
        <f t="shared" si="17"/>
        <v>4.74</v>
      </c>
      <c r="O109" s="5">
        <v>6</v>
      </c>
      <c r="P109" s="4">
        <v>3</v>
      </c>
      <c r="Q109" s="28">
        <f t="shared" si="18"/>
        <v>1.1850000000000001</v>
      </c>
      <c r="R109" s="50">
        <f t="shared" si="19"/>
        <v>1.4219999999999999</v>
      </c>
      <c r="S109" s="2" t="str">
        <f t="shared" si="20"/>
        <v>Normal</v>
      </c>
      <c r="T109" s="4">
        <v>0</v>
      </c>
      <c r="U109" s="4" t="str">
        <f t="shared" si="21"/>
        <v>Nein</v>
      </c>
      <c r="V109" s="4">
        <f t="shared" si="22"/>
        <v>0</v>
      </c>
      <c r="W109" s="19">
        <f t="shared" si="23"/>
        <v>0.79</v>
      </c>
      <c r="X109" s="5">
        <v>0</v>
      </c>
      <c r="Y109" s="28">
        <f t="shared" si="24"/>
        <v>0</v>
      </c>
      <c r="Z109" s="31" t="s">
        <v>172</v>
      </c>
      <c r="AA109" t="str">
        <f t="shared" si="25"/>
        <v>Prozessfehler</v>
      </c>
    </row>
    <row r="110" spans="1:27" x14ac:dyDescent="0.35">
      <c r="A110" s="32" t="s">
        <v>14</v>
      </c>
      <c r="B110" s="2" t="str">
        <f>VLOOKUP(A110,Stammdaten!$A$3:$B$7,2,FALSE)</f>
        <v>Filiale Nord</v>
      </c>
      <c r="C110" s="3" t="str" cm="1">
        <f t="array" ref="C110">INDEX(Stammdaten!$A$11:$A$25,INT((ROW()-5)/12)+1 - INT((ROW()-5)/180)*15)</f>
        <v>A009</v>
      </c>
      <c r="D110" s="2" t="str">
        <f>VLOOKUP(C110,Stammdaten!$A$11:$B$25,2,FALSE)</f>
        <v>Sahne 200ml</v>
      </c>
      <c r="E110" s="3" t="str">
        <f>VLOOKUP(C110,Stammdaten!$A$11:$C$25,3,FALSE)</f>
        <v>Sahne</v>
      </c>
      <c r="F110" s="19">
        <f>VLOOKUP(C110,Stammdaten!$A$11:$D$25,4,FALSE)</f>
        <v>0.79</v>
      </c>
      <c r="G110" s="4">
        <f t="shared" si="13"/>
        <v>10</v>
      </c>
      <c r="H110" s="20" t="str">
        <f>VLOOKUP(G110,Stammdaten!$A$30:$B$41,2,FALSE)</f>
        <v>Oktober</v>
      </c>
      <c r="I110" s="4">
        <v>202</v>
      </c>
      <c r="J110" s="4">
        <v>197</v>
      </c>
      <c r="K110" s="4">
        <f t="shared" si="14"/>
        <v>-5</v>
      </c>
      <c r="L110" s="27">
        <f t="shared" si="15"/>
        <v>-2.4752475247524752</v>
      </c>
      <c r="M110" s="52" t="str">
        <f t="shared" si="16"/>
        <v>Schwund</v>
      </c>
      <c r="N110" s="28">
        <f t="shared" si="17"/>
        <v>3.95</v>
      </c>
      <c r="O110" s="5">
        <v>6</v>
      </c>
      <c r="P110" s="4">
        <v>0</v>
      </c>
      <c r="Q110" s="28">
        <f t="shared" si="18"/>
        <v>0.98750000000000004</v>
      </c>
      <c r="R110" s="50">
        <f t="shared" si="19"/>
        <v>1.1850000000000001</v>
      </c>
      <c r="S110" s="2" t="str">
        <f t="shared" si="20"/>
        <v>Normal</v>
      </c>
      <c r="T110" s="4">
        <v>0</v>
      </c>
      <c r="U110" s="4" t="str">
        <f t="shared" si="21"/>
        <v>Nein</v>
      </c>
      <c r="V110" s="4">
        <f t="shared" si="22"/>
        <v>0</v>
      </c>
      <c r="W110" s="19">
        <f t="shared" si="23"/>
        <v>0.79</v>
      </c>
      <c r="X110" s="5">
        <v>0</v>
      </c>
      <c r="Y110" s="28">
        <f t="shared" si="24"/>
        <v>0</v>
      </c>
      <c r="Z110" s="31" t="s">
        <v>172</v>
      </c>
      <c r="AA110" t="str">
        <f t="shared" si="25"/>
        <v>Buchungsfehler Wareneingang</v>
      </c>
    </row>
    <row r="111" spans="1:27" x14ac:dyDescent="0.35">
      <c r="A111" s="32" t="s">
        <v>14</v>
      </c>
      <c r="B111" s="2" t="str">
        <f>VLOOKUP(A111,Stammdaten!$A$3:$B$7,2,FALSE)</f>
        <v>Filiale Nord</v>
      </c>
      <c r="C111" s="3" t="str" cm="1">
        <f t="array" ref="C111">INDEX(Stammdaten!$A$11:$A$25,INT((ROW()-5)/12)+1 - INT((ROW()-5)/180)*15)</f>
        <v>A009</v>
      </c>
      <c r="D111" s="2" t="str">
        <f>VLOOKUP(C111,Stammdaten!$A$11:$B$25,2,FALSE)</f>
        <v>Sahne 200ml</v>
      </c>
      <c r="E111" s="3" t="str">
        <f>VLOOKUP(C111,Stammdaten!$A$11:$C$25,3,FALSE)</f>
        <v>Sahne</v>
      </c>
      <c r="F111" s="19">
        <f>VLOOKUP(C111,Stammdaten!$A$11:$D$25,4,FALSE)</f>
        <v>0.79</v>
      </c>
      <c r="G111" s="4">
        <f t="shared" si="13"/>
        <v>11</v>
      </c>
      <c r="H111" s="20" t="str">
        <f>VLOOKUP(G111,Stammdaten!$A$30:$B$41,2,FALSE)</f>
        <v>November</v>
      </c>
      <c r="I111" s="4">
        <v>218</v>
      </c>
      <c r="J111" s="4">
        <v>213</v>
      </c>
      <c r="K111" s="4">
        <f t="shared" si="14"/>
        <v>-5</v>
      </c>
      <c r="L111" s="27">
        <f t="shared" si="15"/>
        <v>-2.2935779816513762</v>
      </c>
      <c r="M111" s="52" t="str">
        <f t="shared" si="16"/>
        <v>Schwund</v>
      </c>
      <c r="N111" s="28">
        <f t="shared" si="17"/>
        <v>3.95</v>
      </c>
      <c r="O111" s="5">
        <v>2</v>
      </c>
      <c r="P111" s="4">
        <v>1</v>
      </c>
      <c r="Q111" s="28">
        <f t="shared" si="18"/>
        <v>0.98750000000000004</v>
      </c>
      <c r="R111" s="50">
        <f t="shared" si="19"/>
        <v>1.1850000000000001</v>
      </c>
      <c r="S111" s="2" t="str">
        <f t="shared" si="20"/>
        <v>Black Friday</v>
      </c>
      <c r="T111" s="4">
        <v>0</v>
      </c>
      <c r="U111" s="4" t="str">
        <f t="shared" si="21"/>
        <v>Ja - 20% Reduzierung</v>
      </c>
      <c r="V111" s="4">
        <f t="shared" si="22"/>
        <v>20</v>
      </c>
      <c r="W111" s="19">
        <f t="shared" si="23"/>
        <v>0.63</v>
      </c>
      <c r="X111" s="5">
        <v>17</v>
      </c>
      <c r="Y111" s="28">
        <f t="shared" si="24"/>
        <v>2.69</v>
      </c>
      <c r="Z111" s="31" t="s">
        <v>173</v>
      </c>
      <c r="AA111" t="str">
        <f t="shared" si="25"/>
        <v>Buchungsfehler Wareneingang</v>
      </c>
    </row>
    <row r="112" spans="1:27" x14ac:dyDescent="0.35">
      <c r="A112" s="32" t="s">
        <v>14</v>
      </c>
      <c r="B112" s="2" t="str">
        <f>VLOOKUP(A112,Stammdaten!$A$3:$B$7,2,FALSE)</f>
        <v>Filiale Nord</v>
      </c>
      <c r="C112" s="3" t="str" cm="1">
        <f t="array" ref="C112">INDEX(Stammdaten!$A$11:$A$25,INT((ROW()-5)/12)+1 - INT((ROW()-5)/180)*15)</f>
        <v>A009</v>
      </c>
      <c r="D112" s="2" t="str">
        <f>VLOOKUP(C112,Stammdaten!$A$11:$B$25,2,FALSE)</f>
        <v>Sahne 200ml</v>
      </c>
      <c r="E112" s="3" t="str">
        <f>VLOOKUP(C112,Stammdaten!$A$11:$C$25,3,FALSE)</f>
        <v>Sahne</v>
      </c>
      <c r="F112" s="19">
        <f>VLOOKUP(C112,Stammdaten!$A$11:$D$25,4,FALSE)</f>
        <v>0.79</v>
      </c>
      <c r="G112" s="4">
        <f t="shared" si="13"/>
        <v>12</v>
      </c>
      <c r="H112" s="20" t="str">
        <f>VLOOKUP(G112,Stammdaten!$A$30:$B$41,2,FALSE)</f>
        <v>Dezember</v>
      </c>
      <c r="I112" s="4">
        <v>283</v>
      </c>
      <c r="J112" s="4">
        <v>276</v>
      </c>
      <c r="K112" s="4">
        <f t="shared" si="14"/>
        <v>-7</v>
      </c>
      <c r="L112" s="27">
        <f t="shared" si="15"/>
        <v>-2.4734982332155475</v>
      </c>
      <c r="M112" s="52" t="str">
        <f t="shared" si="16"/>
        <v>Schwund</v>
      </c>
      <c r="N112" s="28">
        <f t="shared" si="17"/>
        <v>5.53</v>
      </c>
      <c r="O112" s="5">
        <v>7</v>
      </c>
      <c r="P112" s="4">
        <v>4</v>
      </c>
      <c r="Q112" s="28">
        <f t="shared" si="18"/>
        <v>1.3825000000000001</v>
      </c>
      <c r="R112" s="50">
        <f t="shared" si="19"/>
        <v>1.659</v>
      </c>
      <c r="S112" s="2" t="str">
        <f t="shared" si="20"/>
        <v>Weihnachten/Silvester</v>
      </c>
      <c r="T112" s="4">
        <v>0</v>
      </c>
      <c r="U112" s="4" t="str">
        <f t="shared" si="21"/>
        <v>Nein</v>
      </c>
      <c r="V112" s="4">
        <f t="shared" si="22"/>
        <v>0</v>
      </c>
      <c r="W112" s="19">
        <f t="shared" si="23"/>
        <v>0.79</v>
      </c>
      <c r="X112" s="5">
        <v>0</v>
      </c>
      <c r="Y112" s="28">
        <f t="shared" si="24"/>
        <v>0</v>
      </c>
      <c r="Z112" s="31" t="s">
        <v>172</v>
      </c>
      <c r="AA112" t="str">
        <f t="shared" si="25"/>
        <v>Prozessfehler</v>
      </c>
    </row>
    <row r="113" spans="1:27" x14ac:dyDescent="0.35">
      <c r="A113" s="32" t="s">
        <v>14</v>
      </c>
      <c r="B113" s="2" t="str">
        <f>VLOOKUP(A113,Stammdaten!$A$3:$B$7,2,FALSE)</f>
        <v>Filiale Nord</v>
      </c>
      <c r="C113" s="3" t="str" cm="1">
        <f t="array" ref="C113">INDEX(Stammdaten!$A$11:$A$25,INT((ROW()-5)/12)+1 - INT((ROW()-5)/180)*15)</f>
        <v>A010</v>
      </c>
      <c r="D113" s="2" t="str">
        <f>VLOOKUP(C113,Stammdaten!$A$11:$B$25,2,FALSE)</f>
        <v>Schmand 200g</v>
      </c>
      <c r="E113" s="3" t="str">
        <f>VLOOKUP(C113,Stammdaten!$A$11:$C$25,3,FALSE)</f>
        <v>Sahne</v>
      </c>
      <c r="F113" s="19">
        <f>VLOOKUP(C113,Stammdaten!$A$11:$D$25,4,FALSE)</f>
        <v>0.89</v>
      </c>
      <c r="G113" s="4">
        <f t="shared" si="13"/>
        <v>1</v>
      </c>
      <c r="H113" s="20" t="str">
        <f>VLOOKUP(G113,Stammdaten!$A$30:$B$41,2,FALSE)</f>
        <v>Januar</v>
      </c>
      <c r="I113" s="4">
        <v>162</v>
      </c>
      <c r="J113" s="4">
        <v>160</v>
      </c>
      <c r="K113" s="4">
        <f t="shared" si="14"/>
        <v>-2</v>
      </c>
      <c r="L113" s="27">
        <f t="shared" si="15"/>
        <v>-1.2345679012345678</v>
      </c>
      <c r="M113" s="52" t="str">
        <f t="shared" si="16"/>
        <v>Schwund</v>
      </c>
      <c r="N113" s="28">
        <f t="shared" si="17"/>
        <v>1.78</v>
      </c>
      <c r="O113" s="5">
        <v>13</v>
      </c>
      <c r="P113" s="4">
        <v>0</v>
      </c>
      <c r="Q113" s="28">
        <f t="shared" si="18"/>
        <v>0.44500000000000001</v>
      </c>
      <c r="R113" s="50">
        <f t="shared" si="19"/>
        <v>0.53400000000000003</v>
      </c>
      <c r="S113" s="2" t="str">
        <f t="shared" si="20"/>
        <v>Normal</v>
      </c>
      <c r="T113" s="4">
        <v>0</v>
      </c>
      <c r="U113" s="4" t="str">
        <f t="shared" si="21"/>
        <v>Nein</v>
      </c>
      <c r="V113" s="4">
        <f t="shared" si="22"/>
        <v>0</v>
      </c>
      <c r="W113" s="19">
        <f t="shared" si="23"/>
        <v>0.89</v>
      </c>
      <c r="X113" s="5">
        <v>0</v>
      </c>
      <c r="Y113" s="28">
        <f t="shared" si="24"/>
        <v>0</v>
      </c>
      <c r="Z113" s="31" t="s">
        <v>172</v>
      </c>
      <c r="AA113" t="str">
        <f t="shared" si="25"/>
        <v>Normal/Gering</v>
      </c>
    </row>
    <row r="114" spans="1:27" x14ac:dyDescent="0.35">
      <c r="A114" s="32" t="s">
        <v>14</v>
      </c>
      <c r="B114" s="2" t="str">
        <f>VLOOKUP(A114,Stammdaten!$A$3:$B$7,2,FALSE)</f>
        <v>Filiale Nord</v>
      </c>
      <c r="C114" s="3" t="str" cm="1">
        <f t="array" ref="C114">INDEX(Stammdaten!$A$11:$A$25,INT((ROW()-5)/12)+1 - INT((ROW()-5)/180)*15)</f>
        <v>A010</v>
      </c>
      <c r="D114" s="2" t="str">
        <f>VLOOKUP(C114,Stammdaten!$A$11:$B$25,2,FALSE)</f>
        <v>Schmand 200g</v>
      </c>
      <c r="E114" s="3" t="str">
        <f>VLOOKUP(C114,Stammdaten!$A$11:$C$25,3,FALSE)</f>
        <v>Sahne</v>
      </c>
      <c r="F114" s="19">
        <f>VLOOKUP(C114,Stammdaten!$A$11:$D$25,4,FALSE)</f>
        <v>0.89</v>
      </c>
      <c r="G114" s="4">
        <f t="shared" si="13"/>
        <v>2</v>
      </c>
      <c r="H114" s="20" t="str">
        <f>VLOOKUP(G114,Stammdaten!$A$30:$B$41,2,FALSE)</f>
        <v>Februar</v>
      </c>
      <c r="I114" s="4">
        <v>148</v>
      </c>
      <c r="J114" s="4">
        <v>146</v>
      </c>
      <c r="K114" s="4">
        <f t="shared" si="14"/>
        <v>-2</v>
      </c>
      <c r="L114" s="27">
        <f t="shared" si="15"/>
        <v>-1.3513513513513513</v>
      </c>
      <c r="M114" s="52" t="str">
        <f t="shared" si="16"/>
        <v>Schwund</v>
      </c>
      <c r="N114" s="28">
        <f t="shared" si="17"/>
        <v>1.78</v>
      </c>
      <c r="O114" s="5">
        <v>9</v>
      </c>
      <c r="P114" s="4">
        <v>3</v>
      </c>
      <c r="Q114" s="28">
        <f t="shared" si="18"/>
        <v>0.44500000000000001</v>
      </c>
      <c r="R114" s="50">
        <f t="shared" si="19"/>
        <v>0.53400000000000003</v>
      </c>
      <c r="S114" s="2" t="str">
        <f t="shared" si="20"/>
        <v>Karneval</v>
      </c>
      <c r="T114" s="4">
        <v>0</v>
      </c>
      <c r="U114" s="4" t="str">
        <f t="shared" si="21"/>
        <v>Nein</v>
      </c>
      <c r="V114" s="4">
        <f t="shared" si="22"/>
        <v>0</v>
      </c>
      <c r="W114" s="19">
        <f t="shared" si="23"/>
        <v>0.89</v>
      </c>
      <c r="X114" s="5">
        <v>0</v>
      </c>
      <c r="Y114" s="28">
        <f t="shared" si="24"/>
        <v>0</v>
      </c>
      <c r="Z114" s="31" t="s">
        <v>172</v>
      </c>
      <c r="AA114" t="str">
        <f t="shared" si="25"/>
        <v>Normal/Gering</v>
      </c>
    </row>
    <row r="115" spans="1:27" x14ac:dyDescent="0.35">
      <c r="A115" s="32" t="s">
        <v>14</v>
      </c>
      <c r="B115" s="2" t="str">
        <f>VLOOKUP(A115,Stammdaten!$A$3:$B$7,2,FALSE)</f>
        <v>Filiale Nord</v>
      </c>
      <c r="C115" s="3" t="str" cm="1">
        <f t="array" ref="C115">INDEX(Stammdaten!$A$11:$A$25,INT((ROW()-5)/12)+1 - INT((ROW()-5)/180)*15)</f>
        <v>A010</v>
      </c>
      <c r="D115" s="2" t="str">
        <f>VLOOKUP(C115,Stammdaten!$A$11:$B$25,2,FALSE)</f>
        <v>Schmand 200g</v>
      </c>
      <c r="E115" s="3" t="str">
        <f>VLOOKUP(C115,Stammdaten!$A$11:$C$25,3,FALSE)</f>
        <v>Sahne</v>
      </c>
      <c r="F115" s="19">
        <f>VLOOKUP(C115,Stammdaten!$A$11:$D$25,4,FALSE)</f>
        <v>0.89</v>
      </c>
      <c r="G115" s="4">
        <f t="shared" si="13"/>
        <v>3</v>
      </c>
      <c r="H115" s="20" t="str">
        <f>VLOOKUP(G115,Stammdaten!$A$30:$B$41,2,FALSE)</f>
        <v>März</v>
      </c>
      <c r="I115" s="4">
        <v>195</v>
      </c>
      <c r="J115" s="4">
        <v>190</v>
      </c>
      <c r="K115" s="4">
        <f t="shared" si="14"/>
        <v>-5</v>
      </c>
      <c r="L115" s="27">
        <f t="shared" si="15"/>
        <v>-2.5641025641025639</v>
      </c>
      <c r="M115" s="52" t="str">
        <f t="shared" si="16"/>
        <v>Schwund</v>
      </c>
      <c r="N115" s="28">
        <f t="shared" si="17"/>
        <v>4.45</v>
      </c>
      <c r="O115" s="5">
        <v>12</v>
      </c>
      <c r="P115" s="4">
        <v>5</v>
      </c>
      <c r="Q115" s="28">
        <f t="shared" si="18"/>
        <v>1.1125</v>
      </c>
      <c r="R115" s="50">
        <f t="shared" si="19"/>
        <v>1.335</v>
      </c>
      <c r="S115" s="2" t="str">
        <f t="shared" si="20"/>
        <v>Normal</v>
      </c>
      <c r="T115" s="4">
        <v>0</v>
      </c>
      <c r="U115" s="4" t="str">
        <f t="shared" si="21"/>
        <v>Nein</v>
      </c>
      <c r="V115" s="4">
        <f t="shared" si="22"/>
        <v>0</v>
      </c>
      <c r="W115" s="19">
        <f t="shared" si="23"/>
        <v>0.89</v>
      </c>
      <c r="X115" s="5">
        <v>0</v>
      </c>
      <c r="Y115" s="28">
        <f t="shared" si="24"/>
        <v>0</v>
      </c>
      <c r="Z115" s="31" t="s">
        <v>172</v>
      </c>
      <c r="AA115" t="str">
        <f t="shared" si="25"/>
        <v>Prozessfehler</v>
      </c>
    </row>
    <row r="116" spans="1:27" x14ac:dyDescent="0.35">
      <c r="A116" s="32" t="s">
        <v>14</v>
      </c>
      <c r="B116" s="2" t="str">
        <f>VLOOKUP(A116,Stammdaten!$A$3:$B$7,2,FALSE)</f>
        <v>Filiale Nord</v>
      </c>
      <c r="C116" s="3" t="str" cm="1">
        <f t="array" ref="C116">INDEX(Stammdaten!$A$11:$A$25,INT((ROW()-5)/12)+1 - INT((ROW()-5)/180)*15)</f>
        <v>A010</v>
      </c>
      <c r="D116" s="2" t="str">
        <f>VLOOKUP(C116,Stammdaten!$A$11:$B$25,2,FALSE)</f>
        <v>Schmand 200g</v>
      </c>
      <c r="E116" s="3" t="str">
        <f>VLOOKUP(C116,Stammdaten!$A$11:$C$25,3,FALSE)</f>
        <v>Sahne</v>
      </c>
      <c r="F116" s="19">
        <f>VLOOKUP(C116,Stammdaten!$A$11:$D$25,4,FALSE)</f>
        <v>0.89</v>
      </c>
      <c r="G116" s="4">
        <f t="shared" si="13"/>
        <v>4</v>
      </c>
      <c r="H116" s="20" t="str">
        <f>VLOOKUP(G116,Stammdaten!$A$30:$B$41,2,FALSE)</f>
        <v>April</v>
      </c>
      <c r="I116" s="4">
        <v>227</v>
      </c>
      <c r="J116" s="4">
        <v>230</v>
      </c>
      <c r="K116" s="4">
        <f t="shared" si="14"/>
        <v>3</v>
      </c>
      <c r="L116" s="27">
        <f t="shared" si="15"/>
        <v>1.3215859030837005</v>
      </c>
      <c r="M116" s="52" t="str">
        <f t="shared" si="16"/>
        <v>Überbestand</v>
      </c>
      <c r="N116" s="28">
        <f t="shared" si="17"/>
        <v>2.67</v>
      </c>
      <c r="O116" s="5">
        <v>3</v>
      </c>
      <c r="P116" s="4">
        <v>4</v>
      </c>
      <c r="Q116" s="28">
        <f t="shared" si="18"/>
        <v>0</v>
      </c>
      <c r="R116" s="50">
        <f t="shared" si="19"/>
        <v>0</v>
      </c>
      <c r="S116" s="2" t="str">
        <f t="shared" si="20"/>
        <v>Ostern</v>
      </c>
      <c r="T116" s="4">
        <v>3</v>
      </c>
      <c r="U116" s="4" t="str">
        <f t="shared" si="21"/>
        <v>Ja - 20% Reduzierung</v>
      </c>
      <c r="V116" s="4">
        <f t="shared" si="22"/>
        <v>20</v>
      </c>
      <c r="W116" s="19">
        <f t="shared" si="23"/>
        <v>0.71</v>
      </c>
      <c r="X116" s="5">
        <v>16</v>
      </c>
      <c r="Y116" s="28">
        <f t="shared" si="24"/>
        <v>2.85</v>
      </c>
      <c r="Z116" s="31" t="s">
        <v>173</v>
      </c>
      <c r="AA116" t="str">
        <f t="shared" si="25"/>
        <v>Kassenfehler (Überbestand)</v>
      </c>
    </row>
    <row r="117" spans="1:27" x14ac:dyDescent="0.35">
      <c r="A117" s="32" t="s">
        <v>14</v>
      </c>
      <c r="B117" s="2" t="str">
        <f>VLOOKUP(A117,Stammdaten!$A$3:$B$7,2,FALSE)</f>
        <v>Filiale Nord</v>
      </c>
      <c r="C117" s="3" t="str" cm="1">
        <f t="array" ref="C117">INDEX(Stammdaten!$A$11:$A$25,INT((ROW()-5)/12)+1 - INT((ROW()-5)/180)*15)</f>
        <v>A010</v>
      </c>
      <c r="D117" s="2" t="str">
        <f>VLOOKUP(C117,Stammdaten!$A$11:$B$25,2,FALSE)</f>
        <v>Schmand 200g</v>
      </c>
      <c r="E117" s="3" t="str">
        <f>VLOOKUP(C117,Stammdaten!$A$11:$C$25,3,FALSE)</f>
        <v>Sahne</v>
      </c>
      <c r="F117" s="19">
        <f>VLOOKUP(C117,Stammdaten!$A$11:$D$25,4,FALSE)</f>
        <v>0.89</v>
      </c>
      <c r="G117" s="4">
        <f t="shared" si="13"/>
        <v>5</v>
      </c>
      <c r="H117" s="20" t="str">
        <f>VLOOKUP(G117,Stammdaten!$A$30:$B$41,2,FALSE)</f>
        <v>Mai</v>
      </c>
      <c r="I117" s="4">
        <v>187</v>
      </c>
      <c r="J117" s="4">
        <v>183</v>
      </c>
      <c r="K117" s="4">
        <f t="shared" si="14"/>
        <v>-4</v>
      </c>
      <c r="L117" s="27">
        <f t="shared" si="15"/>
        <v>-2.1390374331550799</v>
      </c>
      <c r="M117" s="52" t="str">
        <f t="shared" si="16"/>
        <v>Schwund</v>
      </c>
      <c r="N117" s="28">
        <f t="shared" si="17"/>
        <v>3.56</v>
      </c>
      <c r="O117" s="5">
        <v>4</v>
      </c>
      <c r="P117" s="4">
        <v>3</v>
      </c>
      <c r="Q117" s="28">
        <f t="shared" si="18"/>
        <v>0.89</v>
      </c>
      <c r="R117" s="50">
        <f t="shared" si="19"/>
        <v>1.0680000000000001</v>
      </c>
      <c r="S117" s="2" t="str">
        <f t="shared" si="20"/>
        <v>Normal</v>
      </c>
      <c r="T117" s="4">
        <v>0</v>
      </c>
      <c r="U117" s="4" t="str">
        <f t="shared" si="21"/>
        <v>Nein</v>
      </c>
      <c r="V117" s="4">
        <f t="shared" si="22"/>
        <v>0</v>
      </c>
      <c r="W117" s="19">
        <f t="shared" si="23"/>
        <v>0.89</v>
      </c>
      <c r="X117" s="5">
        <v>0</v>
      </c>
      <c r="Y117" s="28">
        <f t="shared" si="24"/>
        <v>0</v>
      </c>
      <c r="Z117" s="31" t="s">
        <v>172</v>
      </c>
      <c r="AA117" t="str">
        <f t="shared" si="25"/>
        <v>Prozessfehler</v>
      </c>
    </row>
    <row r="118" spans="1:27" x14ac:dyDescent="0.35">
      <c r="A118" s="32" t="s">
        <v>14</v>
      </c>
      <c r="B118" s="2" t="str">
        <f>VLOOKUP(A118,Stammdaten!$A$3:$B$7,2,FALSE)</f>
        <v>Filiale Nord</v>
      </c>
      <c r="C118" s="3" t="str" cm="1">
        <f t="array" ref="C118">INDEX(Stammdaten!$A$11:$A$25,INT((ROW()-5)/12)+1 - INT((ROW()-5)/180)*15)</f>
        <v>A010</v>
      </c>
      <c r="D118" s="2" t="str">
        <f>VLOOKUP(C118,Stammdaten!$A$11:$B$25,2,FALSE)</f>
        <v>Schmand 200g</v>
      </c>
      <c r="E118" s="3" t="str">
        <f>VLOOKUP(C118,Stammdaten!$A$11:$C$25,3,FALSE)</f>
        <v>Sahne</v>
      </c>
      <c r="F118" s="19">
        <f>VLOOKUP(C118,Stammdaten!$A$11:$D$25,4,FALSE)</f>
        <v>0.89</v>
      </c>
      <c r="G118" s="4">
        <f t="shared" si="13"/>
        <v>6</v>
      </c>
      <c r="H118" s="20" t="str">
        <f>VLOOKUP(G118,Stammdaten!$A$30:$B$41,2,FALSE)</f>
        <v>Juni</v>
      </c>
      <c r="I118" s="4">
        <v>208</v>
      </c>
      <c r="J118" s="4">
        <v>208</v>
      </c>
      <c r="K118" s="4">
        <f t="shared" si="14"/>
        <v>0</v>
      </c>
      <c r="L118" s="27">
        <f t="shared" si="15"/>
        <v>0</v>
      </c>
      <c r="M118" s="52" t="str">
        <f t="shared" si="16"/>
        <v>Perfekt</v>
      </c>
      <c r="N118" s="28">
        <f t="shared" si="17"/>
        <v>0</v>
      </c>
      <c r="O118" s="5">
        <v>12</v>
      </c>
      <c r="P118" s="4">
        <v>1</v>
      </c>
      <c r="Q118" s="28">
        <f t="shared" si="18"/>
        <v>0</v>
      </c>
      <c r="R118" s="50">
        <f t="shared" si="19"/>
        <v>0</v>
      </c>
      <c r="S118" s="2" t="str">
        <f t="shared" si="20"/>
        <v>Normal</v>
      </c>
      <c r="T118" s="4">
        <v>0</v>
      </c>
      <c r="U118" s="4" t="str">
        <f t="shared" si="21"/>
        <v>Nein</v>
      </c>
      <c r="V118" s="4">
        <f t="shared" si="22"/>
        <v>0</v>
      </c>
      <c r="W118" s="19">
        <f t="shared" si="23"/>
        <v>0.89</v>
      </c>
      <c r="X118" s="5">
        <v>0</v>
      </c>
      <c r="Y118" s="28">
        <f t="shared" si="24"/>
        <v>0</v>
      </c>
      <c r="Z118" s="31" t="s">
        <v>172</v>
      </c>
      <c r="AA118" t="str">
        <f t="shared" si="25"/>
        <v>Normal/Gering</v>
      </c>
    </row>
    <row r="119" spans="1:27" x14ac:dyDescent="0.35">
      <c r="A119" s="32" t="s">
        <v>14</v>
      </c>
      <c r="B119" s="2" t="str">
        <f>VLOOKUP(A119,Stammdaten!$A$3:$B$7,2,FALSE)</f>
        <v>Filiale Nord</v>
      </c>
      <c r="C119" s="3" t="str" cm="1">
        <f t="array" ref="C119">INDEX(Stammdaten!$A$11:$A$25,INT((ROW()-5)/12)+1 - INT((ROW()-5)/180)*15)</f>
        <v>A010</v>
      </c>
      <c r="D119" s="2" t="str">
        <f>VLOOKUP(C119,Stammdaten!$A$11:$B$25,2,FALSE)</f>
        <v>Schmand 200g</v>
      </c>
      <c r="E119" s="3" t="str">
        <f>VLOOKUP(C119,Stammdaten!$A$11:$C$25,3,FALSE)</f>
        <v>Sahne</v>
      </c>
      <c r="F119" s="19">
        <f>VLOOKUP(C119,Stammdaten!$A$11:$D$25,4,FALSE)</f>
        <v>0.89</v>
      </c>
      <c r="G119" s="4">
        <f t="shared" si="13"/>
        <v>7</v>
      </c>
      <c r="H119" s="20" t="str">
        <f>VLOOKUP(G119,Stammdaten!$A$30:$B$41,2,FALSE)</f>
        <v>Juli</v>
      </c>
      <c r="I119" s="4">
        <v>227</v>
      </c>
      <c r="J119" s="4">
        <v>228</v>
      </c>
      <c r="K119" s="4">
        <f t="shared" si="14"/>
        <v>1</v>
      </c>
      <c r="L119" s="27">
        <f t="shared" si="15"/>
        <v>0.44052863436123352</v>
      </c>
      <c r="M119" s="52" t="str">
        <f t="shared" si="16"/>
        <v>Überbestand</v>
      </c>
      <c r="N119" s="28">
        <f t="shared" si="17"/>
        <v>0.89</v>
      </c>
      <c r="O119" s="5">
        <v>8</v>
      </c>
      <c r="P119" s="4">
        <v>2</v>
      </c>
      <c r="Q119" s="28">
        <f t="shared" si="18"/>
        <v>0</v>
      </c>
      <c r="R119" s="50">
        <f t="shared" si="19"/>
        <v>0</v>
      </c>
      <c r="S119" s="2" t="str">
        <f t="shared" si="20"/>
        <v>Normal</v>
      </c>
      <c r="T119" s="4">
        <v>1</v>
      </c>
      <c r="U119" s="4" t="str">
        <f t="shared" si="21"/>
        <v>Nein</v>
      </c>
      <c r="V119" s="4">
        <f t="shared" si="22"/>
        <v>0</v>
      </c>
      <c r="W119" s="19">
        <f t="shared" si="23"/>
        <v>0.89</v>
      </c>
      <c r="X119" s="5">
        <v>0</v>
      </c>
      <c r="Y119" s="28">
        <f t="shared" si="24"/>
        <v>0</v>
      </c>
      <c r="Z119" s="31" t="s">
        <v>172</v>
      </c>
      <c r="AA119" t="str">
        <f t="shared" si="25"/>
        <v>Kassenfehler (Überbestand)</v>
      </c>
    </row>
    <row r="120" spans="1:27" x14ac:dyDescent="0.35">
      <c r="A120" s="32" t="s">
        <v>14</v>
      </c>
      <c r="B120" s="2" t="str">
        <f>VLOOKUP(A120,Stammdaten!$A$3:$B$7,2,FALSE)</f>
        <v>Filiale Nord</v>
      </c>
      <c r="C120" s="3" t="str" cm="1">
        <f t="array" ref="C120">INDEX(Stammdaten!$A$11:$A$25,INT((ROW()-5)/12)+1 - INT((ROW()-5)/180)*15)</f>
        <v>A010</v>
      </c>
      <c r="D120" s="2" t="str">
        <f>VLOOKUP(C120,Stammdaten!$A$11:$B$25,2,FALSE)</f>
        <v>Schmand 200g</v>
      </c>
      <c r="E120" s="3" t="str">
        <f>VLOOKUP(C120,Stammdaten!$A$11:$C$25,3,FALSE)</f>
        <v>Sahne</v>
      </c>
      <c r="F120" s="19">
        <f>VLOOKUP(C120,Stammdaten!$A$11:$D$25,4,FALSE)</f>
        <v>0.89</v>
      </c>
      <c r="G120" s="4">
        <f t="shared" si="13"/>
        <v>8</v>
      </c>
      <c r="H120" s="20" t="str">
        <f>VLOOKUP(G120,Stammdaten!$A$30:$B$41,2,FALSE)</f>
        <v>August</v>
      </c>
      <c r="I120" s="4">
        <v>199</v>
      </c>
      <c r="J120" s="4">
        <v>196</v>
      </c>
      <c r="K120" s="4">
        <f t="shared" si="14"/>
        <v>-3</v>
      </c>
      <c r="L120" s="27">
        <f t="shared" si="15"/>
        <v>-1.5075376884422109</v>
      </c>
      <c r="M120" s="52" t="str">
        <f t="shared" si="16"/>
        <v>Schwund</v>
      </c>
      <c r="N120" s="28">
        <f t="shared" si="17"/>
        <v>2.67</v>
      </c>
      <c r="O120" s="5">
        <v>1</v>
      </c>
      <c r="P120" s="4">
        <v>3</v>
      </c>
      <c r="Q120" s="28">
        <f t="shared" si="18"/>
        <v>0.66749999999999998</v>
      </c>
      <c r="R120" s="50">
        <f t="shared" si="19"/>
        <v>0.80099999999999993</v>
      </c>
      <c r="S120" s="2" t="str">
        <f t="shared" si="20"/>
        <v>Normal</v>
      </c>
      <c r="T120" s="4">
        <v>0</v>
      </c>
      <c r="U120" s="4" t="str">
        <f t="shared" si="21"/>
        <v>Ja - 20% Reduzierung</v>
      </c>
      <c r="V120" s="4">
        <f t="shared" si="22"/>
        <v>20</v>
      </c>
      <c r="W120" s="19">
        <f t="shared" si="23"/>
        <v>0.71</v>
      </c>
      <c r="X120" s="5">
        <v>16</v>
      </c>
      <c r="Y120" s="28">
        <f t="shared" si="24"/>
        <v>2.85</v>
      </c>
      <c r="Z120" s="31" t="s">
        <v>173</v>
      </c>
      <c r="AA120" t="str">
        <f t="shared" si="25"/>
        <v>Normal/Gering</v>
      </c>
    </row>
    <row r="121" spans="1:27" x14ac:dyDescent="0.35">
      <c r="A121" s="32" t="s">
        <v>14</v>
      </c>
      <c r="B121" s="2" t="str">
        <f>VLOOKUP(A121,Stammdaten!$A$3:$B$7,2,FALSE)</f>
        <v>Filiale Nord</v>
      </c>
      <c r="C121" s="3" t="str" cm="1">
        <f t="array" ref="C121">INDEX(Stammdaten!$A$11:$A$25,INT((ROW()-5)/12)+1 - INT((ROW()-5)/180)*15)</f>
        <v>A010</v>
      </c>
      <c r="D121" s="2" t="str">
        <f>VLOOKUP(C121,Stammdaten!$A$11:$B$25,2,FALSE)</f>
        <v>Schmand 200g</v>
      </c>
      <c r="E121" s="3" t="str">
        <f>VLOOKUP(C121,Stammdaten!$A$11:$C$25,3,FALSE)</f>
        <v>Sahne</v>
      </c>
      <c r="F121" s="19">
        <f>VLOOKUP(C121,Stammdaten!$A$11:$D$25,4,FALSE)</f>
        <v>0.89</v>
      </c>
      <c r="G121" s="4">
        <f t="shared" si="13"/>
        <v>9</v>
      </c>
      <c r="H121" s="20" t="str">
        <f>VLOOKUP(G121,Stammdaten!$A$30:$B$41,2,FALSE)</f>
        <v>September</v>
      </c>
      <c r="I121" s="4">
        <v>173</v>
      </c>
      <c r="J121" s="4">
        <v>171</v>
      </c>
      <c r="K121" s="4">
        <f t="shared" si="14"/>
        <v>-2</v>
      </c>
      <c r="L121" s="27">
        <f t="shared" si="15"/>
        <v>-1.1560693641618496</v>
      </c>
      <c r="M121" s="52" t="str">
        <f t="shared" si="16"/>
        <v>Schwund</v>
      </c>
      <c r="N121" s="28">
        <f t="shared" si="17"/>
        <v>1.78</v>
      </c>
      <c r="O121" s="5">
        <v>0</v>
      </c>
      <c r="P121" s="4">
        <v>4</v>
      </c>
      <c r="Q121" s="28">
        <f t="shared" si="18"/>
        <v>0.44500000000000001</v>
      </c>
      <c r="R121" s="50">
        <f t="shared" si="19"/>
        <v>0.53400000000000003</v>
      </c>
      <c r="S121" s="2" t="str">
        <f t="shared" si="20"/>
        <v>Normal</v>
      </c>
      <c r="T121" s="4">
        <v>0</v>
      </c>
      <c r="U121" s="4" t="str">
        <f t="shared" si="21"/>
        <v>Abschreibung</v>
      </c>
      <c r="V121" s="4">
        <f t="shared" si="22"/>
        <v>100</v>
      </c>
      <c r="W121" s="19">
        <f t="shared" si="23"/>
        <v>0</v>
      </c>
      <c r="X121" s="5">
        <v>3</v>
      </c>
      <c r="Y121" s="28">
        <f t="shared" si="24"/>
        <v>2.67</v>
      </c>
      <c r="Z121" s="31" t="s">
        <v>173</v>
      </c>
      <c r="AA121" t="str">
        <f t="shared" si="25"/>
        <v>Verderb - Abgelaufen</v>
      </c>
    </row>
    <row r="122" spans="1:27" x14ac:dyDescent="0.35">
      <c r="A122" s="32" t="s">
        <v>14</v>
      </c>
      <c r="B122" s="2" t="str">
        <f>VLOOKUP(A122,Stammdaten!$A$3:$B$7,2,FALSE)</f>
        <v>Filiale Nord</v>
      </c>
      <c r="C122" s="3" t="str" cm="1">
        <f t="array" ref="C122">INDEX(Stammdaten!$A$11:$A$25,INT((ROW()-5)/12)+1 - INT((ROW()-5)/180)*15)</f>
        <v>A010</v>
      </c>
      <c r="D122" s="2" t="str">
        <f>VLOOKUP(C122,Stammdaten!$A$11:$B$25,2,FALSE)</f>
        <v>Schmand 200g</v>
      </c>
      <c r="E122" s="3" t="str">
        <f>VLOOKUP(C122,Stammdaten!$A$11:$C$25,3,FALSE)</f>
        <v>Sahne</v>
      </c>
      <c r="F122" s="19">
        <f>VLOOKUP(C122,Stammdaten!$A$11:$D$25,4,FALSE)</f>
        <v>0.89</v>
      </c>
      <c r="G122" s="4">
        <f t="shared" si="13"/>
        <v>10</v>
      </c>
      <c r="H122" s="20" t="str">
        <f>VLOOKUP(G122,Stammdaten!$A$30:$B$41,2,FALSE)</f>
        <v>Oktober</v>
      </c>
      <c r="I122" s="4">
        <v>180</v>
      </c>
      <c r="J122" s="4">
        <v>186</v>
      </c>
      <c r="K122" s="4">
        <f t="shared" si="14"/>
        <v>6</v>
      </c>
      <c r="L122" s="27">
        <f t="shared" si="15"/>
        <v>3.3333333333333335</v>
      </c>
      <c r="M122" s="52" t="str">
        <f t="shared" si="16"/>
        <v>Überbestand</v>
      </c>
      <c r="N122" s="28">
        <f t="shared" si="17"/>
        <v>5.34</v>
      </c>
      <c r="O122" s="5">
        <v>10</v>
      </c>
      <c r="P122" s="4">
        <v>5</v>
      </c>
      <c r="Q122" s="28">
        <f t="shared" si="18"/>
        <v>0</v>
      </c>
      <c r="R122" s="50">
        <f t="shared" si="19"/>
        <v>0</v>
      </c>
      <c r="S122" s="2" t="str">
        <f t="shared" si="20"/>
        <v>Normal</v>
      </c>
      <c r="T122" s="4">
        <v>6</v>
      </c>
      <c r="U122" s="4" t="str">
        <f t="shared" si="21"/>
        <v>Nein</v>
      </c>
      <c r="V122" s="4">
        <f t="shared" si="22"/>
        <v>0</v>
      </c>
      <c r="W122" s="19">
        <f t="shared" si="23"/>
        <v>0.89</v>
      </c>
      <c r="X122" s="5">
        <v>0</v>
      </c>
      <c r="Y122" s="28">
        <f t="shared" si="24"/>
        <v>0</v>
      </c>
      <c r="Z122" s="31" t="s">
        <v>172</v>
      </c>
      <c r="AA122" t="str">
        <f t="shared" si="25"/>
        <v>Kassenfehler (Überbestand)</v>
      </c>
    </row>
    <row r="123" spans="1:27" x14ac:dyDescent="0.35">
      <c r="A123" s="32" t="s">
        <v>14</v>
      </c>
      <c r="B123" s="2" t="str">
        <f>VLOOKUP(A123,Stammdaten!$A$3:$B$7,2,FALSE)</f>
        <v>Filiale Nord</v>
      </c>
      <c r="C123" s="3" t="str" cm="1">
        <f t="array" ref="C123">INDEX(Stammdaten!$A$11:$A$25,INT((ROW()-5)/12)+1 - INT((ROW()-5)/180)*15)</f>
        <v>A010</v>
      </c>
      <c r="D123" s="2" t="str">
        <f>VLOOKUP(C123,Stammdaten!$A$11:$B$25,2,FALSE)</f>
        <v>Schmand 200g</v>
      </c>
      <c r="E123" s="3" t="str">
        <f>VLOOKUP(C123,Stammdaten!$A$11:$C$25,3,FALSE)</f>
        <v>Sahne</v>
      </c>
      <c r="F123" s="19">
        <f>VLOOKUP(C123,Stammdaten!$A$11:$D$25,4,FALSE)</f>
        <v>0.89</v>
      </c>
      <c r="G123" s="4">
        <f t="shared" si="13"/>
        <v>11</v>
      </c>
      <c r="H123" s="20" t="str">
        <f>VLOOKUP(G123,Stammdaten!$A$30:$B$41,2,FALSE)</f>
        <v>November</v>
      </c>
      <c r="I123" s="4">
        <v>206</v>
      </c>
      <c r="J123" s="4">
        <v>201</v>
      </c>
      <c r="K123" s="4">
        <f t="shared" si="14"/>
        <v>-5</v>
      </c>
      <c r="L123" s="27">
        <f t="shared" si="15"/>
        <v>-2.4271844660194173</v>
      </c>
      <c r="M123" s="52" t="str">
        <f t="shared" si="16"/>
        <v>Schwund</v>
      </c>
      <c r="N123" s="28">
        <f t="shared" si="17"/>
        <v>4.45</v>
      </c>
      <c r="O123" s="5">
        <v>1</v>
      </c>
      <c r="P123" s="4">
        <v>1</v>
      </c>
      <c r="Q123" s="28">
        <f t="shared" si="18"/>
        <v>1.1125</v>
      </c>
      <c r="R123" s="50">
        <f t="shared" si="19"/>
        <v>1.335</v>
      </c>
      <c r="S123" s="2" t="str">
        <f t="shared" si="20"/>
        <v>Black Friday</v>
      </c>
      <c r="T123" s="4">
        <v>0</v>
      </c>
      <c r="U123" s="4" t="str">
        <f t="shared" si="21"/>
        <v>Ja - 20% Reduzierung</v>
      </c>
      <c r="V123" s="4">
        <f t="shared" si="22"/>
        <v>20</v>
      </c>
      <c r="W123" s="19">
        <f t="shared" si="23"/>
        <v>0.71</v>
      </c>
      <c r="X123" s="5">
        <v>16</v>
      </c>
      <c r="Y123" s="28">
        <f t="shared" si="24"/>
        <v>2.85</v>
      </c>
      <c r="Z123" s="31" t="s">
        <v>173</v>
      </c>
      <c r="AA123" t="str">
        <f t="shared" si="25"/>
        <v>Buchungsfehler Wareneingang</v>
      </c>
    </row>
    <row r="124" spans="1:27" x14ac:dyDescent="0.35">
      <c r="A124" s="32" t="s">
        <v>14</v>
      </c>
      <c r="B124" s="2" t="str">
        <f>VLOOKUP(A124,Stammdaten!$A$3:$B$7,2,FALSE)</f>
        <v>Filiale Nord</v>
      </c>
      <c r="C124" s="3" t="str" cm="1">
        <f t="array" ref="C124">INDEX(Stammdaten!$A$11:$A$25,INT((ROW()-5)/12)+1 - INT((ROW()-5)/180)*15)</f>
        <v>A010</v>
      </c>
      <c r="D124" s="2" t="str">
        <f>VLOOKUP(C124,Stammdaten!$A$11:$B$25,2,FALSE)</f>
        <v>Schmand 200g</v>
      </c>
      <c r="E124" s="3" t="str">
        <f>VLOOKUP(C124,Stammdaten!$A$11:$C$25,3,FALSE)</f>
        <v>Sahne</v>
      </c>
      <c r="F124" s="19">
        <f>VLOOKUP(C124,Stammdaten!$A$11:$D$25,4,FALSE)</f>
        <v>0.89</v>
      </c>
      <c r="G124" s="4">
        <f t="shared" si="13"/>
        <v>12</v>
      </c>
      <c r="H124" s="20" t="str">
        <f>VLOOKUP(G124,Stammdaten!$A$30:$B$41,2,FALSE)</f>
        <v>Dezember</v>
      </c>
      <c r="I124" s="4">
        <v>252</v>
      </c>
      <c r="J124" s="4">
        <v>248</v>
      </c>
      <c r="K124" s="4">
        <f t="shared" si="14"/>
        <v>-4</v>
      </c>
      <c r="L124" s="27">
        <f t="shared" si="15"/>
        <v>-1.5873015873015872</v>
      </c>
      <c r="M124" s="52" t="str">
        <f t="shared" si="16"/>
        <v>Schwund</v>
      </c>
      <c r="N124" s="28">
        <f t="shared" si="17"/>
        <v>3.56</v>
      </c>
      <c r="O124" s="5">
        <v>13</v>
      </c>
      <c r="P124" s="4">
        <v>3</v>
      </c>
      <c r="Q124" s="28">
        <f t="shared" si="18"/>
        <v>0.89</v>
      </c>
      <c r="R124" s="50">
        <f t="shared" si="19"/>
        <v>1.0680000000000001</v>
      </c>
      <c r="S124" s="2" t="str">
        <f t="shared" si="20"/>
        <v>Weihnachten/Silvester</v>
      </c>
      <c r="T124" s="4">
        <v>0</v>
      </c>
      <c r="U124" s="4" t="str">
        <f t="shared" si="21"/>
        <v>Nein</v>
      </c>
      <c r="V124" s="4">
        <f t="shared" si="22"/>
        <v>0</v>
      </c>
      <c r="W124" s="19">
        <f t="shared" si="23"/>
        <v>0.89</v>
      </c>
      <c r="X124" s="5">
        <v>0</v>
      </c>
      <c r="Y124" s="28">
        <f t="shared" si="24"/>
        <v>0</v>
      </c>
      <c r="Z124" s="31" t="s">
        <v>172</v>
      </c>
      <c r="AA124" t="str">
        <f t="shared" si="25"/>
        <v>Normal/Gering</v>
      </c>
    </row>
    <row r="125" spans="1:27" x14ac:dyDescent="0.35">
      <c r="A125" s="32" t="s">
        <v>14</v>
      </c>
      <c r="B125" s="2" t="str">
        <f>VLOOKUP(A125,Stammdaten!$A$3:$B$7,2,FALSE)</f>
        <v>Filiale Nord</v>
      </c>
      <c r="C125" s="3" t="str" cm="1">
        <f t="array" ref="C125">INDEX(Stammdaten!$A$11:$A$25,INT((ROW()-5)/12)+1 - INT((ROW()-5)/180)*15)</f>
        <v>A011</v>
      </c>
      <c r="D125" s="2" t="str">
        <f>VLOOKUP(C125,Stammdaten!$A$11:$B$25,2,FALSE)</f>
        <v>Mozzarella 125g</v>
      </c>
      <c r="E125" s="3" t="str">
        <f>VLOOKUP(C125,Stammdaten!$A$11:$C$25,3,FALSE)</f>
        <v>Käse</v>
      </c>
      <c r="F125" s="19">
        <f>VLOOKUP(C125,Stammdaten!$A$11:$D$25,4,FALSE)</f>
        <v>1.19</v>
      </c>
      <c r="G125" s="4">
        <f t="shared" si="13"/>
        <v>1</v>
      </c>
      <c r="H125" s="20" t="str">
        <f>VLOOKUP(G125,Stammdaten!$A$30:$B$41,2,FALSE)</f>
        <v>Januar</v>
      </c>
      <c r="I125" s="4">
        <v>259</v>
      </c>
      <c r="J125" s="4">
        <v>249</v>
      </c>
      <c r="K125" s="4">
        <f t="shared" si="14"/>
        <v>-10</v>
      </c>
      <c r="L125" s="27">
        <f t="shared" si="15"/>
        <v>-3.8610038610038608</v>
      </c>
      <c r="M125" s="52" t="str">
        <f t="shared" si="16"/>
        <v>Schwund</v>
      </c>
      <c r="N125" s="28">
        <f t="shared" si="17"/>
        <v>11.899999999999999</v>
      </c>
      <c r="O125" s="5">
        <v>7</v>
      </c>
      <c r="P125" s="4">
        <v>4</v>
      </c>
      <c r="Q125" s="28">
        <f t="shared" si="18"/>
        <v>2.9749999999999996</v>
      </c>
      <c r="R125" s="50">
        <f t="shared" si="19"/>
        <v>3.5699999999999994</v>
      </c>
      <c r="S125" s="2" t="str">
        <f t="shared" si="20"/>
        <v>Normal</v>
      </c>
      <c r="T125" s="4">
        <v>0</v>
      </c>
      <c r="U125" s="4" t="str">
        <f t="shared" si="21"/>
        <v>Nein</v>
      </c>
      <c r="V125" s="4">
        <f t="shared" si="22"/>
        <v>0</v>
      </c>
      <c r="W125" s="19">
        <f t="shared" si="23"/>
        <v>1.19</v>
      </c>
      <c r="X125" s="5">
        <v>0</v>
      </c>
      <c r="Y125" s="28">
        <f t="shared" si="24"/>
        <v>0</v>
      </c>
      <c r="Z125" s="31" t="s">
        <v>172</v>
      </c>
      <c r="AA125" t="str">
        <f t="shared" si="25"/>
        <v>Prozessfehler</v>
      </c>
    </row>
    <row r="126" spans="1:27" x14ac:dyDescent="0.35">
      <c r="A126" s="32" t="s">
        <v>14</v>
      </c>
      <c r="B126" s="2" t="str">
        <f>VLOOKUP(A126,Stammdaten!$A$3:$B$7,2,FALSE)</f>
        <v>Filiale Nord</v>
      </c>
      <c r="C126" s="3" t="str" cm="1">
        <f t="array" ref="C126">INDEX(Stammdaten!$A$11:$A$25,INT((ROW()-5)/12)+1 - INT((ROW()-5)/180)*15)</f>
        <v>A011</v>
      </c>
      <c r="D126" s="2" t="str">
        <f>VLOOKUP(C126,Stammdaten!$A$11:$B$25,2,FALSE)</f>
        <v>Mozzarella 125g</v>
      </c>
      <c r="E126" s="3" t="str">
        <f>VLOOKUP(C126,Stammdaten!$A$11:$C$25,3,FALSE)</f>
        <v>Käse</v>
      </c>
      <c r="F126" s="19">
        <f>VLOOKUP(C126,Stammdaten!$A$11:$D$25,4,FALSE)</f>
        <v>1.19</v>
      </c>
      <c r="G126" s="4">
        <f t="shared" si="13"/>
        <v>2</v>
      </c>
      <c r="H126" s="20" t="str">
        <f>VLOOKUP(G126,Stammdaten!$A$30:$B$41,2,FALSE)</f>
        <v>Februar</v>
      </c>
      <c r="I126" s="4">
        <v>263</v>
      </c>
      <c r="J126" s="4">
        <v>253</v>
      </c>
      <c r="K126" s="4">
        <f t="shared" si="14"/>
        <v>-10</v>
      </c>
      <c r="L126" s="27">
        <f t="shared" si="15"/>
        <v>-3.8022813688212929</v>
      </c>
      <c r="M126" s="52" t="str">
        <f t="shared" si="16"/>
        <v>Schwund</v>
      </c>
      <c r="N126" s="28">
        <f t="shared" si="17"/>
        <v>11.899999999999999</v>
      </c>
      <c r="O126" s="5">
        <v>9</v>
      </c>
      <c r="P126" s="4">
        <v>0</v>
      </c>
      <c r="Q126" s="28">
        <f t="shared" si="18"/>
        <v>2.9749999999999996</v>
      </c>
      <c r="R126" s="50">
        <f t="shared" si="19"/>
        <v>3.5699999999999994</v>
      </c>
      <c r="S126" s="2" t="str">
        <f t="shared" si="20"/>
        <v>Karneval</v>
      </c>
      <c r="T126" s="4">
        <v>0</v>
      </c>
      <c r="U126" s="4" t="str">
        <f t="shared" si="21"/>
        <v>Nein</v>
      </c>
      <c r="V126" s="4">
        <f t="shared" si="22"/>
        <v>0</v>
      </c>
      <c r="W126" s="19">
        <f t="shared" si="23"/>
        <v>1.19</v>
      </c>
      <c r="X126" s="5">
        <v>0</v>
      </c>
      <c r="Y126" s="28">
        <f t="shared" si="24"/>
        <v>0</v>
      </c>
      <c r="Z126" s="31" t="s">
        <v>172</v>
      </c>
      <c r="AA126" t="str">
        <f t="shared" si="25"/>
        <v>Buchungsfehler Wareneingang</v>
      </c>
    </row>
    <row r="127" spans="1:27" x14ac:dyDescent="0.35">
      <c r="A127" s="32" t="s">
        <v>14</v>
      </c>
      <c r="B127" s="2" t="str">
        <f>VLOOKUP(A127,Stammdaten!$A$3:$B$7,2,FALSE)</f>
        <v>Filiale Nord</v>
      </c>
      <c r="C127" s="3" t="str" cm="1">
        <f t="array" ref="C127">INDEX(Stammdaten!$A$11:$A$25,INT((ROW()-5)/12)+1 - INT((ROW()-5)/180)*15)</f>
        <v>A011</v>
      </c>
      <c r="D127" s="2" t="str">
        <f>VLOOKUP(C127,Stammdaten!$A$11:$B$25,2,FALSE)</f>
        <v>Mozzarella 125g</v>
      </c>
      <c r="E127" s="3" t="str">
        <f>VLOOKUP(C127,Stammdaten!$A$11:$C$25,3,FALSE)</f>
        <v>Käse</v>
      </c>
      <c r="F127" s="19">
        <f>VLOOKUP(C127,Stammdaten!$A$11:$D$25,4,FALSE)</f>
        <v>1.19</v>
      </c>
      <c r="G127" s="4">
        <f t="shared" si="13"/>
        <v>3</v>
      </c>
      <c r="H127" s="20" t="str">
        <f>VLOOKUP(G127,Stammdaten!$A$30:$B$41,2,FALSE)</f>
        <v>März</v>
      </c>
      <c r="I127" s="4">
        <v>309</v>
      </c>
      <c r="J127" s="4">
        <v>296</v>
      </c>
      <c r="K127" s="4">
        <f t="shared" si="14"/>
        <v>-13</v>
      </c>
      <c r="L127" s="27">
        <f t="shared" si="15"/>
        <v>-4.2071197411003238</v>
      </c>
      <c r="M127" s="52" t="str">
        <f t="shared" si="16"/>
        <v>Schwund</v>
      </c>
      <c r="N127" s="28">
        <f t="shared" si="17"/>
        <v>15.469999999999999</v>
      </c>
      <c r="O127" s="5">
        <v>3</v>
      </c>
      <c r="P127" s="4">
        <v>1</v>
      </c>
      <c r="Q127" s="28">
        <f t="shared" si="18"/>
        <v>3.8674999999999997</v>
      </c>
      <c r="R127" s="50">
        <f t="shared" si="19"/>
        <v>4.6409999999999991</v>
      </c>
      <c r="S127" s="2" t="str">
        <f t="shared" si="20"/>
        <v>Normal</v>
      </c>
      <c r="T127" s="4">
        <v>0</v>
      </c>
      <c r="U127" s="4" t="str">
        <f t="shared" si="21"/>
        <v>Ja - 20% Reduzierung</v>
      </c>
      <c r="V127" s="4">
        <f t="shared" si="22"/>
        <v>20</v>
      </c>
      <c r="W127" s="19">
        <f t="shared" si="23"/>
        <v>0.95</v>
      </c>
      <c r="X127" s="5">
        <v>22</v>
      </c>
      <c r="Y127" s="28">
        <f t="shared" si="24"/>
        <v>5.24</v>
      </c>
      <c r="Z127" s="31" t="s">
        <v>173</v>
      </c>
      <c r="AA127" t="str">
        <f t="shared" si="25"/>
        <v>Buchungsfehler Wareneingang</v>
      </c>
    </row>
    <row r="128" spans="1:27" x14ac:dyDescent="0.35">
      <c r="A128" s="32" t="s">
        <v>14</v>
      </c>
      <c r="B128" s="2" t="str">
        <f>VLOOKUP(A128,Stammdaten!$A$3:$B$7,2,FALSE)</f>
        <v>Filiale Nord</v>
      </c>
      <c r="C128" s="3" t="str" cm="1">
        <f t="array" ref="C128">INDEX(Stammdaten!$A$11:$A$25,INT((ROW()-5)/12)+1 - INT((ROW()-5)/180)*15)</f>
        <v>A011</v>
      </c>
      <c r="D128" s="2" t="str">
        <f>VLOOKUP(C128,Stammdaten!$A$11:$B$25,2,FALSE)</f>
        <v>Mozzarella 125g</v>
      </c>
      <c r="E128" s="3" t="str">
        <f>VLOOKUP(C128,Stammdaten!$A$11:$C$25,3,FALSE)</f>
        <v>Käse</v>
      </c>
      <c r="F128" s="19">
        <f>VLOOKUP(C128,Stammdaten!$A$11:$D$25,4,FALSE)</f>
        <v>1.19</v>
      </c>
      <c r="G128" s="4">
        <f t="shared" si="13"/>
        <v>4</v>
      </c>
      <c r="H128" s="20" t="str">
        <f>VLOOKUP(G128,Stammdaten!$A$30:$B$41,2,FALSE)</f>
        <v>April</v>
      </c>
      <c r="I128" s="4">
        <v>386</v>
      </c>
      <c r="J128" s="4">
        <v>386</v>
      </c>
      <c r="K128" s="4">
        <f t="shared" si="14"/>
        <v>0</v>
      </c>
      <c r="L128" s="27">
        <f t="shared" si="15"/>
        <v>0</v>
      </c>
      <c r="M128" s="52" t="str">
        <f t="shared" si="16"/>
        <v>Perfekt</v>
      </c>
      <c r="N128" s="28">
        <f t="shared" si="17"/>
        <v>0</v>
      </c>
      <c r="O128" s="5">
        <v>9</v>
      </c>
      <c r="P128" s="4">
        <v>1</v>
      </c>
      <c r="Q128" s="28">
        <f t="shared" si="18"/>
        <v>0</v>
      </c>
      <c r="R128" s="50">
        <f t="shared" si="19"/>
        <v>0</v>
      </c>
      <c r="S128" s="2" t="str">
        <f t="shared" si="20"/>
        <v>Ostern</v>
      </c>
      <c r="T128" s="4">
        <v>0</v>
      </c>
      <c r="U128" s="4" t="str">
        <f t="shared" si="21"/>
        <v>Nein</v>
      </c>
      <c r="V128" s="4">
        <f t="shared" si="22"/>
        <v>0</v>
      </c>
      <c r="W128" s="19">
        <f t="shared" si="23"/>
        <v>1.19</v>
      </c>
      <c r="X128" s="5">
        <v>0</v>
      </c>
      <c r="Y128" s="28">
        <f t="shared" si="24"/>
        <v>0</v>
      </c>
      <c r="Z128" s="31" t="s">
        <v>172</v>
      </c>
      <c r="AA128" t="str">
        <f t="shared" si="25"/>
        <v>Normal/Gering</v>
      </c>
    </row>
    <row r="129" spans="1:27" x14ac:dyDescent="0.35">
      <c r="A129" s="32" t="s">
        <v>14</v>
      </c>
      <c r="B129" s="2" t="str">
        <f>VLOOKUP(A129,Stammdaten!$A$3:$B$7,2,FALSE)</f>
        <v>Filiale Nord</v>
      </c>
      <c r="C129" s="3" t="str" cm="1">
        <f t="array" ref="C129">INDEX(Stammdaten!$A$11:$A$25,INT((ROW()-5)/12)+1 - INT((ROW()-5)/180)*15)</f>
        <v>A011</v>
      </c>
      <c r="D129" s="2" t="str">
        <f>VLOOKUP(C129,Stammdaten!$A$11:$B$25,2,FALSE)</f>
        <v>Mozzarella 125g</v>
      </c>
      <c r="E129" s="3" t="str">
        <f>VLOOKUP(C129,Stammdaten!$A$11:$C$25,3,FALSE)</f>
        <v>Käse</v>
      </c>
      <c r="F129" s="19">
        <f>VLOOKUP(C129,Stammdaten!$A$11:$D$25,4,FALSE)</f>
        <v>1.19</v>
      </c>
      <c r="G129" s="4">
        <f t="shared" si="13"/>
        <v>5</v>
      </c>
      <c r="H129" s="20" t="str">
        <f>VLOOKUP(G129,Stammdaten!$A$30:$B$41,2,FALSE)</f>
        <v>Mai</v>
      </c>
      <c r="I129" s="4">
        <v>312</v>
      </c>
      <c r="J129" s="4">
        <v>300</v>
      </c>
      <c r="K129" s="4">
        <f t="shared" si="14"/>
        <v>-12</v>
      </c>
      <c r="L129" s="27">
        <f t="shared" si="15"/>
        <v>-3.8461538461538463</v>
      </c>
      <c r="M129" s="52" t="str">
        <f t="shared" si="16"/>
        <v>Schwund</v>
      </c>
      <c r="N129" s="28">
        <f t="shared" si="17"/>
        <v>14.28</v>
      </c>
      <c r="O129" s="5">
        <v>8</v>
      </c>
      <c r="P129" s="4">
        <v>4</v>
      </c>
      <c r="Q129" s="28">
        <f t="shared" si="18"/>
        <v>3.57</v>
      </c>
      <c r="R129" s="50">
        <f t="shared" si="19"/>
        <v>4.2839999999999998</v>
      </c>
      <c r="S129" s="2" t="str">
        <f t="shared" si="20"/>
        <v>Normal</v>
      </c>
      <c r="T129" s="4">
        <v>0</v>
      </c>
      <c r="U129" s="4" t="str">
        <f t="shared" si="21"/>
        <v>Nein</v>
      </c>
      <c r="V129" s="4">
        <f t="shared" si="22"/>
        <v>0</v>
      </c>
      <c r="W129" s="19">
        <f t="shared" si="23"/>
        <v>1.19</v>
      </c>
      <c r="X129" s="5">
        <v>0</v>
      </c>
      <c r="Y129" s="28">
        <f t="shared" si="24"/>
        <v>0</v>
      </c>
      <c r="Z129" s="31" t="s">
        <v>172</v>
      </c>
      <c r="AA129" t="str">
        <f t="shared" si="25"/>
        <v>Prozessfehler</v>
      </c>
    </row>
    <row r="130" spans="1:27" x14ac:dyDescent="0.35">
      <c r="A130" s="32" t="s">
        <v>14</v>
      </c>
      <c r="B130" s="2" t="str">
        <f>VLOOKUP(A130,Stammdaten!$A$3:$B$7,2,FALSE)</f>
        <v>Filiale Nord</v>
      </c>
      <c r="C130" s="3" t="str" cm="1">
        <f t="array" ref="C130">INDEX(Stammdaten!$A$11:$A$25,INT((ROW()-5)/12)+1 - INT((ROW()-5)/180)*15)</f>
        <v>A011</v>
      </c>
      <c r="D130" s="2" t="str">
        <f>VLOOKUP(C130,Stammdaten!$A$11:$B$25,2,FALSE)</f>
        <v>Mozzarella 125g</v>
      </c>
      <c r="E130" s="3" t="str">
        <f>VLOOKUP(C130,Stammdaten!$A$11:$C$25,3,FALSE)</f>
        <v>Käse</v>
      </c>
      <c r="F130" s="19">
        <f>VLOOKUP(C130,Stammdaten!$A$11:$D$25,4,FALSE)</f>
        <v>1.19</v>
      </c>
      <c r="G130" s="4">
        <f t="shared" si="13"/>
        <v>6</v>
      </c>
      <c r="H130" s="20" t="str">
        <f>VLOOKUP(G130,Stammdaten!$A$30:$B$41,2,FALSE)</f>
        <v>Juni</v>
      </c>
      <c r="I130" s="4">
        <v>317</v>
      </c>
      <c r="J130" s="4">
        <v>317</v>
      </c>
      <c r="K130" s="4">
        <f t="shared" si="14"/>
        <v>0</v>
      </c>
      <c r="L130" s="27">
        <f t="shared" si="15"/>
        <v>0</v>
      </c>
      <c r="M130" s="52" t="str">
        <f t="shared" si="16"/>
        <v>Perfekt</v>
      </c>
      <c r="N130" s="28">
        <f t="shared" si="17"/>
        <v>0</v>
      </c>
      <c r="O130" s="5">
        <v>9</v>
      </c>
      <c r="P130" s="4">
        <v>4</v>
      </c>
      <c r="Q130" s="28">
        <f t="shared" si="18"/>
        <v>0</v>
      </c>
      <c r="R130" s="50">
        <f t="shared" si="19"/>
        <v>0</v>
      </c>
      <c r="S130" s="2" t="str">
        <f t="shared" si="20"/>
        <v>Normal</v>
      </c>
      <c r="T130" s="4">
        <v>0</v>
      </c>
      <c r="U130" s="4" t="str">
        <f t="shared" si="21"/>
        <v>Nein</v>
      </c>
      <c r="V130" s="4">
        <f t="shared" si="22"/>
        <v>0</v>
      </c>
      <c r="W130" s="19">
        <f t="shared" si="23"/>
        <v>1.19</v>
      </c>
      <c r="X130" s="5">
        <v>0</v>
      </c>
      <c r="Y130" s="28">
        <f t="shared" si="24"/>
        <v>0</v>
      </c>
      <c r="Z130" s="31" t="s">
        <v>172</v>
      </c>
      <c r="AA130" t="str">
        <f t="shared" si="25"/>
        <v>Normal/Gering</v>
      </c>
    </row>
    <row r="131" spans="1:27" x14ac:dyDescent="0.35">
      <c r="A131" s="32" t="s">
        <v>14</v>
      </c>
      <c r="B131" s="2" t="str">
        <f>VLOOKUP(A131,Stammdaten!$A$3:$B$7,2,FALSE)</f>
        <v>Filiale Nord</v>
      </c>
      <c r="C131" s="3" t="str" cm="1">
        <f t="array" ref="C131">INDEX(Stammdaten!$A$11:$A$25,INT((ROW()-5)/12)+1 - INT((ROW()-5)/180)*15)</f>
        <v>A011</v>
      </c>
      <c r="D131" s="2" t="str">
        <f>VLOOKUP(C131,Stammdaten!$A$11:$B$25,2,FALSE)</f>
        <v>Mozzarella 125g</v>
      </c>
      <c r="E131" s="3" t="str">
        <f>VLOOKUP(C131,Stammdaten!$A$11:$C$25,3,FALSE)</f>
        <v>Käse</v>
      </c>
      <c r="F131" s="19">
        <f>VLOOKUP(C131,Stammdaten!$A$11:$D$25,4,FALSE)</f>
        <v>1.19</v>
      </c>
      <c r="G131" s="4">
        <f t="shared" si="13"/>
        <v>7</v>
      </c>
      <c r="H131" s="20" t="str">
        <f>VLOOKUP(G131,Stammdaten!$A$30:$B$41,2,FALSE)</f>
        <v>Juli</v>
      </c>
      <c r="I131" s="4">
        <v>360</v>
      </c>
      <c r="J131" s="4">
        <v>360</v>
      </c>
      <c r="K131" s="4">
        <f t="shared" si="14"/>
        <v>0</v>
      </c>
      <c r="L131" s="27">
        <f t="shared" si="15"/>
        <v>0</v>
      </c>
      <c r="M131" s="52" t="str">
        <f t="shared" si="16"/>
        <v>Perfekt</v>
      </c>
      <c r="N131" s="28">
        <f t="shared" si="17"/>
        <v>0</v>
      </c>
      <c r="O131" s="5">
        <v>3</v>
      </c>
      <c r="P131" s="4">
        <v>1</v>
      </c>
      <c r="Q131" s="28">
        <f t="shared" si="18"/>
        <v>0</v>
      </c>
      <c r="R131" s="50">
        <f t="shared" si="19"/>
        <v>0</v>
      </c>
      <c r="S131" s="2" t="str">
        <f t="shared" si="20"/>
        <v>Normal</v>
      </c>
      <c r="T131" s="4">
        <v>0</v>
      </c>
      <c r="U131" s="4" t="str">
        <f t="shared" si="21"/>
        <v>Ja - 20% Reduzierung</v>
      </c>
      <c r="V131" s="4">
        <f t="shared" si="22"/>
        <v>20</v>
      </c>
      <c r="W131" s="19">
        <f t="shared" si="23"/>
        <v>0.95</v>
      </c>
      <c r="X131" s="5">
        <v>50</v>
      </c>
      <c r="Y131" s="28">
        <f t="shared" si="24"/>
        <v>11.9</v>
      </c>
      <c r="Z131" s="31" t="s">
        <v>173</v>
      </c>
      <c r="AA131" t="str">
        <f t="shared" si="25"/>
        <v>Normal/Gering</v>
      </c>
    </row>
    <row r="132" spans="1:27" x14ac:dyDescent="0.35">
      <c r="A132" s="32" t="s">
        <v>14</v>
      </c>
      <c r="B132" s="2" t="str">
        <f>VLOOKUP(A132,Stammdaten!$A$3:$B$7,2,FALSE)</f>
        <v>Filiale Nord</v>
      </c>
      <c r="C132" s="3" t="str" cm="1">
        <f t="array" ref="C132">INDEX(Stammdaten!$A$11:$A$25,INT((ROW()-5)/12)+1 - INT((ROW()-5)/180)*15)</f>
        <v>A011</v>
      </c>
      <c r="D132" s="2" t="str">
        <f>VLOOKUP(C132,Stammdaten!$A$11:$B$25,2,FALSE)</f>
        <v>Mozzarella 125g</v>
      </c>
      <c r="E132" s="3" t="str">
        <f>VLOOKUP(C132,Stammdaten!$A$11:$C$25,3,FALSE)</f>
        <v>Käse</v>
      </c>
      <c r="F132" s="19">
        <f>VLOOKUP(C132,Stammdaten!$A$11:$D$25,4,FALSE)</f>
        <v>1.19</v>
      </c>
      <c r="G132" s="4">
        <f t="shared" si="13"/>
        <v>8</v>
      </c>
      <c r="H132" s="20" t="str">
        <f>VLOOKUP(G132,Stammdaten!$A$30:$B$41,2,FALSE)</f>
        <v>August</v>
      </c>
      <c r="I132" s="4">
        <v>348</v>
      </c>
      <c r="J132" s="4">
        <v>335</v>
      </c>
      <c r="K132" s="4">
        <f t="shared" si="14"/>
        <v>-13</v>
      </c>
      <c r="L132" s="27">
        <f t="shared" si="15"/>
        <v>-3.7356321839080464</v>
      </c>
      <c r="M132" s="52" t="str">
        <f t="shared" si="16"/>
        <v>Schwund</v>
      </c>
      <c r="N132" s="28">
        <f t="shared" si="17"/>
        <v>15.469999999999999</v>
      </c>
      <c r="O132" s="5">
        <v>0</v>
      </c>
      <c r="P132" s="4">
        <v>2</v>
      </c>
      <c r="Q132" s="28">
        <f t="shared" si="18"/>
        <v>3.8674999999999997</v>
      </c>
      <c r="R132" s="50">
        <f t="shared" si="19"/>
        <v>4.6409999999999991</v>
      </c>
      <c r="S132" s="2" t="str">
        <f t="shared" si="20"/>
        <v>Normal</v>
      </c>
      <c r="T132" s="4">
        <v>0</v>
      </c>
      <c r="U132" s="4" t="str">
        <f t="shared" si="21"/>
        <v>Abschreibung</v>
      </c>
      <c r="V132" s="4">
        <f t="shared" si="22"/>
        <v>100</v>
      </c>
      <c r="W132" s="19">
        <f t="shared" si="23"/>
        <v>0</v>
      </c>
      <c r="X132" s="5">
        <v>3</v>
      </c>
      <c r="Y132" s="28">
        <f t="shared" si="24"/>
        <v>3.57</v>
      </c>
      <c r="Z132" s="31" t="s">
        <v>164</v>
      </c>
      <c r="AA132" t="str">
        <f t="shared" si="25"/>
        <v>Verderb - Abgelaufen</v>
      </c>
    </row>
    <row r="133" spans="1:27" x14ac:dyDescent="0.35">
      <c r="A133" s="32" t="s">
        <v>14</v>
      </c>
      <c r="B133" s="2" t="str">
        <f>VLOOKUP(A133,Stammdaten!$A$3:$B$7,2,FALSE)</f>
        <v>Filiale Nord</v>
      </c>
      <c r="C133" s="3" t="str" cm="1">
        <f t="array" ref="C133">INDEX(Stammdaten!$A$11:$A$25,INT((ROW()-5)/12)+1 - INT((ROW()-5)/180)*15)</f>
        <v>A011</v>
      </c>
      <c r="D133" s="2" t="str">
        <f>VLOOKUP(C133,Stammdaten!$A$11:$B$25,2,FALSE)</f>
        <v>Mozzarella 125g</v>
      </c>
      <c r="E133" s="3" t="str">
        <f>VLOOKUP(C133,Stammdaten!$A$11:$C$25,3,FALSE)</f>
        <v>Käse</v>
      </c>
      <c r="F133" s="19">
        <f>VLOOKUP(C133,Stammdaten!$A$11:$D$25,4,FALSE)</f>
        <v>1.19</v>
      </c>
      <c r="G133" s="4">
        <f t="shared" si="13"/>
        <v>9</v>
      </c>
      <c r="H133" s="20" t="str">
        <f>VLOOKUP(G133,Stammdaten!$A$30:$B$41,2,FALSE)</f>
        <v>September</v>
      </c>
      <c r="I133" s="4">
        <v>299</v>
      </c>
      <c r="J133" s="4">
        <v>301</v>
      </c>
      <c r="K133" s="4">
        <f t="shared" si="14"/>
        <v>2</v>
      </c>
      <c r="L133" s="27">
        <f t="shared" si="15"/>
        <v>0.66889632107023411</v>
      </c>
      <c r="M133" s="52" t="str">
        <f t="shared" si="16"/>
        <v>Überbestand</v>
      </c>
      <c r="N133" s="28">
        <f t="shared" si="17"/>
        <v>2.38</v>
      </c>
      <c r="O133" s="5">
        <v>3</v>
      </c>
      <c r="P133" s="4">
        <v>3</v>
      </c>
      <c r="Q133" s="28">
        <f t="shared" si="18"/>
        <v>0</v>
      </c>
      <c r="R133" s="50">
        <f t="shared" si="19"/>
        <v>0</v>
      </c>
      <c r="S133" s="2" t="str">
        <f t="shared" si="20"/>
        <v>Normal</v>
      </c>
      <c r="T133" s="4">
        <v>2</v>
      </c>
      <c r="U133" s="4" t="str">
        <f t="shared" si="21"/>
        <v>Ja - 20% Reduzierung</v>
      </c>
      <c r="V133" s="4">
        <f t="shared" si="22"/>
        <v>20</v>
      </c>
      <c r="W133" s="19">
        <f t="shared" si="23"/>
        <v>0.95</v>
      </c>
      <c r="X133" s="5">
        <v>45</v>
      </c>
      <c r="Y133" s="28">
        <f t="shared" si="24"/>
        <v>10.71</v>
      </c>
      <c r="Z133" s="31" t="s">
        <v>173</v>
      </c>
      <c r="AA133" t="str">
        <f t="shared" si="25"/>
        <v>Kassenfehler (Überbestand)</v>
      </c>
    </row>
    <row r="134" spans="1:27" x14ac:dyDescent="0.35">
      <c r="A134" s="32" t="s">
        <v>14</v>
      </c>
      <c r="B134" s="2" t="str">
        <f>VLOOKUP(A134,Stammdaten!$A$3:$B$7,2,FALSE)</f>
        <v>Filiale Nord</v>
      </c>
      <c r="C134" s="3" t="str" cm="1">
        <f t="array" ref="C134">INDEX(Stammdaten!$A$11:$A$25,INT((ROW()-5)/12)+1 - INT((ROW()-5)/180)*15)</f>
        <v>A011</v>
      </c>
      <c r="D134" s="2" t="str">
        <f>VLOOKUP(C134,Stammdaten!$A$11:$B$25,2,FALSE)</f>
        <v>Mozzarella 125g</v>
      </c>
      <c r="E134" s="3" t="str">
        <f>VLOOKUP(C134,Stammdaten!$A$11:$C$25,3,FALSE)</f>
        <v>Käse</v>
      </c>
      <c r="F134" s="19">
        <f>VLOOKUP(C134,Stammdaten!$A$11:$D$25,4,FALSE)</f>
        <v>1.19</v>
      </c>
      <c r="G134" s="4">
        <f t="shared" ref="G134:G197" si="26">MOD(ROW()-5,12)+1</f>
        <v>10</v>
      </c>
      <c r="H134" s="20" t="str">
        <f>VLOOKUP(G134,Stammdaten!$A$30:$B$41,2,FALSE)</f>
        <v>Oktober</v>
      </c>
      <c r="I134" s="4">
        <v>288</v>
      </c>
      <c r="J134" s="4">
        <v>288</v>
      </c>
      <c r="K134" s="4">
        <f t="shared" ref="K134:K197" si="27">J134-I134</f>
        <v>0</v>
      </c>
      <c r="L134" s="27">
        <f t="shared" ref="L134:L197" si="28">IF(I134=0,0,(K134)/I134*100)</f>
        <v>0</v>
      </c>
      <c r="M134" s="52" t="str">
        <f t="shared" ref="M134:M197" si="29">IF(K134=0,"Perfekt",IF(K134&lt;0,"Schwund","Überbestand"))</f>
        <v>Perfekt</v>
      </c>
      <c r="N134" s="28">
        <f t="shared" ref="N134:N197" si="30">ABS(K134)*F134</f>
        <v>0</v>
      </c>
      <c r="O134" s="5">
        <v>10</v>
      </c>
      <c r="P134" s="4">
        <v>0</v>
      </c>
      <c r="Q134" s="28">
        <f t="shared" ref="Q134:Q197" si="31">IF(K134&lt;0,ABS(N134)*0.25,0)</f>
        <v>0</v>
      </c>
      <c r="R134" s="50">
        <f t="shared" ref="R134:R197" si="32">IF(K134&lt;0,ABS(N134)*0.3,0)</f>
        <v>0</v>
      </c>
      <c r="S134" s="2" t="str">
        <f t="shared" ref="S134:S197" si="33">IF(G134=4,"Ostern",IF(G134=12,"Weihnachten/Silvester",IF(G134=11,"Black Friday",IF(G134=2,"Karneval","Normal"))))</f>
        <v>Normal</v>
      </c>
      <c r="T134" s="4">
        <v>0</v>
      </c>
      <c r="U134" s="4" t="str">
        <f t="shared" ref="U134:U197" si="34">IF(O134&lt;=0,"Abschreibung",IF(O134&lt;=3,"Ja - 20% Reduzierung","Nein"))</f>
        <v>Nein</v>
      </c>
      <c r="V134" s="4">
        <f t="shared" ref="V134:V197" si="35">IF(O134&lt;=0,100,IF(O134&lt;=3,20,0))</f>
        <v>0</v>
      </c>
      <c r="W134" s="19">
        <f t="shared" ref="W134:W197" si="36">IF(V134=100,0,ROUND(F134*(1-V134/100),2))</f>
        <v>1.19</v>
      </c>
      <c r="X134" s="5">
        <v>0</v>
      </c>
      <c r="Y134" s="28">
        <f t="shared" ref="Y134:Y197" si="37">ROUND(X134*F134*(V134/100),2)</f>
        <v>0</v>
      </c>
      <c r="Z134" s="31" t="s">
        <v>172</v>
      </c>
      <c r="AA134" t="str">
        <f t="shared" ref="AA134:AA197" si="38">IF(O134&lt;=0,"Verderb - Abgelaufen",IF(AND(O134&lt;=3,Z134&lt;&gt;"Korrekt",Z134&lt;&gt;"Kein MHD - Prozess"),"MHD - Prozessfehler",IF(K134&gt;0,"Kassenfehler (Überbestand)",IF(AND(ABS(L134)&gt;3,A134="F005"),"Diebstahlrisiko",IF(AND(ABS(L134)&gt;2,P134&lt;2),"Buchungsfehler Wareneingang",IF(ABS(L134)&gt;2,"Prozessfehler","Normal/Gering"))))))</f>
        <v>Normal/Gering</v>
      </c>
    </row>
    <row r="135" spans="1:27" x14ac:dyDescent="0.35">
      <c r="A135" s="32" t="s">
        <v>14</v>
      </c>
      <c r="B135" s="2" t="str">
        <f>VLOOKUP(A135,Stammdaten!$A$3:$B$7,2,FALSE)</f>
        <v>Filiale Nord</v>
      </c>
      <c r="C135" s="3" t="str" cm="1">
        <f t="array" ref="C135">INDEX(Stammdaten!$A$11:$A$25,INT((ROW()-5)/12)+1 - INT((ROW()-5)/180)*15)</f>
        <v>A011</v>
      </c>
      <c r="D135" s="2" t="str">
        <f>VLOOKUP(C135,Stammdaten!$A$11:$B$25,2,FALSE)</f>
        <v>Mozzarella 125g</v>
      </c>
      <c r="E135" s="3" t="str">
        <f>VLOOKUP(C135,Stammdaten!$A$11:$C$25,3,FALSE)</f>
        <v>Käse</v>
      </c>
      <c r="F135" s="19">
        <f>VLOOKUP(C135,Stammdaten!$A$11:$D$25,4,FALSE)</f>
        <v>1.19</v>
      </c>
      <c r="G135" s="4">
        <f t="shared" si="26"/>
        <v>11</v>
      </c>
      <c r="H135" s="20" t="str">
        <f>VLOOKUP(G135,Stammdaten!$A$30:$B$41,2,FALSE)</f>
        <v>November</v>
      </c>
      <c r="I135" s="4">
        <v>333</v>
      </c>
      <c r="J135" s="4">
        <v>315</v>
      </c>
      <c r="K135" s="4">
        <f t="shared" si="27"/>
        <v>-18</v>
      </c>
      <c r="L135" s="27">
        <f t="shared" si="28"/>
        <v>-5.4054054054054053</v>
      </c>
      <c r="M135" s="52" t="str">
        <f t="shared" si="29"/>
        <v>Schwund</v>
      </c>
      <c r="N135" s="28">
        <f t="shared" si="30"/>
        <v>21.419999999999998</v>
      </c>
      <c r="O135" s="5">
        <v>4</v>
      </c>
      <c r="P135" s="4">
        <v>4</v>
      </c>
      <c r="Q135" s="28">
        <f t="shared" si="31"/>
        <v>5.3549999999999995</v>
      </c>
      <c r="R135" s="50">
        <f t="shared" si="32"/>
        <v>6.4259999999999993</v>
      </c>
      <c r="S135" s="2" t="str">
        <f t="shared" si="33"/>
        <v>Black Friday</v>
      </c>
      <c r="T135" s="4">
        <v>0</v>
      </c>
      <c r="U135" s="4" t="str">
        <f t="shared" si="34"/>
        <v>Nein</v>
      </c>
      <c r="V135" s="4">
        <f t="shared" si="35"/>
        <v>0</v>
      </c>
      <c r="W135" s="19">
        <f t="shared" si="36"/>
        <v>1.19</v>
      </c>
      <c r="X135" s="5">
        <v>0</v>
      </c>
      <c r="Y135" s="28">
        <f t="shared" si="37"/>
        <v>0</v>
      </c>
      <c r="Z135" s="31" t="s">
        <v>172</v>
      </c>
      <c r="AA135" t="str">
        <f t="shared" si="38"/>
        <v>Prozessfehler</v>
      </c>
    </row>
    <row r="136" spans="1:27" x14ac:dyDescent="0.35">
      <c r="A136" s="32" t="s">
        <v>14</v>
      </c>
      <c r="B136" s="2" t="str">
        <f>VLOOKUP(A136,Stammdaten!$A$3:$B$7,2,FALSE)</f>
        <v>Filiale Nord</v>
      </c>
      <c r="C136" s="3" t="str" cm="1">
        <f t="array" ref="C136">INDEX(Stammdaten!$A$11:$A$25,INT((ROW()-5)/12)+1 - INT((ROW()-5)/180)*15)</f>
        <v>A011</v>
      </c>
      <c r="D136" s="2" t="str">
        <f>VLOOKUP(C136,Stammdaten!$A$11:$B$25,2,FALSE)</f>
        <v>Mozzarella 125g</v>
      </c>
      <c r="E136" s="3" t="str">
        <f>VLOOKUP(C136,Stammdaten!$A$11:$C$25,3,FALSE)</f>
        <v>Käse</v>
      </c>
      <c r="F136" s="19">
        <f>VLOOKUP(C136,Stammdaten!$A$11:$D$25,4,FALSE)</f>
        <v>1.19</v>
      </c>
      <c r="G136" s="4">
        <f t="shared" si="26"/>
        <v>12</v>
      </c>
      <c r="H136" s="20" t="str">
        <f>VLOOKUP(G136,Stammdaten!$A$30:$B$41,2,FALSE)</f>
        <v>Dezember</v>
      </c>
      <c r="I136" s="4">
        <v>441</v>
      </c>
      <c r="J136" s="4">
        <v>426</v>
      </c>
      <c r="K136" s="4">
        <f t="shared" si="27"/>
        <v>-15</v>
      </c>
      <c r="L136" s="27">
        <f t="shared" si="28"/>
        <v>-3.4013605442176873</v>
      </c>
      <c r="M136" s="52" t="str">
        <f t="shared" si="29"/>
        <v>Schwund</v>
      </c>
      <c r="N136" s="28">
        <f t="shared" si="30"/>
        <v>17.849999999999998</v>
      </c>
      <c r="O136" s="5">
        <v>10</v>
      </c>
      <c r="P136" s="4">
        <v>2</v>
      </c>
      <c r="Q136" s="28">
        <f t="shared" si="31"/>
        <v>4.4624999999999995</v>
      </c>
      <c r="R136" s="50">
        <f t="shared" si="32"/>
        <v>5.3549999999999995</v>
      </c>
      <c r="S136" s="2" t="str">
        <f t="shared" si="33"/>
        <v>Weihnachten/Silvester</v>
      </c>
      <c r="T136" s="4">
        <v>0</v>
      </c>
      <c r="U136" s="4" t="str">
        <f t="shared" si="34"/>
        <v>Nein</v>
      </c>
      <c r="V136" s="4">
        <f t="shared" si="35"/>
        <v>0</v>
      </c>
      <c r="W136" s="19">
        <f t="shared" si="36"/>
        <v>1.19</v>
      </c>
      <c r="X136" s="5">
        <v>0</v>
      </c>
      <c r="Y136" s="28">
        <f t="shared" si="37"/>
        <v>0</v>
      </c>
      <c r="Z136" s="31" t="s">
        <v>172</v>
      </c>
      <c r="AA136" t="str">
        <f t="shared" si="38"/>
        <v>Prozessfehler</v>
      </c>
    </row>
    <row r="137" spans="1:27" x14ac:dyDescent="0.35">
      <c r="A137" s="32" t="s">
        <v>14</v>
      </c>
      <c r="B137" s="2" t="str">
        <f>VLOOKUP(A137,Stammdaten!$A$3:$B$7,2,FALSE)</f>
        <v>Filiale Nord</v>
      </c>
      <c r="C137" s="3" t="str" cm="1">
        <f t="array" ref="C137">INDEX(Stammdaten!$A$11:$A$25,INT((ROW()-5)/12)+1 - INT((ROW()-5)/180)*15)</f>
        <v>A012</v>
      </c>
      <c r="D137" s="2" t="str">
        <f>VLOOKUP(C137,Stammdaten!$A$11:$B$25,2,FALSE)</f>
        <v>Quark 500g</v>
      </c>
      <c r="E137" s="3" t="str">
        <f>VLOOKUP(C137,Stammdaten!$A$11:$C$25,3,FALSE)</f>
        <v>Quark</v>
      </c>
      <c r="F137" s="19">
        <f>VLOOKUP(C137,Stammdaten!$A$11:$D$25,4,FALSE)</f>
        <v>1.39</v>
      </c>
      <c r="G137" s="4">
        <f t="shared" si="26"/>
        <v>1</v>
      </c>
      <c r="H137" s="20" t="str">
        <f>VLOOKUP(G137,Stammdaten!$A$30:$B$41,2,FALSE)</f>
        <v>Januar</v>
      </c>
      <c r="I137" s="4">
        <v>342</v>
      </c>
      <c r="J137" s="4">
        <v>348</v>
      </c>
      <c r="K137" s="4">
        <f t="shared" si="27"/>
        <v>6</v>
      </c>
      <c r="L137" s="27">
        <f t="shared" si="28"/>
        <v>1.7543859649122806</v>
      </c>
      <c r="M137" s="52" t="str">
        <f t="shared" si="29"/>
        <v>Überbestand</v>
      </c>
      <c r="N137" s="28">
        <f t="shared" si="30"/>
        <v>8.34</v>
      </c>
      <c r="O137" s="5">
        <v>6</v>
      </c>
      <c r="P137" s="4">
        <v>4</v>
      </c>
      <c r="Q137" s="28">
        <f t="shared" si="31"/>
        <v>0</v>
      </c>
      <c r="R137" s="50">
        <f t="shared" si="32"/>
        <v>0</v>
      </c>
      <c r="S137" s="2" t="str">
        <f t="shared" si="33"/>
        <v>Normal</v>
      </c>
      <c r="T137" s="4">
        <v>6</v>
      </c>
      <c r="U137" s="4" t="str">
        <f t="shared" si="34"/>
        <v>Nein</v>
      </c>
      <c r="V137" s="4">
        <f t="shared" si="35"/>
        <v>0</v>
      </c>
      <c r="W137" s="19">
        <f t="shared" si="36"/>
        <v>1.39</v>
      </c>
      <c r="X137" s="5">
        <v>0</v>
      </c>
      <c r="Y137" s="28">
        <f t="shared" si="37"/>
        <v>0</v>
      </c>
      <c r="Z137" s="31" t="s">
        <v>172</v>
      </c>
      <c r="AA137" t="str">
        <f t="shared" si="38"/>
        <v>Kassenfehler (Überbestand)</v>
      </c>
    </row>
    <row r="138" spans="1:27" x14ac:dyDescent="0.35">
      <c r="A138" s="32" t="s">
        <v>14</v>
      </c>
      <c r="B138" s="2" t="str">
        <f>VLOOKUP(A138,Stammdaten!$A$3:$B$7,2,FALSE)</f>
        <v>Filiale Nord</v>
      </c>
      <c r="C138" s="3" t="str" cm="1">
        <f t="array" ref="C138">INDEX(Stammdaten!$A$11:$A$25,INT((ROW()-5)/12)+1 - INT((ROW()-5)/180)*15)</f>
        <v>A012</v>
      </c>
      <c r="D138" s="2" t="str">
        <f>VLOOKUP(C138,Stammdaten!$A$11:$B$25,2,FALSE)</f>
        <v>Quark 500g</v>
      </c>
      <c r="E138" s="3" t="str">
        <f>VLOOKUP(C138,Stammdaten!$A$11:$C$25,3,FALSE)</f>
        <v>Quark</v>
      </c>
      <c r="F138" s="19">
        <f>VLOOKUP(C138,Stammdaten!$A$11:$D$25,4,FALSE)</f>
        <v>1.39</v>
      </c>
      <c r="G138" s="4">
        <f t="shared" si="26"/>
        <v>2</v>
      </c>
      <c r="H138" s="20" t="str">
        <f>VLOOKUP(G138,Stammdaten!$A$30:$B$41,2,FALSE)</f>
        <v>Februar</v>
      </c>
      <c r="I138" s="4">
        <v>340</v>
      </c>
      <c r="J138" s="4">
        <v>331</v>
      </c>
      <c r="K138" s="4">
        <f t="shared" si="27"/>
        <v>-9</v>
      </c>
      <c r="L138" s="27">
        <f t="shared" si="28"/>
        <v>-2.6470588235294117</v>
      </c>
      <c r="M138" s="52" t="str">
        <f t="shared" si="29"/>
        <v>Schwund</v>
      </c>
      <c r="N138" s="28">
        <f t="shared" si="30"/>
        <v>12.51</v>
      </c>
      <c r="O138" s="5">
        <v>0</v>
      </c>
      <c r="P138" s="4">
        <v>2</v>
      </c>
      <c r="Q138" s="28">
        <f t="shared" si="31"/>
        <v>3.1274999999999999</v>
      </c>
      <c r="R138" s="50">
        <f t="shared" si="32"/>
        <v>3.7529999999999997</v>
      </c>
      <c r="S138" s="2" t="str">
        <f t="shared" si="33"/>
        <v>Karneval</v>
      </c>
      <c r="T138" s="4">
        <v>0</v>
      </c>
      <c r="U138" s="4" t="str">
        <f t="shared" si="34"/>
        <v>Abschreibung</v>
      </c>
      <c r="V138" s="4">
        <f t="shared" si="35"/>
        <v>100</v>
      </c>
      <c r="W138" s="19">
        <f t="shared" si="36"/>
        <v>0</v>
      </c>
      <c r="X138" s="5">
        <v>10</v>
      </c>
      <c r="Y138" s="28">
        <f t="shared" si="37"/>
        <v>13.9</v>
      </c>
      <c r="Z138" s="31" t="s">
        <v>173</v>
      </c>
      <c r="AA138" t="str">
        <f t="shared" si="38"/>
        <v>Verderb - Abgelaufen</v>
      </c>
    </row>
    <row r="139" spans="1:27" x14ac:dyDescent="0.35">
      <c r="A139" s="32" t="s">
        <v>14</v>
      </c>
      <c r="B139" s="2" t="str">
        <f>VLOOKUP(A139,Stammdaten!$A$3:$B$7,2,FALSE)</f>
        <v>Filiale Nord</v>
      </c>
      <c r="C139" s="3" t="str" cm="1">
        <f t="array" ref="C139">INDEX(Stammdaten!$A$11:$A$25,INT((ROW()-5)/12)+1 - INT((ROW()-5)/180)*15)</f>
        <v>A012</v>
      </c>
      <c r="D139" s="2" t="str">
        <f>VLOOKUP(C139,Stammdaten!$A$11:$B$25,2,FALSE)</f>
        <v>Quark 500g</v>
      </c>
      <c r="E139" s="3" t="str">
        <f>VLOOKUP(C139,Stammdaten!$A$11:$C$25,3,FALSE)</f>
        <v>Quark</v>
      </c>
      <c r="F139" s="19">
        <f>VLOOKUP(C139,Stammdaten!$A$11:$D$25,4,FALSE)</f>
        <v>1.39</v>
      </c>
      <c r="G139" s="4">
        <f t="shared" si="26"/>
        <v>3</v>
      </c>
      <c r="H139" s="20" t="str">
        <f>VLOOKUP(G139,Stammdaten!$A$30:$B$41,2,FALSE)</f>
        <v>März</v>
      </c>
      <c r="I139" s="4">
        <v>441</v>
      </c>
      <c r="J139" s="4">
        <v>441</v>
      </c>
      <c r="K139" s="4">
        <f t="shared" si="27"/>
        <v>0</v>
      </c>
      <c r="L139" s="27">
        <f t="shared" si="28"/>
        <v>0</v>
      </c>
      <c r="M139" s="52" t="str">
        <f t="shared" si="29"/>
        <v>Perfekt</v>
      </c>
      <c r="N139" s="28">
        <f t="shared" si="30"/>
        <v>0</v>
      </c>
      <c r="O139" s="5">
        <v>0</v>
      </c>
      <c r="P139" s="4">
        <v>4</v>
      </c>
      <c r="Q139" s="28">
        <f t="shared" si="31"/>
        <v>0</v>
      </c>
      <c r="R139" s="50">
        <f t="shared" si="32"/>
        <v>0</v>
      </c>
      <c r="S139" s="2" t="str">
        <f t="shared" si="33"/>
        <v>Normal</v>
      </c>
      <c r="T139" s="4">
        <v>0</v>
      </c>
      <c r="U139" s="4" t="str">
        <f t="shared" si="34"/>
        <v>Abschreibung</v>
      </c>
      <c r="V139" s="4">
        <f t="shared" si="35"/>
        <v>100</v>
      </c>
      <c r="W139" s="19">
        <f t="shared" si="36"/>
        <v>0</v>
      </c>
      <c r="X139" s="5">
        <v>13</v>
      </c>
      <c r="Y139" s="28">
        <f t="shared" si="37"/>
        <v>18.07</v>
      </c>
      <c r="Z139" s="31" t="s">
        <v>167</v>
      </c>
      <c r="AA139" t="str">
        <f t="shared" si="38"/>
        <v>Verderb - Abgelaufen</v>
      </c>
    </row>
    <row r="140" spans="1:27" x14ac:dyDescent="0.35">
      <c r="A140" s="32" t="s">
        <v>14</v>
      </c>
      <c r="B140" s="2" t="str">
        <f>VLOOKUP(A140,Stammdaten!$A$3:$B$7,2,FALSE)</f>
        <v>Filiale Nord</v>
      </c>
      <c r="C140" s="3" t="str" cm="1">
        <f t="array" ref="C140">INDEX(Stammdaten!$A$11:$A$25,INT((ROW()-5)/12)+1 - INT((ROW()-5)/180)*15)</f>
        <v>A012</v>
      </c>
      <c r="D140" s="2" t="str">
        <f>VLOOKUP(C140,Stammdaten!$A$11:$B$25,2,FALSE)</f>
        <v>Quark 500g</v>
      </c>
      <c r="E140" s="3" t="str">
        <f>VLOOKUP(C140,Stammdaten!$A$11:$C$25,3,FALSE)</f>
        <v>Quark</v>
      </c>
      <c r="F140" s="19">
        <f>VLOOKUP(C140,Stammdaten!$A$11:$D$25,4,FALSE)</f>
        <v>1.39</v>
      </c>
      <c r="G140" s="4">
        <f t="shared" si="26"/>
        <v>4</v>
      </c>
      <c r="H140" s="20" t="str">
        <f>VLOOKUP(G140,Stammdaten!$A$30:$B$41,2,FALSE)</f>
        <v>April</v>
      </c>
      <c r="I140" s="4">
        <v>490</v>
      </c>
      <c r="J140" s="4">
        <v>490</v>
      </c>
      <c r="K140" s="4">
        <f t="shared" si="27"/>
        <v>0</v>
      </c>
      <c r="L140" s="27">
        <f t="shared" si="28"/>
        <v>0</v>
      </c>
      <c r="M140" s="52" t="str">
        <f t="shared" si="29"/>
        <v>Perfekt</v>
      </c>
      <c r="N140" s="28">
        <f t="shared" si="30"/>
        <v>0</v>
      </c>
      <c r="O140" s="5">
        <v>8</v>
      </c>
      <c r="P140" s="4">
        <v>2</v>
      </c>
      <c r="Q140" s="28">
        <f t="shared" si="31"/>
        <v>0</v>
      </c>
      <c r="R140" s="50">
        <f t="shared" si="32"/>
        <v>0</v>
      </c>
      <c r="S140" s="2" t="str">
        <f t="shared" si="33"/>
        <v>Ostern</v>
      </c>
      <c r="T140" s="4">
        <v>0</v>
      </c>
      <c r="U140" s="4" t="str">
        <f t="shared" si="34"/>
        <v>Nein</v>
      </c>
      <c r="V140" s="4">
        <f t="shared" si="35"/>
        <v>0</v>
      </c>
      <c r="W140" s="19">
        <f t="shared" si="36"/>
        <v>1.39</v>
      </c>
      <c r="X140" s="5">
        <v>0</v>
      </c>
      <c r="Y140" s="28">
        <f t="shared" si="37"/>
        <v>0</v>
      </c>
      <c r="Z140" s="31" t="s">
        <v>172</v>
      </c>
      <c r="AA140" t="str">
        <f t="shared" si="38"/>
        <v>Normal/Gering</v>
      </c>
    </row>
    <row r="141" spans="1:27" x14ac:dyDescent="0.35">
      <c r="A141" s="32" t="s">
        <v>14</v>
      </c>
      <c r="B141" s="2" t="str">
        <f>VLOOKUP(A141,Stammdaten!$A$3:$B$7,2,FALSE)</f>
        <v>Filiale Nord</v>
      </c>
      <c r="C141" s="3" t="str" cm="1">
        <f t="array" ref="C141">INDEX(Stammdaten!$A$11:$A$25,INT((ROW()-5)/12)+1 - INT((ROW()-5)/180)*15)</f>
        <v>A012</v>
      </c>
      <c r="D141" s="2" t="str">
        <f>VLOOKUP(C141,Stammdaten!$A$11:$B$25,2,FALSE)</f>
        <v>Quark 500g</v>
      </c>
      <c r="E141" s="3" t="str">
        <f>VLOOKUP(C141,Stammdaten!$A$11:$C$25,3,FALSE)</f>
        <v>Quark</v>
      </c>
      <c r="F141" s="19">
        <f>VLOOKUP(C141,Stammdaten!$A$11:$D$25,4,FALSE)</f>
        <v>1.39</v>
      </c>
      <c r="G141" s="4">
        <f t="shared" si="26"/>
        <v>5</v>
      </c>
      <c r="H141" s="20" t="str">
        <f>VLOOKUP(G141,Stammdaten!$A$30:$B$41,2,FALSE)</f>
        <v>Mai</v>
      </c>
      <c r="I141" s="4">
        <v>420</v>
      </c>
      <c r="J141" s="4">
        <v>406</v>
      </c>
      <c r="K141" s="4">
        <f t="shared" si="27"/>
        <v>-14</v>
      </c>
      <c r="L141" s="27">
        <f t="shared" si="28"/>
        <v>-3.3333333333333335</v>
      </c>
      <c r="M141" s="52" t="str">
        <f t="shared" si="29"/>
        <v>Schwund</v>
      </c>
      <c r="N141" s="28">
        <f t="shared" si="30"/>
        <v>19.459999999999997</v>
      </c>
      <c r="O141" s="5">
        <v>4</v>
      </c>
      <c r="P141" s="4">
        <v>1</v>
      </c>
      <c r="Q141" s="28">
        <f t="shared" si="31"/>
        <v>4.8649999999999993</v>
      </c>
      <c r="R141" s="50">
        <f t="shared" si="32"/>
        <v>5.8379999999999992</v>
      </c>
      <c r="S141" s="2" t="str">
        <f t="shared" si="33"/>
        <v>Normal</v>
      </c>
      <c r="T141" s="4">
        <v>0</v>
      </c>
      <c r="U141" s="4" t="str">
        <f t="shared" si="34"/>
        <v>Nein</v>
      </c>
      <c r="V141" s="4">
        <f t="shared" si="35"/>
        <v>0</v>
      </c>
      <c r="W141" s="19">
        <f t="shared" si="36"/>
        <v>1.39</v>
      </c>
      <c r="X141" s="5">
        <v>0</v>
      </c>
      <c r="Y141" s="28">
        <f t="shared" si="37"/>
        <v>0</v>
      </c>
      <c r="Z141" s="31" t="s">
        <v>172</v>
      </c>
      <c r="AA141" t="str">
        <f t="shared" si="38"/>
        <v>Buchungsfehler Wareneingang</v>
      </c>
    </row>
    <row r="142" spans="1:27" x14ac:dyDescent="0.35">
      <c r="A142" s="32" t="s">
        <v>14</v>
      </c>
      <c r="B142" s="2" t="str">
        <f>VLOOKUP(A142,Stammdaten!$A$3:$B$7,2,FALSE)</f>
        <v>Filiale Nord</v>
      </c>
      <c r="C142" s="3" t="str" cm="1">
        <f t="array" ref="C142">INDEX(Stammdaten!$A$11:$A$25,INT((ROW()-5)/12)+1 - INT((ROW()-5)/180)*15)</f>
        <v>A012</v>
      </c>
      <c r="D142" s="2" t="str">
        <f>VLOOKUP(C142,Stammdaten!$A$11:$B$25,2,FALSE)</f>
        <v>Quark 500g</v>
      </c>
      <c r="E142" s="3" t="str">
        <f>VLOOKUP(C142,Stammdaten!$A$11:$C$25,3,FALSE)</f>
        <v>Quark</v>
      </c>
      <c r="F142" s="19">
        <f>VLOOKUP(C142,Stammdaten!$A$11:$D$25,4,FALSE)</f>
        <v>1.39</v>
      </c>
      <c r="G142" s="4">
        <f t="shared" si="26"/>
        <v>6</v>
      </c>
      <c r="H142" s="20" t="str">
        <f>VLOOKUP(G142,Stammdaten!$A$30:$B$41,2,FALSE)</f>
        <v>Juni</v>
      </c>
      <c r="I142" s="4">
        <v>453</v>
      </c>
      <c r="J142" s="4">
        <v>434</v>
      </c>
      <c r="K142" s="4">
        <f t="shared" si="27"/>
        <v>-19</v>
      </c>
      <c r="L142" s="27">
        <f t="shared" si="28"/>
        <v>-4.1942604856512142</v>
      </c>
      <c r="M142" s="52" t="str">
        <f t="shared" si="29"/>
        <v>Schwund</v>
      </c>
      <c r="N142" s="28">
        <f t="shared" si="30"/>
        <v>26.409999999999997</v>
      </c>
      <c r="O142" s="5">
        <v>3</v>
      </c>
      <c r="P142" s="4">
        <v>5</v>
      </c>
      <c r="Q142" s="28">
        <f t="shared" si="31"/>
        <v>6.6024999999999991</v>
      </c>
      <c r="R142" s="50">
        <f t="shared" si="32"/>
        <v>7.9229999999999983</v>
      </c>
      <c r="S142" s="2" t="str">
        <f t="shared" si="33"/>
        <v>Normal</v>
      </c>
      <c r="T142" s="4">
        <v>0</v>
      </c>
      <c r="U142" s="4" t="str">
        <f t="shared" si="34"/>
        <v>Ja - 20% Reduzierung</v>
      </c>
      <c r="V142" s="4">
        <f t="shared" si="35"/>
        <v>20</v>
      </c>
      <c r="W142" s="19">
        <f t="shared" si="36"/>
        <v>1.1100000000000001</v>
      </c>
      <c r="X142" s="5">
        <v>68</v>
      </c>
      <c r="Y142" s="28">
        <f t="shared" si="37"/>
        <v>18.899999999999999</v>
      </c>
      <c r="Z142" s="31" t="s">
        <v>167</v>
      </c>
      <c r="AA142" t="str">
        <f t="shared" si="38"/>
        <v>MHD - Prozessfehler</v>
      </c>
    </row>
    <row r="143" spans="1:27" x14ac:dyDescent="0.35">
      <c r="A143" s="32" t="s">
        <v>14</v>
      </c>
      <c r="B143" s="2" t="str">
        <f>VLOOKUP(A143,Stammdaten!$A$3:$B$7,2,FALSE)</f>
        <v>Filiale Nord</v>
      </c>
      <c r="C143" s="3" t="str" cm="1">
        <f t="array" ref="C143">INDEX(Stammdaten!$A$11:$A$25,INT((ROW()-5)/12)+1 - INT((ROW()-5)/180)*15)</f>
        <v>A012</v>
      </c>
      <c r="D143" s="2" t="str">
        <f>VLOOKUP(C143,Stammdaten!$A$11:$B$25,2,FALSE)</f>
        <v>Quark 500g</v>
      </c>
      <c r="E143" s="3" t="str">
        <f>VLOOKUP(C143,Stammdaten!$A$11:$C$25,3,FALSE)</f>
        <v>Quark</v>
      </c>
      <c r="F143" s="19">
        <f>VLOOKUP(C143,Stammdaten!$A$11:$D$25,4,FALSE)</f>
        <v>1.39</v>
      </c>
      <c r="G143" s="4">
        <f t="shared" si="26"/>
        <v>7</v>
      </c>
      <c r="H143" s="20" t="str">
        <f>VLOOKUP(G143,Stammdaten!$A$30:$B$41,2,FALSE)</f>
        <v>Juli</v>
      </c>
      <c r="I143" s="4">
        <v>461</v>
      </c>
      <c r="J143" s="4">
        <v>445</v>
      </c>
      <c r="K143" s="4">
        <f t="shared" si="27"/>
        <v>-16</v>
      </c>
      <c r="L143" s="27">
        <f t="shared" si="28"/>
        <v>-3.4707158351409979</v>
      </c>
      <c r="M143" s="52" t="str">
        <f t="shared" si="29"/>
        <v>Schwund</v>
      </c>
      <c r="N143" s="28">
        <f t="shared" si="30"/>
        <v>22.24</v>
      </c>
      <c r="O143" s="5">
        <v>3</v>
      </c>
      <c r="P143" s="4">
        <v>4</v>
      </c>
      <c r="Q143" s="28">
        <f t="shared" si="31"/>
        <v>5.56</v>
      </c>
      <c r="R143" s="50">
        <f t="shared" si="32"/>
        <v>6.6719999999999997</v>
      </c>
      <c r="S143" s="2" t="str">
        <f t="shared" si="33"/>
        <v>Normal</v>
      </c>
      <c r="T143" s="4">
        <v>0</v>
      </c>
      <c r="U143" s="4" t="str">
        <f t="shared" si="34"/>
        <v>Ja - 20% Reduzierung</v>
      </c>
      <c r="V143" s="4">
        <f t="shared" si="35"/>
        <v>20</v>
      </c>
      <c r="W143" s="19">
        <f t="shared" si="36"/>
        <v>1.1100000000000001</v>
      </c>
      <c r="X143" s="5">
        <v>37</v>
      </c>
      <c r="Y143" s="28">
        <f t="shared" si="37"/>
        <v>10.29</v>
      </c>
      <c r="Z143" s="31" t="s">
        <v>173</v>
      </c>
      <c r="AA143" t="str">
        <f t="shared" si="38"/>
        <v>Prozessfehler</v>
      </c>
    </row>
    <row r="144" spans="1:27" x14ac:dyDescent="0.35">
      <c r="A144" s="32" t="s">
        <v>14</v>
      </c>
      <c r="B144" s="2" t="str">
        <f>VLOOKUP(A144,Stammdaten!$A$3:$B$7,2,FALSE)</f>
        <v>Filiale Nord</v>
      </c>
      <c r="C144" s="3" t="str" cm="1">
        <f t="array" ref="C144">INDEX(Stammdaten!$A$11:$A$25,INT((ROW()-5)/12)+1 - INT((ROW()-5)/180)*15)</f>
        <v>A012</v>
      </c>
      <c r="D144" s="2" t="str">
        <f>VLOOKUP(C144,Stammdaten!$A$11:$B$25,2,FALSE)</f>
        <v>Quark 500g</v>
      </c>
      <c r="E144" s="3" t="str">
        <f>VLOOKUP(C144,Stammdaten!$A$11:$C$25,3,FALSE)</f>
        <v>Quark</v>
      </c>
      <c r="F144" s="19">
        <f>VLOOKUP(C144,Stammdaten!$A$11:$D$25,4,FALSE)</f>
        <v>1.39</v>
      </c>
      <c r="G144" s="4">
        <f t="shared" si="26"/>
        <v>8</v>
      </c>
      <c r="H144" s="20" t="str">
        <f>VLOOKUP(G144,Stammdaten!$A$30:$B$41,2,FALSE)</f>
        <v>August</v>
      </c>
      <c r="I144" s="4">
        <v>469</v>
      </c>
      <c r="J144" s="4">
        <v>460</v>
      </c>
      <c r="K144" s="4">
        <f t="shared" si="27"/>
        <v>-9</v>
      </c>
      <c r="L144" s="27">
        <f t="shared" si="28"/>
        <v>-1.9189765458422177</v>
      </c>
      <c r="M144" s="52" t="str">
        <f t="shared" si="29"/>
        <v>Schwund</v>
      </c>
      <c r="N144" s="28">
        <f t="shared" si="30"/>
        <v>12.51</v>
      </c>
      <c r="O144" s="5">
        <v>6</v>
      </c>
      <c r="P144" s="4">
        <v>2</v>
      </c>
      <c r="Q144" s="28">
        <f t="shared" si="31"/>
        <v>3.1274999999999999</v>
      </c>
      <c r="R144" s="50">
        <f t="shared" si="32"/>
        <v>3.7529999999999997</v>
      </c>
      <c r="S144" s="2" t="str">
        <f t="shared" si="33"/>
        <v>Normal</v>
      </c>
      <c r="T144" s="4">
        <v>0</v>
      </c>
      <c r="U144" s="4" t="str">
        <f t="shared" si="34"/>
        <v>Nein</v>
      </c>
      <c r="V144" s="4">
        <f t="shared" si="35"/>
        <v>0</v>
      </c>
      <c r="W144" s="19">
        <f t="shared" si="36"/>
        <v>1.39</v>
      </c>
      <c r="X144" s="5">
        <v>0</v>
      </c>
      <c r="Y144" s="28">
        <f t="shared" si="37"/>
        <v>0</v>
      </c>
      <c r="Z144" s="31" t="s">
        <v>172</v>
      </c>
      <c r="AA144" t="str">
        <f t="shared" si="38"/>
        <v>Normal/Gering</v>
      </c>
    </row>
    <row r="145" spans="1:27" x14ac:dyDescent="0.35">
      <c r="A145" s="32" t="s">
        <v>14</v>
      </c>
      <c r="B145" s="2" t="str">
        <f>VLOOKUP(A145,Stammdaten!$A$3:$B$7,2,FALSE)</f>
        <v>Filiale Nord</v>
      </c>
      <c r="C145" s="3" t="str" cm="1">
        <f t="array" ref="C145">INDEX(Stammdaten!$A$11:$A$25,INT((ROW()-5)/12)+1 - INT((ROW()-5)/180)*15)</f>
        <v>A012</v>
      </c>
      <c r="D145" s="2" t="str">
        <f>VLOOKUP(C145,Stammdaten!$A$11:$B$25,2,FALSE)</f>
        <v>Quark 500g</v>
      </c>
      <c r="E145" s="3" t="str">
        <f>VLOOKUP(C145,Stammdaten!$A$11:$C$25,3,FALSE)</f>
        <v>Quark</v>
      </c>
      <c r="F145" s="19">
        <f>VLOOKUP(C145,Stammdaten!$A$11:$D$25,4,FALSE)</f>
        <v>1.39</v>
      </c>
      <c r="G145" s="4">
        <f t="shared" si="26"/>
        <v>9</v>
      </c>
      <c r="H145" s="20" t="str">
        <f>VLOOKUP(G145,Stammdaten!$A$30:$B$41,2,FALSE)</f>
        <v>September</v>
      </c>
      <c r="I145" s="4">
        <v>365</v>
      </c>
      <c r="J145" s="4">
        <v>359</v>
      </c>
      <c r="K145" s="4">
        <f t="shared" si="27"/>
        <v>-6</v>
      </c>
      <c r="L145" s="27">
        <f t="shared" si="28"/>
        <v>-1.6438356164383561</v>
      </c>
      <c r="M145" s="52" t="str">
        <f t="shared" si="29"/>
        <v>Schwund</v>
      </c>
      <c r="N145" s="28">
        <f t="shared" si="30"/>
        <v>8.34</v>
      </c>
      <c r="O145" s="5">
        <v>6</v>
      </c>
      <c r="P145" s="4">
        <v>1</v>
      </c>
      <c r="Q145" s="28">
        <f t="shared" si="31"/>
        <v>2.085</v>
      </c>
      <c r="R145" s="50">
        <f t="shared" si="32"/>
        <v>2.5019999999999998</v>
      </c>
      <c r="S145" s="2" t="str">
        <f t="shared" si="33"/>
        <v>Normal</v>
      </c>
      <c r="T145" s="4">
        <v>0</v>
      </c>
      <c r="U145" s="4" t="str">
        <f t="shared" si="34"/>
        <v>Nein</v>
      </c>
      <c r="V145" s="4">
        <f t="shared" si="35"/>
        <v>0</v>
      </c>
      <c r="W145" s="19">
        <f t="shared" si="36"/>
        <v>1.39</v>
      </c>
      <c r="X145" s="5">
        <v>0</v>
      </c>
      <c r="Y145" s="28">
        <f t="shared" si="37"/>
        <v>0</v>
      </c>
      <c r="Z145" s="31" t="s">
        <v>172</v>
      </c>
      <c r="AA145" t="str">
        <f t="shared" si="38"/>
        <v>Normal/Gering</v>
      </c>
    </row>
    <row r="146" spans="1:27" x14ac:dyDescent="0.35">
      <c r="A146" s="32" t="s">
        <v>14</v>
      </c>
      <c r="B146" s="2" t="str">
        <f>VLOOKUP(A146,Stammdaten!$A$3:$B$7,2,FALSE)</f>
        <v>Filiale Nord</v>
      </c>
      <c r="C146" s="3" t="str" cm="1">
        <f t="array" ref="C146">INDEX(Stammdaten!$A$11:$A$25,INT((ROW()-5)/12)+1 - INT((ROW()-5)/180)*15)</f>
        <v>A012</v>
      </c>
      <c r="D146" s="2" t="str">
        <f>VLOOKUP(C146,Stammdaten!$A$11:$B$25,2,FALSE)</f>
        <v>Quark 500g</v>
      </c>
      <c r="E146" s="3" t="str">
        <f>VLOOKUP(C146,Stammdaten!$A$11:$C$25,3,FALSE)</f>
        <v>Quark</v>
      </c>
      <c r="F146" s="19">
        <f>VLOOKUP(C146,Stammdaten!$A$11:$D$25,4,FALSE)</f>
        <v>1.39</v>
      </c>
      <c r="G146" s="4">
        <f t="shared" si="26"/>
        <v>10</v>
      </c>
      <c r="H146" s="20" t="str">
        <f>VLOOKUP(G146,Stammdaten!$A$30:$B$41,2,FALSE)</f>
        <v>Oktober</v>
      </c>
      <c r="I146" s="4">
        <v>404</v>
      </c>
      <c r="J146" s="4">
        <v>405</v>
      </c>
      <c r="K146" s="4">
        <f t="shared" si="27"/>
        <v>1</v>
      </c>
      <c r="L146" s="27">
        <f t="shared" si="28"/>
        <v>0.24752475247524752</v>
      </c>
      <c r="M146" s="52" t="str">
        <f t="shared" si="29"/>
        <v>Überbestand</v>
      </c>
      <c r="N146" s="28">
        <f t="shared" si="30"/>
        <v>1.39</v>
      </c>
      <c r="O146" s="5">
        <v>11</v>
      </c>
      <c r="P146" s="4">
        <v>4</v>
      </c>
      <c r="Q146" s="28">
        <f t="shared" si="31"/>
        <v>0</v>
      </c>
      <c r="R146" s="50">
        <f t="shared" si="32"/>
        <v>0</v>
      </c>
      <c r="S146" s="2" t="str">
        <f t="shared" si="33"/>
        <v>Normal</v>
      </c>
      <c r="T146" s="4">
        <v>1</v>
      </c>
      <c r="U146" s="4" t="str">
        <f t="shared" si="34"/>
        <v>Nein</v>
      </c>
      <c r="V146" s="4">
        <f t="shared" si="35"/>
        <v>0</v>
      </c>
      <c r="W146" s="19">
        <f t="shared" si="36"/>
        <v>1.39</v>
      </c>
      <c r="X146" s="5">
        <v>0</v>
      </c>
      <c r="Y146" s="28">
        <f t="shared" si="37"/>
        <v>0</v>
      </c>
      <c r="Z146" s="31" t="s">
        <v>172</v>
      </c>
      <c r="AA146" t="str">
        <f t="shared" si="38"/>
        <v>Kassenfehler (Überbestand)</v>
      </c>
    </row>
    <row r="147" spans="1:27" x14ac:dyDescent="0.35">
      <c r="A147" s="32" t="s">
        <v>14</v>
      </c>
      <c r="B147" s="2" t="str">
        <f>VLOOKUP(A147,Stammdaten!$A$3:$B$7,2,FALSE)</f>
        <v>Filiale Nord</v>
      </c>
      <c r="C147" s="3" t="str" cm="1">
        <f t="array" ref="C147">INDEX(Stammdaten!$A$11:$A$25,INT((ROW()-5)/12)+1 - INT((ROW()-5)/180)*15)</f>
        <v>A012</v>
      </c>
      <c r="D147" s="2" t="str">
        <f>VLOOKUP(C147,Stammdaten!$A$11:$B$25,2,FALSE)</f>
        <v>Quark 500g</v>
      </c>
      <c r="E147" s="3" t="str">
        <f>VLOOKUP(C147,Stammdaten!$A$11:$C$25,3,FALSE)</f>
        <v>Quark</v>
      </c>
      <c r="F147" s="19">
        <f>VLOOKUP(C147,Stammdaten!$A$11:$D$25,4,FALSE)</f>
        <v>1.39</v>
      </c>
      <c r="G147" s="4">
        <f t="shared" si="26"/>
        <v>11</v>
      </c>
      <c r="H147" s="20" t="str">
        <f>VLOOKUP(G147,Stammdaten!$A$30:$B$41,2,FALSE)</f>
        <v>November</v>
      </c>
      <c r="I147" s="4">
        <v>462</v>
      </c>
      <c r="J147" s="4">
        <v>450</v>
      </c>
      <c r="K147" s="4">
        <f t="shared" si="27"/>
        <v>-12</v>
      </c>
      <c r="L147" s="27">
        <f t="shared" si="28"/>
        <v>-2.5974025974025974</v>
      </c>
      <c r="M147" s="52" t="str">
        <f t="shared" si="29"/>
        <v>Schwund</v>
      </c>
      <c r="N147" s="28">
        <f t="shared" si="30"/>
        <v>16.68</v>
      </c>
      <c r="O147" s="5">
        <v>13</v>
      </c>
      <c r="P147" s="4">
        <v>0</v>
      </c>
      <c r="Q147" s="28">
        <f t="shared" si="31"/>
        <v>4.17</v>
      </c>
      <c r="R147" s="50">
        <f t="shared" si="32"/>
        <v>5.0039999999999996</v>
      </c>
      <c r="S147" s="2" t="str">
        <f t="shared" si="33"/>
        <v>Black Friday</v>
      </c>
      <c r="T147" s="4">
        <v>0</v>
      </c>
      <c r="U147" s="4" t="str">
        <f t="shared" si="34"/>
        <v>Nein</v>
      </c>
      <c r="V147" s="4">
        <f t="shared" si="35"/>
        <v>0</v>
      </c>
      <c r="W147" s="19">
        <f t="shared" si="36"/>
        <v>1.39</v>
      </c>
      <c r="X147" s="5">
        <v>0</v>
      </c>
      <c r="Y147" s="28">
        <f t="shared" si="37"/>
        <v>0</v>
      </c>
      <c r="Z147" s="31" t="s">
        <v>172</v>
      </c>
      <c r="AA147" t="str">
        <f t="shared" si="38"/>
        <v>Buchungsfehler Wareneingang</v>
      </c>
    </row>
    <row r="148" spans="1:27" x14ac:dyDescent="0.35">
      <c r="A148" s="32" t="s">
        <v>14</v>
      </c>
      <c r="B148" s="2" t="str">
        <f>VLOOKUP(A148,Stammdaten!$A$3:$B$7,2,FALSE)</f>
        <v>Filiale Nord</v>
      </c>
      <c r="C148" s="3" t="str" cm="1">
        <f t="array" ref="C148">INDEX(Stammdaten!$A$11:$A$25,INT((ROW()-5)/12)+1 - INT((ROW()-5)/180)*15)</f>
        <v>A012</v>
      </c>
      <c r="D148" s="2" t="str">
        <f>VLOOKUP(C148,Stammdaten!$A$11:$B$25,2,FALSE)</f>
        <v>Quark 500g</v>
      </c>
      <c r="E148" s="3" t="str">
        <f>VLOOKUP(C148,Stammdaten!$A$11:$C$25,3,FALSE)</f>
        <v>Quark</v>
      </c>
      <c r="F148" s="19">
        <f>VLOOKUP(C148,Stammdaten!$A$11:$D$25,4,FALSE)</f>
        <v>1.39</v>
      </c>
      <c r="G148" s="4">
        <f t="shared" si="26"/>
        <v>12</v>
      </c>
      <c r="H148" s="20" t="str">
        <f>VLOOKUP(G148,Stammdaten!$A$30:$B$41,2,FALSE)</f>
        <v>Dezember</v>
      </c>
      <c r="I148" s="4">
        <v>577</v>
      </c>
      <c r="J148" s="4">
        <v>553</v>
      </c>
      <c r="K148" s="4">
        <f t="shared" si="27"/>
        <v>-24</v>
      </c>
      <c r="L148" s="27">
        <f t="shared" si="28"/>
        <v>-4.1594454072790299</v>
      </c>
      <c r="M148" s="52" t="str">
        <f t="shared" si="29"/>
        <v>Schwund</v>
      </c>
      <c r="N148" s="28">
        <f t="shared" si="30"/>
        <v>33.36</v>
      </c>
      <c r="O148" s="5">
        <v>2</v>
      </c>
      <c r="P148" s="4">
        <v>0</v>
      </c>
      <c r="Q148" s="28">
        <f t="shared" si="31"/>
        <v>8.34</v>
      </c>
      <c r="R148" s="50">
        <f t="shared" si="32"/>
        <v>10.007999999999999</v>
      </c>
      <c r="S148" s="2" t="str">
        <f t="shared" si="33"/>
        <v>Weihnachten/Silvester</v>
      </c>
      <c r="T148" s="4">
        <v>0</v>
      </c>
      <c r="U148" s="4" t="str">
        <f t="shared" si="34"/>
        <v>Ja - 20% Reduzierung</v>
      </c>
      <c r="V148" s="4">
        <f t="shared" si="35"/>
        <v>20</v>
      </c>
      <c r="W148" s="19">
        <f t="shared" si="36"/>
        <v>1.1100000000000001</v>
      </c>
      <c r="X148" s="5">
        <v>58</v>
      </c>
      <c r="Y148" s="28">
        <f t="shared" si="37"/>
        <v>16.12</v>
      </c>
      <c r="Z148" s="31" t="s">
        <v>173</v>
      </c>
      <c r="AA148" t="str">
        <f t="shared" si="38"/>
        <v>Buchungsfehler Wareneingang</v>
      </c>
    </row>
    <row r="149" spans="1:27" x14ac:dyDescent="0.35">
      <c r="A149" s="32" t="s">
        <v>14</v>
      </c>
      <c r="B149" s="2" t="str">
        <f>VLOOKUP(A149,Stammdaten!$A$3:$B$7,2,FALSE)</f>
        <v>Filiale Nord</v>
      </c>
      <c r="C149" s="3" t="str" cm="1">
        <f t="array" ref="C149">INDEX(Stammdaten!$A$11:$A$25,INT((ROW()-5)/12)+1 - INT((ROW()-5)/180)*15)</f>
        <v>A013</v>
      </c>
      <c r="D149" s="2" t="str">
        <f>VLOOKUP(C149,Stammdaten!$A$11:$B$25,2,FALSE)</f>
        <v>Skyr 450g</v>
      </c>
      <c r="E149" s="3" t="str">
        <f>VLOOKUP(C149,Stammdaten!$A$11:$C$25,3,FALSE)</f>
        <v>Joghurt</v>
      </c>
      <c r="F149" s="19">
        <f>VLOOKUP(C149,Stammdaten!$A$11:$D$25,4,FALSE)</f>
        <v>1.99</v>
      </c>
      <c r="G149" s="4">
        <f t="shared" si="26"/>
        <v>1</v>
      </c>
      <c r="H149" s="20" t="str">
        <f>VLOOKUP(G149,Stammdaten!$A$30:$B$41,2,FALSE)</f>
        <v>Januar</v>
      </c>
      <c r="I149" s="4">
        <v>236</v>
      </c>
      <c r="J149" s="4">
        <v>230</v>
      </c>
      <c r="K149" s="4">
        <f t="shared" si="27"/>
        <v>-6</v>
      </c>
      <c r="L149" s="27">
        <f t="shared" si="28"/>
        <v>-2.5423728813559325</v>
      </c>
      <c r="M149" s="52" t="str">
        <f t="shared" si="29"/>
        <v>Schwund</v>
      </c>
      <c r="N149" s="28">
        <f t="shared" si="30"/>
        <v>11.94</v>
      </c>
      <c r="O149" s="5">
        <v>20</v>
      </c>
      <c r="P149" s="4">
        <v>3</v>
      </c>
      <c r="Q149" s="28">
        <f t="shared" si="31"/>
        <v>2.9849999999999999</v>
      </c>
      <c r="R149" s="50">
        <f t="shared" si="32"/>
        <v>3.5819999999999999</v>
      </c>
      <c r="S149" s="2" t="str">
        <f t="shared" si="33"/>
        <v>Normal</v>
      </c>
      <c r="T149" s="4">
        <v>0</v>
      </c>
      <c r="U149" s="4" t="str">
        <f t="shared" si="34"/>
        <v>Nein</v>
      </c>
      <c r="V149" s="4">
        <f t="shared" si="35"/>
        <v>0</v>
      </c>
      <c r="W149" s="19">
        <f t="shared" si="36"/>
        <v>1.99</v>
      </c>
      <c r="X149" s="5">
        <v>0</v>
      </c>
      <c r="Y149" s="28">
        <f t="shared" si="37"/>
        <v>0</v>
      </c>
      <c r="Z149" s="31" t="s">
        <v>172</v>
      </c>
      <c r="AA149" t="str">
        <f t="shared" si="38"/>
        <v>Prozessfehler</v>
      </c>
    </row>
    <row r="150" spans="1:27" x14ac:dyDescent="0.35">
      <c r="A150" s="32" t="s">
        <v>14</v>
      </c>
      <c r="B150" s="2" t="str">
        <f>VLOOKUP(A150,Stammdaten!$A$3:$B$7,2,FALSE)</f>
        <v>Filiale Nord</v>
      </c>
      <c r="C150" s="3" t="str" cm="1">
        <f t="array" ref="C150">INDEX(Stammdaten!$A$11:$A$25,INT((ROW()-5)/12)+1 - INT((ROW()-5)/180)*15)</f>
        <v>A013</v>
      </c>
      <c r="D150" s="2" t="str">
        <f>VLOOKUP(C150,Stammdaten!$A$11:$B$25,2,FALSE)</f>
        <v>Skyr 450g</v>
      </c>
      <c r="E150" s="3" t="str">
        <f>VLOOKUP(C150,Stammdaten!$A$11:$C$25,3,FALSE)</f>
        <v>Joghurt</v>
      </c>
      <c r="F150" s="19">
        <f>VLOOKUP(C150,Stammdaten!$A$11:$D$25,4,FALSE)</f>
        <v>1.99</v>
      </c>
      <c r="G150" s="4">
        <f t="shared" si="26"/>
        <v>2</v>
      </c>
      <c r="H150" s="20" t="str">
        <f>VLOOKUP(G150,Stammdaten!$A$30:$B$41,2,FALSE)</f>
        <v>Februar</v>
      </c>
      <c r="I150" s="4">
        <v>223</v>
      </c>
      <c r="J150" s="4">
        <v>223</v>
      </c>
      <c r="K150" s="4">
        <f t="shared" si="27"/>
        <v>0</v>
      </c>
      <c r="L150" s="27">
        <f t="shared" si="28"/>
        <v>0</v>
      </c>
      <c r="M150" s="52" t="str">
        <f t="shared" si="29"/>
        <v>Perfekt</v>
      </c>
      <c r="N150" s="28">
        <f t="shared" si="30"/>
        <v>0</v>
      </c>
      <c r="O150" s="5">
        <v>12</v>
      </c>
      <c r="P150" s="4">
        <v>6</v>
      </c>
      <c r="Q150" s="28">
        <f t="shared" si="31"/>
        <v>0</v>
      </c>
      <c r="R150" s="50">
        <f t="shared" si="32"/>
        <v>0</v>
      </c>
      <c r="S150" s="2" t="str">
        <f t="shared" si="33"/>
        <v>Karneval</v>
      </c>
      <c r="T150" s="4">
        <v>0</v>
      </c>
      <c r="U150" s="4" t="str">
        <f t="shared" si="34"/>
        <v>Nein</v>
      </c>
      <c r="V150" s="4">
        <f t="shared" si="35"/>
        <v>0</v>
      </c>
      <c r="W150" s="19">
        <f t="shared" si="36"/>
        <v>1.99</v>
      </c>
      <c r="X150" s="5">
        <v>0</v>
      </c>
      <c r="Y150" s="28">
        <f t="shared" si="37"/>
        <v>0</v>
      </c>
      <c r="Z150" s="31" t="s">
        <v>172</v>
      </c>
      <c r="AA150" t="str">
        <f t="shared" si="38"/>
        <v>Normal/Gering</v>
      </c>
    </row>
    <row r="151" spans="1:27" x14ac:dyDescent="0.35">
      <c r="A151" s="32" t="s">
        <v>14</v>
      </c>
      <c r="B151" s="2" t="str">
        <f>VLOOKUP(A151,Stammdaten!$A$3:$B$7,2,FALSE)</f>
        <v>Filiale Nord</v>
      </c>
      <c r="C151" s="3" t="str" cm="1">
        <f t="array" ref="C151">INDEX(Stammdaten!$A$11:$A$25,INT((ROW()-5)/12)+1 - INT((ROW()-5)/180)*15)</f>
        <v>A013</v>
      </c>
      <c r="D151" s="2" t="str">
        <f>VLOOKUP(C151,Stammdaten!$A$11:$B$25,2,FALSE)</f>
        <v>Skyr 450g</v>
      </c>
      <c r="E151" s="3" t="str">
        <f>VLOOKUP(C151,Stammdaten!$A$11:$C$25,3,FALSE)</f>
        <v>Joghurt</v>
      </c>
      <c r="F151" s="19">
        <f>VLOOKUP(C151,Stammdaten!$A$11:$D$25,4,FALSE)</f>
        <v>1.99</v>
      </c>
      <c r="G151" s="4">
        <f t="shared" si="26"/>
        <v>3</v>
      </c>
      <c r="H151" s="20" t="str">
        <f>VLOOKUP(G151,Stammdaten!$A$30:$B$41,2,FALSE)</f>
        <v>März</v>
      </c>
      <c r="I151" s="4">
        <v>276</v>
      </c>
      <c r="J151" s="4">
        <v>272</v>
      </c>
      <c r="K151" s="4">
        <f t="shared" si="27"/>
        <v>-4</v>
      </c>
      <c r="L151" s="27">
        <f t="shared" si="28"/>
        <v>-1.4492753623188406</v>
      </c>
      <c r="M151" s="52" t="str">
        <f t="shared" si="29"/>
        <v>Schwund</v>
      </c>
      <c r="N151" s="28">
        <f t="shared" si="30"/>
        <v>7.96</v>
      </c>
      <c r="O151" s="5">
        <v>6</v>
      </c>
      <c r="P151" s="4">
        <v>2</v>
      </c>
      <c r="Q151" s="28">
        <f t="shared" si="31"/>
        <v>1.99</v>
      </c>
      <c r="R151" s="50">
        <f t="shared" si="32"/>
        <v>2.3879999999999999</v>
      </c>
      <c r="S151" s="2" t="str">
        <f t="shared" si="33"/>
        <v>Normal</v>
      </c>
      <c r="T151" s="4">
        <v>0</v>
      </c>
      <c r="U151" s="4" t="str">
        <f t="shared" si="34"/>
        <v>Nein</v>
      </c>
      <c r="V151" s="4">
        <f t="shared" si="35"/>
        <v>0</v>
      </c>
      <c r="W151" s="19">
        <f t="shared" si="36"/>
        <v>1.99</v>
      </c>
      <c r="X151" s="5">
        <v>0</v>
      </c>
      <c r="Y151" s="28">
        <f t="shared" si="37"/>
        <v>0</v>
      </c>
      <c r="Z151" s="31" t="s">
        <v>172</v>
      </c>
      <c r="AA151" t="str">
        <f t="shared" si="38"/>
        <v>Normal/Gering</v>
      </c>
    </row>
    <row r="152" spans="1:27" x14ac:dyDescent="0.35">
      <c r="A152" s="32" t="s">
        <v>14</v>
      </c>
      <c r="B152" s="2" t="str">
        <f>VLOOKUP(A152,Stammdaten!$A$3:$B$7,2,FALSE)</f>
        <v>Filiale Nord</v>
      </c>
      <c r="C152" s="3" t="str" cm="1">
        <f t="array" ref="C152">INDEX(Stammdaten!$A$11:$A$25,INT((ROW()-5)/12)+1 - INT((ROW()-5)/180)*15)</f>
        <v>A013</v>
      </c>
      <c r="D152" s="2" t="str">
        <f>VLOOKUP(C152,Stammdaten!$A$11:$B$25,2,FALSE)</f>
        <v>Skyr 450g</v>
      </c>
      <c r="E152" s="3" t="str">
        <f>VLOOKUP(C152,Stammdaten!$A$11:$C$25,3,FALSE)</f>
        <v>Joghurt</v>
      </c>
      <c r="F152" s="19">
        <f>VLOOKUP(C152,Stammdaten!$A$11:$D$25,4,FALSE)</f>
        <v>1.99</v>
      </c>
      <c r="G152" s="4">
        <f t="shared" si="26"/>
        <v>4</v>
      </c>
      <c r="H152" s="20" t="str">
        <f>VLOOKUP(G152,Stammdaten!$A$30:$B$41,2,FALSE)</f>
        <v>April</v>
      </c>
      <c r="I152" s="4">
        <v>322</v>
      </c>
      <c r="J152" s="4">
        <v>314</v>
      </c>
      <c r="K152" s="4">
        <f t="shared" si="27"/>
        <v>-8</v>
      </c>
      <c r="L152" s="27">
        <f t="shared" si="28"/>
        <v>-2.4844720496894408</v>
      </c>
      <c r="M152" s="52" t="str">
        <f t="shared" si="29"/>
        <v>Schwund</v>
      </c>
      <c r="N152" s="28">
        <f t="shared" si="30"/>
        <v>15.92</v>
      </c>
      <c r="O152" s="5">
        <v>11</v>
      </c>
      <c r="P152" s="4">
        <v>2</v>
      </c>
      <c r="Q152" s="28">
        <f t="shared" si="31"/>
        <v>3.98</v>
      </c>
      <c r="R152" s="50">
        <f t="shared" si="32"/>
        <v>4.7759999999999998</v>
      </c>
      <c r="S152" s="2" t="str">
        <f t="shared" si="33"/>
        <v>Ostern</v>
      </c>
      <c r="T152" s="4">
        <v>0</v>
      </c>
      <c r="U152" s="4" t="str">
        <f t="shared" si="34"/>
        <v>Nein</v>
      </c>
      <c r="V152" s="4">
        <f t="shared" si="35"/>
        <v>0</v>
      </c>
      <c r="W152" s="19">
        <f t="shared" si="36"/>
        <v>1.99</v>
      </c>
      <c r="X152" s="5">
        <v>0</v>
      </c>
      <c r="Y152" s="28">
        <f t="shared" si="37"/>
        <v>0</v>
      </c>
      <c r="Z152" s="31" t="s">
        <v>172</v>
      </c>
      <c r="AA152" t="str">
        <f t="shared" si="38"/>
        <v>Prozessfehler</v>
      </c>
    </row>
    <row r="153" spans="1:27" x14ac:dyDescent="0.35">
      <c r="A153" s="32" t="s">
        <v>14</v>
      </c>
      <c r="B153" s="2" t="str">
        <f>VLOOKUP(A153,Stammdaten!$A$3:$B$7,2,FALSE)</f>
        <v>Filiale Nord</v>
      </c>
      <c r="C153" s="3" t="str" cm="1">
        <f t="array" ref="C153">INDEX(Stammdaten!$A$11:$A$25,INT((ROW()-5)/12)+1 - INT((ROW()-5)/180)*15)</f>
        <v>A013</v>
      </c>
      <c r="D153" s="2" t="str">
        <f>VLOOKUP(C153,Stammdaten!$A$11:$B$25,2,FALSE)</f>
        <v>Skyr 450g</v>
      </c>
      <c r="E153" s="3" t="str">
        <f>VLOOKUP(C153,Stammdaten!$A$11:$C$25,3,FALSE)</f>
        <v>Joghurt</v>
      </c>
      <c r="F153" s="19">
        <f>VLOOKUP(C153,Stammdaten!$A$11:$D$25,4,FALSE)</f>
        <v>1.99</v>
      </c>
      <c r="G153" s="4">
        <f t="shared" si="26"/>
        <v>5</v>
      </c>
      <c r="H153" s="20" t="str">
        <f>VLOOKUP(G153,Stammdaten!$A$30:$B$41,2,FALSE)</f>
        <v>Mai</v>
      </c>
      <c r="I153" s="4">
        <v>240</v>
      </c>
      <c r="J153" s="4">
        <v>233</v>
      </c>
      <c r="K153" s="4">
        <f t="shared" si="27"/>
        <v>-7</v>
      </c>
      <c r="L153" s="27">
        <f t="shared" si="28"/>
        <v>-2.9166666666666665</v>
      </c>
      <c r="M153" s="52" t="str">
        <f t="shared" si="29"/>
        <v>Schwund</v>
      </c>
      <c r="N153" s="28">
        <f t="shared" si="30"/>
        <v>13.93</v>
      </c>
      <c r="O153" s="5">
        <v>16</v>
      </c>
      <c r="P153" s="4">
        <v>5</v>
      </c>
      <c r="Q153" s="28">
        <f t="shared" si="31"/>
        <v>3.4824999999999999</v>
      </c>
      <c r="R153" s="50">
        <f t="shared" si="32"/>
        <v>4.1789999999999994</v>
      </c>
      <c r="S153" s="2" t="str">
        <f t="shared" si="33"/>
        <v>Normal</v>
      </c>
      <c r="T153" s="4">
        <v>0</v>
      </c>
      <c r="U153" s="4" t="str">
        <f t="shared" si="34"/>
        <v>Nein</v>
      </c>
      <c r="V153" s="4">
        <f t="shared" si="35"/>
        <v>0</v>
      </c>
      <c r="W153" s="19">
        <f t="shared" si="36"/>
        <v>1.99</v>
      </c>
      <c r="X153" s="5">
        <v>0</v>
      </c>
      <c r="Y153" s="28">
        <f t="shared" si="37"/>
        <v>0</v>
      </c>
      <c r="Z153" s="31" t="s">
        <v>172</v>
      </c>
      <c r="AA153" t="str">
        <f t="shared" si="38"/>
        <v>Prozessfehler</v>
      </c>
    </row>
    <row r="154" spans="1:27" x14ac:dyDescent="0.35">
      <c r="A154" s="32" t="s">
        <v>14</v>
      </c>
      <c r="B154" s="2" t="str">
        <f>VLOOKUP(A154,Stammdaten!$A$3:$B$7,2,FALSE)</f>
        <v>Filiale Nord</v>
      </c>
      <c r="C154" s="3" t="str" cm="1">
        <f t="array" ref="C154">INDEX(Stammdaten!$A$11:$A$25,INT((ROW()-5)/12)+1 - INT((ROW()-5)/180)*15)</f>
        <v>A013</v>
      </c>
      <c r="D154" s="2" t="str">
        <f>VLOOKUP(C154,Stammdaten!$A$11:$B$25,2,FALSE)</f>
        <v>Skyr 450g</v>
      </c>
      <c r="E154" s="3" t="str">
        <f>VLOOKUP(C154,Stammdaten!$A$11:$C$25,3,FALSE)</f>
        <v>Joghurt</v>
      </c>
      <c r="F154" s="19">
        <f>VLOOKUP(C154,Stammdaten!$A$11:$D$25,4,FALSE)</f>
        <v>1.99</v>
      </c>
      <c r="G154" s="4">
        <f t="shared" si="26"/>
        <v>6</v>
      </c>
      <c r="H154" s="20" t="str">
        <f>VLOOKUP(G154,Stammdaten!$A$30:$B$41,2,FALSE)</f>
        <v>Juni</v>
      </c>
      <c r="I154" s="4">
        <v>261</v>
      </c>
      <c r="J154" s="4">
        <v>253</v>
      </c>
      <c r="K154" s="4">
        <f t="shared" si="27"/>
        <v>-8</v>
      </c>
      <c r="L154" s="27">
        <f t="shared" si="28"/>
        <v>-3.0651340996168579</v>
      </c>
      <c r="M154" s="52" t="str">
        <f t="shared" si="29"/>
        <v>Schwund</v>
      </c>
      <c r="N154" s="28">
        <f t="shared" si="30"/>
        <v>15.92</v>
      </c>
      <c r="O154" s="5">
        <v>18</v>
      </c>
      <c r="P154" s="4">
        <v>0</v>
      </c>
      <c r="Q154" s="28">
        <f t="shared" si="31"/>
        <v>3.98</v>
      </c>
      <c r="R154" s="50">
        <f t="shared" si="32"/>
        <v>4.7759999999999998</v>
      </c>
      <c r="S154" s="2" t="str">
        <f t="shared" si="33"/>
        <v>Normal</v>
      </c>
      <c r="T154" s="4">
        <v>0</v>
      </c>
      <c r="U154" s="4" t="str">
        <f t="shared" si="34"/>
        <v>Nein</v>
      </c>
      <c r="V154" s="4">
        <f t="shared" si="35"/>
        <v>0</v>
      </c>
      <c r="W154" s="19">
        <f t="shared" si="36"/>
        <v>1.99</v>
      </c>
      <c r="X154" s="5">
        <v>0</v>
      </c>
      <c r="Y154" s="28">
        <f t="shared" si="37"/>
        <v>0</v>
      </c>
      <c r="Z154" s="31" t="s">
        <v>172</v>
      </c>
      <c r="AA154" t="str">
        <f t="shared" si="38"/>
        <v>Buchungsfehler Wareneingang</v>
      </c>
    </row>
    <row r="155" spans="1:27" x14ac:dyDescent="0.35">
      <c r="A155" s="32" t="s">
        <v>14</v>
      </c>
      <c r="B155" s="2" t="str">
        <f>VLOOKUP(A155,Stammdaten!$A$3:$B$7,2,FALSE)</f>
        <v>Filiale Nord</v>
      </c>
      <c r="C155" s="3" t="str" cm="1">
        <f t="array" ref="C155">INDEX(Stammdaten!$A$11:$A$25,INT((ROW()-5)/12)+1 - INT((ROW()-5)/180)*15)</f>
        <v>A013</v>
      </c>
      <c r="D155" s="2" t="str">
        <f>VLOOKUP(C155,Stammdaten!$A$11:$B$25,2,FALSE)</f>
        <v>Skyr 450g</v>
      </c>
      <c r="E155" s="3" t="str">
        <f>VLOOKUP(C155,Stammdaten!$A$11:$C$25,3,FALSE)</f>
        <v>Joghurt</v>
      </c>
      <c r="F155" s="19">
        <f>VLOOKUP(C155,Stammdaten!$A$11:$D$25,4,FALSE)</f>
        <v>1.99</v>
      </c>
      <c r="G155" s="4">
        <f t="shared" si="26"/>
        <v>7</v>
      </c>
      <c r="H155" s="20" t="str">
        <f>VLOOKUP(G155,Stammdaten!$A$30:$B$41,2,FALSE)</f>
        <v>Juli</v>
      </c>
      <c r="I155" s="4">
        <v>291</v>
      </c>
      <c r="J155" s="4">
        <v>295</v>
      </c>
      <c r="K155" s="4">
        <f t="shared" si="27"/>
        <v>4</v>
      </c>
      <c r="L155" s="27">
        <f t="shared" si="28"/>
        <v>1.3745704467353952</v>
      </c>
      <c r="M155" s="52" t="str">
        <f t="shared" si="29"/>
        <v>Überbestand</v>
      </c>
      <c r="N155" s="28">
        <f t="shared" si="30"/>
        <v>7.96</v>
      </c>
      <c r="O155" s="5">
        <v>17</v>
      </c>
      <c r="P155" s="4">
        <v>5</v>
      </c>
      <c r="Q155" s="28">
        <f t="shared" si="31"/>
        <v>0</v>
      </c>
      <c r="R155" s="50">
        <f t="shared" si="32"/>
        <v>0</v>
      </c>
      <c r="S155" s="2" t="str">
        <f t="shared" si="33"/>
        <v>Normal</v>
      </c>
      <c r="T155" s="4">
        <v>4</v>
      </c>
      <c r="U155" s="4" t="str">
        <f t="shared" si="34"/>
        <v>Nein</v>
      </c>
      <c r="V155" s="4">
        <f t="shared" si="35"/>
        <v>0</v>
      </c>
      <c r="W155" s="19">
        <f t="shared" si="36"/>
        <v>1.99</v>
      </c>
      <c r="X155" s="5">
        <v>0</v>
      </c>
      <c r="Y155" s="28">
        <f t="shared" si="37"/>
        <v>0</v>
      </c>
      <c r="Z155" s="31" t="s">
        <v>172</v>
      </c>
      <c r="AA155" t="str">
        <f t="shared" si="38"/>
        <v>Kassenfehler (Überbestand)</v>
      </c>
    </row>
    <row r="156" spans="1:27" x14ac:dyDescent="0.35">
      <c r="A156" s="32" t="s">
        <v>14</v>
      </c>
      <c r="B156" s="2" t="str">
        <f>VLOOKUP(A156,Stammdaten!$A$3:$B$7,2,FALSE)</f>
        <v>Filiale Nord</v>
      </c>
      <c r="C156" s="3" t="str" cm="1">
        <f t="array" ref="C156">INDEX(Stammdaten!$A$11:$A$25,INT((ROW()-5)/12)+1 - INT((ROW()-5)/180)*15)</f>
        <v>A013</v>
      </c>
      <c r="D156" s="2" t="str">
        <f>VLOOKUP(C156,Stammdaten!$A$11:$B$25,2,FALSE)</f>
        <v>Skyr 450g</v>
      </c>
      <c r="E156" s="3" t="str">
        <f>VLOOKUP(C156,Stammdaten!$A$11:$C$25,3,FALSE)</f>
        <v>Joghurt</v>
      </c>
      <c r="F156" s="19">
        <f>VLOOKUP(C156,Stammdaten!$A$11:$D$25,4,FALSE)</f>
        <v>1.99</v>
      </c>
      <c r="G156" s="4">
        <f t="shared" si="26"/>
        <v>8</v>
      </c>
      <c r="H156" s="20" t="str">
        <f>VLOOKUP(G156,Stammdaten!$A$30:$B$41,2,FALSE)</f>
        <v>August</v>
      </c>
      <c r="I156" s="4">
        <v>282</v>
      </c>
      <c r="J156" s="4">
        <v>275</v>
      </c>
      <c r="K156" s="4">
        <f t="shared" si="27"/>
        <v>-7</v>
      </c>
      <c r="L156" s="27">
        <f t="shared" si="28"/>
        <v>-2.4822695035460995</v>
      </c>
      <c r="M156" s="52" t="str">
        <f t="shared" si="29"/>
        <v>Schwund</v>
      </c>
      <c r="N156" s="28">
        <f t="shared" si="30"/>
        <v>13.93</v>
      </c>
      <c r="O156" s="5">
        <v>7</v>
      </c>
      <c r="P156" s="4">
        <v>3</v>
      </c>
      <c r="Q156" s="28">
        <f t="shared" si="31"/>
        <v>3.4824999999999999</v>
      </c>
      <c r="R156" s="50">
        <f t="shared" si="32"/>
        <v>4.1789999999999994</v>
      </c>
      <c r="S156" s="2" t="str">
        <f t="shared" si="33"/>
        <v>Normal</v>
      </c>
      <c r="T156" s="4">
        <v>0</v>
      </c>
      <c r="U156" s="4" t="str">
        <f t="shared" si="34"/>
        <v>Nein</v>
      </c>
      <c r="V156" s="4">
        <f t="shared" si="35"/>
        <v>0</v>
      </c>
      <c r="W156" s="19">
        <f t="shared" si="36"/>
        <v>1.99</v>
      </c>
      <c r="X156" s="5">
        <v>0</v>
      </c>
      <c r="Y156" s="28">
        <f t="shared" si="37"/>
        <v>0</v>
      </c>
      <c r="Z156" s="31" t="s">
        <v>172</v>
      </c>
      <c r="AA156" t="str">
        <f t="shared" si="38"/>
        <v>Prozessfehler</v>
      </c>
    </row>
    <row r="157" spans="1:27" x14ac:dyDescent="0.35">
      <c r="A157" s="32" t="s">
        <v>14</v>
      </c>
      <c r="B157" s="2" t="str">
        <f>VLOOKUP(A157,Stammdaten!$A$3:$B$7,2,FALSE)</f>
        <v>Filiale Nord</v>
      </c>
      <c r="C157" s="3" t="str" cm="1">
        <f t="array" ref="C157">INDEX(Stammdaten!$A$11:$A$25,INT((ROW()-5)/12)+1 - INT((ROW()-5)/180)*15)</f>
        <v>A013</v>
      </c>
      <c r="D157" s="2" t="str">
        <f>VLOOKUP(C157,Stammdaten!$A$11:$B$25,2,FALSE)</f>
        <v>Skyr 450g</v>
      </c>
      <c r="E157" s="3" t="str">
        <f>VLOOKUP(C157,Stammdaten!$A$11:$C$25,3,FALSE)</f>
        <v>Joghurt</v>
      </c>
      <c r="F157" s="19">
        <f>VLOOKUP(C157,Stammdaten!$A$11:$D$25,4,FALSE)</f>
        <v>1.99</v>
      </c>
      <c r="G157" s="4">
        <f t="shared" si="26"/>
        <v>9</v>
      </c>
      <c r="H157" s="20" t="str">
        <f>VLOOKUP(G157,Stammdaten!$A$30:$B$41,2,FALSE)</f>
        <v>September</v>
      </c>
      <c r="I157" s="4">
        <v>247</v>
      </c>
      <c r="J157" s="4">
        <v>243</v>
      </c>
      <c r="K157" s="4">
        <f t="shared" si="27"/>
        <v>-4</v>
      </c>
      <c r="L157" s="27">
        <f t="shared" si="28"/>
        <v>-1.6194331983805668</v>
      </c>
      <c r="M157" s="52" t="str">
        <f t="shared" si="29"/>
        <v>Schwund</v>
      </c>
      <c r="N157" s="28">
        <f t="shared" si="30"/>
        <v>7.96</v>
      </c>
      <c r="O157" s="5">
        <v>3</v>
      </c>
      <c r="P157" s="4">
        <v>6</v>
      </c>
      <c r="Q157" s="28">
        <f t="shared" si="31"/>
        <v>1.99</v>
      </c>
      <c r="R157" s="50">
        <f t="shared" si="32"/>
        <v>2.3879999999999999</v>
      </c>
      <c r="S157" s="2" t="str">
        <f t="shared" si="33"/>
        <v>Normal</v>
      </c>
      <c r="T157" s="4">
        <v>0</v>
      </c>
      <c r="U157" s="4" t="str">
        <f t="shared" si="34"/>
        <v>Ja - 20% Reduzierung</v>
      </c>
      <c r="V157" s="4">
        <f t="shared" si="35"/>
        <v>20</v>
      </c>
      <c r="W157" s="19">
        <f t="shared" si="36"/>
        <v>1.59</v>
      </c>
      <c r="X157" s="5">
        <v>20</v>
      </c>
      <c r="Y157" s="28">
        <f t="shared" si="37"/>
        <v>7.96</v>
      </c>
      <c r="Z157" s="31" t="s">
        <v>173</v>
      </c>
      <c r="AA157" t="str">
        <f t="shared" si="38"/>
        <v>Normal/Gering</v>
      </c>
    </row>
    <row r="158" spans="1:27" x14ac:dyDescent="0.35">
      <c r="A158" s="32" t="s">
        <v>14</v>
      </c>
      <c r="B158" s="2" t="str">
        <f>VLOOKUP(A158,Stammdaten!$A$3:$B$7,2,FALSE)</f>
        <v>Filiale Nord</v>
      </c>
      <c r="C158" s="3" t="str" cm="1">
        <f t="array" ref="C158">INDEX(Stammdaten!$A$11:$A$25,INT((ROW()-5)/12)+1 - INT((ROW()-5)/180)*15)</f>
        <v>A013</v>
      </c>
      <c r="D158" s="2" t="str">
        <f>VLOOKUP(C158,Stammdaten!$A$11:$B$25,2,FALSE)</f>
        <v>Skyr 450g</v>
      </c>
      <c r="E158" s="3" t="str">
        <f>VLOOKUP(C158,Stammdaten!$A$11:$C$25,3,FALSE)</f>
        <v>Joghurt</v>
      </c>
      <c r="F158" s="19">
        <f>VLOOKUP(C158,Stammdaten!$A$11:$D$25,4,FALSE)</f>
        <v>1.99</v>
      </c>
      <c r="G158" s="4">
        <f t="shared" si="26"/>
        <v>10</v>
      </c>
      <c r="H158" s="20" t="str">
        <f>VLOOKUP(G158,Stammdaten!$A$30:$B$41,2,FALSE)</f>
        <v>Oktober</v>
      </c>
      <c r="I158" s="4">
        <v>250</v>
      </c>
      <c r="J158" s="4">
        <v>244</v>
      </c>
      <c r="K158" s="4">
        <f t="shared" si="27"/>
        <v>-6</v>
      </c>
      <c r="L158" s="27">
        <f t="shared" si="28"/>
        <v>-2.4</v>
      </c>
      <c r="M158" s="52" t="str">
        <f t="shared" si="29"/>
        <v>Schwund</v>
      </c>
      <c r="N158" s="28">
        <f t="shared" si="30"/>
        <v>11.94</v>
      </c>
      <c r="O158" s="5">
        <v>11</v>
      </c>
      <c r="P158" s="4">
        <v>4</v>
      </c>
      <c r="Q158" s="28">
        <f t="shared" si="31"/>
        <v>2.9849999999999999</v>
      </c>
      <c r="R158" s="50">
        <f t="shared" si="32"/>
        <v>3.5819999999999999</v>
      </c>
      <c r="S158" s="2" t="str">
        <f t="shared" si="33"/>
        <v>Normal</v>
      </c>
      <c r="T158" s="4">
        <v>0</v>
      </c>
      <c r="U158" s="4" t="str">
        <f t="shared" si="34"/>
        <v>Nein</v>
      </c>
      <c r="V158" s="4">
        <f t="shared" si="35"/>
        <v>0</v>
      </c>
      <c r="W158" s="19">
        <f t="shared" si="36"/>
        <v>1.99</v>
      </c>
      <c r="X158" s="5">
        <v>0</v>
      </c>
      <c r="Y158" s="28">
        <f t="shared" si="37"/>
        <v>0</v>
      </c>
      <c r="Z158" s="31" t="s">
        <v>172</v>
      </c>
      <c r="AA158" t="str">
        <f t="shared" si="38"/>
        <v>Prozessfehler</v>
      </c>
    </row>
    <row r="159" spans="1:27" x14ac:dyDescent="0.35">
      <c r="A159" s="32" t="s">
        <v>14</v>
      </c>
      <c r="B159" s="2" t="str">
        <f>VLOOKUP(A159,Stammdaten!$A$3:$B$7,2,FALSE)</f>
        <v>Filiale Nord</v>
      </c>
      <c r="C159" s="3" t="str" cm="1">
        <f t="array" ref="C159">INDEX(Stammdaten!$A$11:$A$25,INT((ROW()-5)/12)+1 - INT((ROW()-5)/180)*15)</f>
        <v>A013</v>
      </c>
      <c r="D159" s="2" t="str">
        <f>VLOOKUP(C159,Stammdaten!$A$11:$B$25,2,FALSE)</f>
        <v>Skyr 450g</v>
      </c>
      <c r="E159" s="3" t="str">
        <f>VLOOKUP(C159,Stammdaten!$A$11:$C$25,3,FALSE)</f>
        <v>Joghurt</v>
      </c>
      <c r="F159" s="19">
        <f>VLOOKUP(C159,Stammdaten!$A$11:$D$25,4,FALSE)</f>
        <v>1.99</v>
      </c>
      <c r="G159" s="4">
        <f t="shared" si="26"/>
        <v>11</v>
      </c>
      <c r="H159" s="20" t="str">
        <f>VLOOKUP(G159,Stammdaten!$A$30:$B$41,2,FALSE)</f>
        <v>November</v>
      </c>
      <c r="I159" s="4">
        <v>264</v>
      </c>
      <c r="J159" s="4">
        <v>259</v>
      </c>
      <c r="K159" s="4">
        <f t="shared" si="27"/>
        <v>-5</v>
      </c>
      <c r="L159" s="27">
        <f t="shared" si="28"/>
        <v>-1.893939393939394</v>
      </c>
      <c r="M159" s="52" t="str">
        <f t="shared" si="29"/>
        <v>Schwund</v>
      </c>
      <c r="N159" s="28">
        <f t="shared" si="30"/>
        <v>9.9499999999999993</v>
      </c>
      <c r="O159" s="5">
        <v>16</v>
      </c>
      <c r="P159" s="4">
        <v>7</v>
      </c>
      <c r="Q159" s="28">
        <f t="shared" si="31"/>
        <v>2.4874999999999998</v>
      </c>
      <c r="R159" s="50">
        <f t="shared" si="32"/>
        <v>2.9849999999999999</v>
      </c>
      <c r="S159" s="2" t="str">
        <f t="shared" si="33"/>
        <v>Black Friday</v>
      </c>
      <c r="T159" s="4">
        <v>0</v>
      </c>
      <c r="U159" s="4" t="str">
        <f t="shared" si="34"/>
        <v>Nein</v>
      </c>
      <c r="V159" s="4">
        <f t="shared" si="35"/>
        <v>0</v>
      </c>
      <c r="W159" s="19">
        <f t="shared" si="36"/>
        <v>1.99</v>
      </c>
      <c r="X159" s="5">
        <v>0</v>
      </c>
      <c r="Y159" s="28">
        <f t="shared" si="37"/>
        <v>0</v>
      </c>
      <c r="Z159" s="31" t="s">
        <v>172</v>
      </c>
      <c r="AA159" t="str">
        <f t="shared" si="38"/>
        <v>Normal/Gering</v>
      </c>
    </row>
    <row r="160" spans="1:27" x14ac:dyDescent="0.35">
      <c r="A160" s="32" t="s">
        <v>14</v>
      </c>
      <c r="B160" s="2" t="str">
        <f>VLOOKUP(A160,Stammdaten!$A$3:$B$7,2,FALSE)</f>
        <v>Filiale Nord</v>
      </c>
      <c r="C160" s="3" t="str" cm="1">
        <f t="array" ref="C160">INDEX(Stammdaten!$A$11:$A$25,INT((ROW()-5)/12)+1 - INT((ROW()-5)/180)*15)</f>
        <v>A013</v>
      </c>
      <c r="D160" s="2" t="str">
        <f>VLOOKUP(C160,Stammdaten!$A$11:$B$25,2,FALSE)</f>
        <v>Skyr 450g</v>
      </c>
      <c r="E160" s="3" t="str">
        <f>VLOOKUP(C160,Stammdaten!$A$11:$C$25,3,FALSE)</f>
        <v>Joghurt</v>
      </c>
      <c r="F160" s="19">
        <f>VLOOKUP(C160,Stammdaten!$A$11:$D$25,4,FALSE)</f>
        <v>1.99</v>
      </c>
      <c r="G160" s="4">
        <f t="shared" si="26"/>
        <v>12</v>
      </c>
      <c r="H160" s="20" t="str">
        <f>VLOOKUP(G160,Stammdaten!$A$30:$B$41,2,FALSE)</f>
        <v>Dezember</v>
      </c>
      <c r="I160" s="4">
        <v>340</v>
      </c>
      <c r="J160" s="4">
        <v>332</v>
      </c>
      <c r="K160" s="4">
        <f t="shared" si="27"/>
        <v>-8</v>
      </c>
      <c r="L160" s="27">
        <f t="shared" si="28"/>
        <v>-2.3529411764705883</v>
      </c>
      <c r="M160" s="52" t="str">
        <f t="shared" si="29"/>
        <v>Schwund</v>
      </c>
      <c r="N160" s="28">
        <f t="shared" si="30"/>
        <v>15.92</v>
      </c>
      <c r="O160" s="5">
        <v>11</v>
      </c>
      <c r="P160" s="4">
        <v>1</v>
      </c>
      <c r="Q160" s="28">
        <f t="shared" si="31"/>
        <v>3.98</v>
      </c>
      <c r="R160" s="50">
        <f t="shared" si="32"/>
        <v>4.7759999999999998</v>
      </c>
      <c r="S160" s="2" t="str">
        <f t="shared" si="33"/>
        <v>Weihnachten/Silvester</v>
      </c>
      <c r="T160" s="4">
        <v>0</v>
      </c>
      <c r="U160" s="4" t="str">
        <f t="shared" si="34"/>
        <v>Nein</v>
      </c>
      <c r="V160" s="4">
        <f t="shared" si="35"/>
        <v>0</v>
      </c>
      <c r="W160" s="19">
        <f t="shared" si="36"/>
        <v>1.99</v>
      </c>
      <c r="X160" s="5">
        <v>0</v>
      </c>
      <c r="Y160" s="28">
        <f t="shared" si="37"/>
        <v>0</v>
      </c>
      <c r="Z160" s="31" t="s">
        <v>172</v>
      </c>
      <c r="AA160" t="str">
        <f t="shared" si="38"/>
        <v>Buchungsfehler Wareneingang</v>
      </c>
    </row>
    <row r="161" spans="1:27" x14ac:dyDescent="0.35">
      <c r="A161" s="32" t="s">
        <v>14</v>
      </c>
      <c r="B161" s="2" t="str">
        <f>VLOOKUP(A161,Stammdaten!$A$3:$B$7,2,FALSE)</f>
        <v>Filiale Nord</v>
      </c>
      <c r="C161" s="3" t="str" cm="1">
        <f t="array" ref="C161">INDEX(Stammdaten!$A$11:$A$25,INT((ROW()-5)/12)+1 - INT((ROW()-5)/180)*15)</f>
        <v>A014</v>
      </c>
      <c r="D161" s="2" t="str">
        <f>VLOOKUP(C161,Stammdaten!$A$11:$B$25,2,FALSE)</f>
        <v>Kefir 500ml</v>
      </c>
      <c r="E161" s="3" t="str">
        <f>VLOOKUP(C161,Stammdaten!$A$11:$C$25,3,FALSE)</f>
        <v>Milch</v>
      </c>
      <c r="F161" s="19">
        <f>VLOOKUP(C161,Stammdaten!$A$11:$D$25,4,FALSE)</f>
        <v>1.39</v>
      </c>
      <c r="G161" s="4">
        <f t="shared" si="26"/>
        <v>1</v>
      </c>
      <c r="H161" s="20" t="str">
        <f>VLOOKUP(G161,Stammdaten!$A$30:$B$41,2,FALSE)</f>
        <v>Januar</v>
      </c>
      <c r="I161" s="4">
        <v>135</v>
      </c>
      <c r="J161" s="4">
        <v>132</v>
      </c>
      <c r="K161" s="4">
        <f t="shared" si="27"/>
        <v>-3</v>
      </c>
      <c r="L161" s="27">
        <f t="shared" si="28"/>
        <v>-2.2222222222222223</v>
      </c>
      <c r="M161" s="52" t="str">
        <f t="shared" si="29"/>
        <v>Schwund</v>
      </c>
      <c r="N161" s="28">
        <f t="shared" si="30"/>
        <v>4.17</v>
      </c>
      <c r="O161" s="5">
        <v>1</v>
      </c>
      <c r="P161" s="4">
        <v>3</v>
      </c>
      <c r="Q161" s="28">
        <f t="shared" si="31"/>
        <v>1.0425</v>
      </c>
      <c r="R161" s="50">
        <f t="shared" si="32"/>
        <v>1.2509999999999999</v>
      </c>
      <c r="S161" s="2" t="str">
        <f t="shared" si="33"/>
        <v>Normal</v>
      </c>
      <c r="T161" s="4">
        <v>0</v>
      </c>
      <c r="U161" s="4" t="str">
        <f t="shared" si="34"/>
        <v>Ja - 20% Reduzierung</v>
      </c>
      <c r="V161" s="4">
        <f t="shared" si="35"/>
        <v>20</v>
      </c>
      <c r="W161" s="19">
        <f t="shared" si="36"/>
        <v>1.1100000000000001</v>
      </c>
      <c r="X161" s="5">
        <v>11</v>
      </c>
      <c r="Y161" s="28">
        <f t="shared" si="37"/>
        <v>3.06</v>
      </c>
      <c r="Z161" s="31" t="s">
        <v>173</v>
      </c>
      <c r="AA161" t="str">
        <f t="shared" si="38"/>
        <v>Prozessfehler</v>
      </c>
    </row>
    <row r="162" spans="1:27" x14ac:dyDescent="0.35">
      <c r="A162" s="32" t="s">
        <v>14</v>
      </c>
      <c r="B162" s="2" t="str">
        <f>VLOOKUP(A162,Stammdaten!$A$3:$B$7,2,FALSE)</f>
        <v>Filiale Nord</v>
      </c>
      <c r="C162" s="3" t="str" cm="1">
        <f t="array" ref="C162">INDEX(Stammdaten!$A$11:$A$25,INT((ROW()-5)/12)+1 - INT((ROW()-5)/180)*15)</f>
        <v>A014</v>
      </c>
      <c r="D162" s="2" t="str">
        <f>VLOOKUP(C162,Stammdaten!$A$11:$B$25,2,FALSE)</f>
        <v>Kefir 500ml</v>
      </c>
      <c r="E162" s="3" t="str">
        <f>VLOOKUP(C162,Stammdaten!$A$11:$C$25,3,FALSE)</f>
        <v>Milch</v>
      </c>
      <c r="F162" s="19">
        <f>VLOOKUP(C162,Stammdaten!$A$11:$D$25,4,FALSE)</f>
        <v>1.39</v>
      </c>
      <c r="G162" s="4">
        <f t="shared" si="26"/>
        <v>2</v>
      </c>
      <c r="H162" s="20" t="str">
        <f>VLOOKUP(G162,Stammdaten!$A$30:$B$41,2,FALSE)</f>
        <v>Februar</v>
      </c>
      <c r="I162" s="4">
        <v>128</v>
      </c>
      <c r="J162" s="4">
        <v>125</v>
      </c>
      <c r="K162" s="4">
        <f t="shared" si="27"/>
        <v>-3</v>
      </c>
      <c r="L162" s="27">
        <f t="shared" si="28"/>
        <v>-2.34375</v>
      </c>
      <c r="M162" s="52" t="str">
        <f t="shared" si="29"/>
        <v>Schwund</v>
      </c>
      <c r="N162" s="28">
        <f t="shared" si="30"/>
        <v>4.17</v>
      </c>
      <c r="O162" s="5">
        <v>7</v>
      </c>
      <c r="P162" s="4">
        <v>4</v>
      </c>
      <c r="Q162" s="28">
        <f t="shared" si="31"/>
        <v>1.0425</v>
      </c>
      <c r="R162" s="50">
        <f t="shared" si="32"/>
        <v>1.2509999999999999</v>
      </c>
      <c r="S162" s="2" t="str">
        <f t="shared" si="33"/>
        <v>Karneval</v>
      </c>
      <c r="T162" s="4">
        <v>0</v>
      </c>
      <c r="U162" s="4" t="str">
        <f t="shared" si="34"/>
        <v>Nein</v>
      </c>
      <c r="V162" s="4">
        <f t="shared" si="35"/>
        <v>0</v>
      </c>
      <c r="W162" s="19">
        <f t="shared" si="36"/>
        <v>1.39</v>
      </c>
      <c r="X162" s="5">
        <v>0</v>
      </c>
      <c r="Y162" s="28">
        <f t="shared" si="37"/>
        <v>0</v>
      </c>
      <c r="Z162" s="31" t="s">
        <v>172</v>
      </c>
      <c r="AA162" t="str">
        <f t="shared" si="38"/>
        <v>Prozessfehler</v>
      </c>
    </row>
    <row r="163" spans="1:27" x14ac:dyDescent="0.35">
      <c r="A163" s="32" t="s">
        <v>14</v>
      </c>
      <c r="B163" s="2" t="str">
        <f>VLOOKUP(A163,Stammdaten!$A$3:$B$7,2,FALSE)</f>
        <v>Filiale Nord</v>
      </c>
      <c r="C163" s="3" t="str" cm="1">
        <f t="array" ref="C163">INDEX(Stammdaten!$A$11:$A$25,INT((ROW()-5)/12)+1 - INT((ROW()-5)/180)*15)</f>
        <v>A014</v>
      </c>
      <c r="D163" s="2" t="str">
        <f>VLOOKUP(C163,Stammdaten!$A$11:$B$25,2,FALSE)</f>
        <v>Kefir 500ml</v>
      </c>
      <c r="E163" s="3" t="str">
        <f>VLOOKUP(C163,Stammdaten!$A$11:$C$25,3,FALSE)</f>
        <v>Milch</v>
      </c>
      <c r="F163" s="19">
        <f>VLOOKUP(C163,Stammdaten!$A$11:$D$25,4,FALSE)</f>
        <v>1.39</v>
      </c>
      <c r="G163" s="4">
        <f t="shared" si="26"/>
        <v>3</v>
      </c>
      <c r="H163" s="20" t="str">
        <f>VLOOKUP(G163,Stammdaten!$A$30:$B$41,2,FALSE)</f>
        <v>März</v>
      </c>
      <c r="I163" s="4">
        <v>150</v>
      </c>
      <c r="J163" s="4">
        <v>150</v>
      </c>
      <c r="K163" s="4">
        <f t="shared" si="27"/>
        <v>0</v>
      </c>
      <c r="L163" s="27">
        <f t="shared" si="28"/>
        <v>0</v>
      </c>
      <c r="M163" s="52" t="str">
        <f t="shared" si="29"/>
        <v>Perfekt</v>
      </c>
      <c r="N163" s="28">
        <f t="shared" si="30"/>
        <v>0</v>
      </c>
      <c r="O163" s="5">
        <v>0</v>
      </c>
      <c r="P163" s="4">
        <v>3</v>
      </c>
      <c r="Q163" s="28">
        <f t="shared" si="31"/>
        <v>0</v>
      </c>
      <c r="R163" s="50">
        <f t="shared" si="32"/>
        <v>0</v>
      </c>
      <c r="S163" s="2" t="str">
        <f t="shared" si="33"/>
        <v>Normal</v>
      </c>
      <c r="T163" s="4">
        <v>0</v>
      </c>
      <c r="U163" s="4" t="str">
        <f t="shared" si="34"/>
        <v>Abschreibung</v>
      </c>
      <c r="V163" s="4">
        <f t="shared" si="35"/>
        <v>100</v>
      </c>
      <c r="W163" s="19">
        <f t="shared" si="36"/>
        <v>0</v>
      </c>
      <c r="X163" s="5">
        <v>3</v>
      </c>
      <c r="Y163" s="28">
        <f t="shared" si="37"/>
        <v>4.17</v>
      </c>
      <c r="Z163" s="31" t="s">
        <v>164</v>
      </c>
      <c r="AA163" t="str">
        <f t="shared" si="38"/>
        <v>Verderb - Abgelaufen</v>
      </c>
    </row>
    <row r="164" spans="1:27" x14ac:dyDescent="0.35">
      <c r="A164" s="32" t="s">
        <v>14</v>
      </c>
      <c r="B164" s="2" t="str">
        <f>VLOOKUP(A164,Stammdaten!$A$3:$B$7,2,FALSE)</f>
        <v>Filiale Nord</v>
      </c>
      <c r="C164" s="3" t="str" cm="1">
        <f t="array" ref="C164">INDEX(Stammdaten!$A$11:$A$25,INT((ROW()-5)/12)+1 - INT((ROW()-5)/180)*15)</f>
        <v>A014</v>
      </c>
      <c r="D164" s="2" t="str">
        <f>VLOOKUP(C164,Stammdaten!$A$11:$B$25,2,FALSE)</f>
        <v>Kefir 500ml</v>
      </c>
      <c r="E164" s="3" t="str">
        <f>VLOOKUP(C164,Stammdaten!$A$11:$C$25,3,FALSE)</f>
        <v>Milch</v>
      </c>
      <c r="F164" s="19">
        <f>VLOOKUP(C164,Stammdaten!$A$11:$D$25,4,FALSE)</f>
        <v>1.39</v>
      </c>
      <c r="G164" s="4">
        <f t="shared" si="26"/>
        <v>4</v>
      </c>
      <c r="H164" s="20" t="str">
        <f>VLOOKUP(G164,Stammdaten!$A$30:$B$41,2,FALSE)</f>
        <v>April</v>
      </c>
      <c r="I164" s="4">
        <v>188</v>
      </c>
      <c r="J164" s="4">
        <v>196</v>
      </c>
      <c r="K164" s="4">
        <f t="shared" si="27"/>
        <v>8</v>
      </c>
      <c r="L164" s="27">
        <f t="shared" si="28"/>
        <v>4.2553191489361701</v>
      </c>
      <c r="M164" s="52" t="str">
        <f t="shared" si="29"/>
        <v>Überbestand</v>
      </c>
      <c r="N164" s="28">
        <f t="shared" si="30"/>
        <v>11.12</v>
      </c>
      <c r="O164" s="5">
        <v>8</v>
      </c>
      <c r="P164" s="4">
        <v>2</v>
      </c>
      <c r="Q164" s="28">
        <f t="shared" si="31"/>
        <v>0</v>
      </c>
      <c r="R164" s="50">
        <f t="shared" si="32"/>
        <v>0</v>
      </c>
      <c r="S164" s="2" t="str">
        <f t="shared" si="33"/>
        <v>Ostern</v>
      </c>
      <c r="T164" s="4">
        <v>8</v>
      </c>
      <c r="U164" s="4" t="str">
        <f t="shared" si="34"/>
        <v>Nein</v>
      </c>
      <c r="V164" s="4">
        <f t="shared" si="35"/>
        <v>0</v>
      </c>
      <c r="W164" s="19">
        <f t="shared" si="36"/>
        <v>1.39</v>
      </c>
      <c r="X164" s="5">
        <v>0</v>
      </c>
      <c r="Y164" s="28">
        <f t="shared" si="37"/>
        <v>0</v>
      </c>
      <c r="Z164" s="31" t="s">
        <v>172</v>
      </c>
      <c r="AA164" t="str">
        <f t="shared" si="38"/>
        <v>Kassenfehler (Überbestand)</v>
      </c>
    </row>
    <row r="165" spans="1:27" x14ac:dyDescent="0.35">
      <c r="A165" s="32" t="s">
        <v>14</v>
      </c>
      <c r="B165" s="2" t="str">
        <f>VLOOKUP(A165,Stammdaten!$A$3:$B$7,2,FALSE)</f>
        <v>Filiale Nord</v>
      </c>
      <c r="C165" s="3" t="str" cm="1">
        <f t="array" ref="C165">INDEX(Stammdaten!$A$11:$A$25,INT((ROW()-5)/12)+1 - INT((ROW()-5)/180)*15)</f>
        <v>A014</v>
      </c>
      <c r="D165" s="2" t="str">
        <f>VLOOKUP(C165,Stammdaten!$A$11:$B$25,2,FALSE)</f>
        <v>Kefir 500ml</v>
      </c>
      <c r="E165" s="3" t="str">
        <f>VLOOKUP(C165,Stammdaten!$A$11:$C$25,3,FALSE)</f>
        <v>Milch</v>
      </c>
      <c r="F165" s="19">
        <f>VLOOKUP(C165,Stammdaten!$A$11:$D$25,4,FALSE)</f>
        <v>1.39</v>
      </c>
      <c r="G165" s="4">
        <f t="shared" si="26"/>
        <v>5</v>
      </c>
      <c r="H165" s="20" t="str">
        <f>VLOOKUP(G165,Stammdaten!$A$30:$B$41,2,FALSE)</f>
        <v>Mai</v>
      </c>
      <c r="I165" s="4">
        <v>144</v>
      </c>
      <c r="J165" s="4">
        <v>138</v>
      </c>
      <c r="K165" s="4">
        <f t="shared" si="27"/>
        <v>-6</v>
      </c>
      <c r="L165" s="27">
        <f t="shared" si="28"/>
        <v>-4.1666666666666661</v>
      </c>
      <c r="M165" s="52" t="str">
        <f t="shared" si="29"/>
        <v>Schwund</v>
      </c>
      <c r="N165" s="28">
        <f t="shared" si="30"/>
        <v>8.34</v>
      </c>
      <c r="O165" s="5">
        <v>9</v>
      </c>
      <c r="P165" s="4">
        <v>3</v>
      </c>
      <c r="Q165" s="28">
        <f t="shared" si="31"/>
        <v>2.085</v>
      </c>
      <c r="R165" s="50">
        <f t="shared" si="32"/>
        <v>2.5019999999999998</v>
      </c>
      <c r="S165" s="2" t="str">
        <f t="shared" si="33"/>
        <v>Normal</v>
      </c>
      <c r="T165" s="4">
        <v>0</v>
      </c>
      <c r="U165" s="4" t="str">
        <f t="shared" si="34"/>
        <v>Nein</v>
      </c>
      <c r="V165" s="4">
        <f t="shared" si="35"/>
        <v>0</v>
      </c>
      <c r="W165" s="19">
        <f t="shared" si="36"/>
        <v>1.39</v>
      </c>
      <c r="X165" s="5">
        <v>0</v>
      </c>
      <c r="Y165" s="28">
        <f t="shared" si="37"/>
        <v>0</v>
      </c>
      <c r="Z165" s="31" t="s">
        <v>172</v>
      </c>
      <c r="AA165" t="str">
        <f t="shared" si="38"/>
        <v>Prozessfehler</v>
      </c>
    </row>
    <row r="166" spans="1:27" x14ac:dyDescent="0.35">
      <c r="A166" s="32" t="s">
        <v>14</v>
      </c>
      <c r="B166" s="2" t="str">
        <f>VLOOKUP(A166,Stammdaten!$A$3:$B$7,2,FALSE)</f>
        <v>Filiale Nord</v>
      </c>
      <c r="C166" s="3" t="str" cm="1">
        <f t="array" ref="C166">INDEX(Stammdaten!$A$11:$A$25,INT((ROW()-5)/12)+1 - INT((ROW()-5)/180)*15)</f>
        <v>A014</v>
      </c>
      <c r="D166" s="2" t="str">
        <f>VLOOKUP(C166,Stammdaten!$A$11:$B$25,2,FALSE)</f>
        <v>Kefir 500ml</v>
      </c>
      <c r="E166" s="3" t="str">
        <f>VLOOKUP(C166,Stammdaten!$A$11:$C$25,3,FALSE)</f>
        <v>Milch</v>
      </c>
      <c r="F166" s="19">
        <f>VLOOKUP(C166,Stammdaten!$A$11:$D$25,4,FALSE)</f>
        <v>1.39</v>
      </c>
      <c r="G166" s="4">
        <f t="shared" si="26"/>
        <v>6</v>
      </c>
      <c r="H166" s="20" t="str">
        <f>VLOOKUP(G166,Stammdaten!$A$30:$B$41,2,FALSE)</f>
        <v>Juni</v>
      </c>
      <c r="I166" s="4">
        <v>173</v>
      </c>
      <c r="J166" s="4">
        <v>166</v>
      </c>
      <c r="K166" s="4">
        <f t="shared" si="27"/>
        <v>-7</v>
      </c>
      <c r="L166" s="27">
        <f t="shared" si="28"/>
        <v>-4.0462427745664744</v>
      </c>
      <c r="M166" s="52" t="str">
        <f t="shared" si="29"/>
        <v>Schwund</v>
      </c>
      <c r="N166" s="28">
        <f t="shared" si="30"/>
        <v>9.7299999999999986</v>
      </c>
      <c r="O166" s="5">
        <v>0</v>
      </c>
      <c r="P166" s="4">
        <v>2</v>
      </c>
      <c r="Q166" s="28">
        <f t="shared" si="31"/>
        <v>2.4324999999999997</v>
      </c>
      <c r="R166" s="50">
        <f t="shared" si="32"/>
        <v>2.9189999999999996</v>
      </c>
      <c r="S166" s="2" t="str">
        <f t="shared" si="33"/>
        <v>Normal</v>
      </c>
      <c r="T166" s="4">
        <v>0</v>
      </c>
      <c r="U166" s="4" t="str">
        <f t="shared" si="34"/>
        <v>Abschreibung</v>
      </c>
      <c r="V166" s="4">
        <f t="shared" si="35"/>
        <v>100</v>
      </c>
      <c r="W166" s="19">
        <f t="shared" si="36"/>
        <v>0</v>
      </c>
      <c r="X166" s="5">
        <v>5</v>
      </c>
      <c r="Y166" s="28">
        <f t="shared" si="37"/>
        <v>6.95</v>
      </c>
      <c r="Z166" s="31" t="s">
        <v>164</v>
      </c>
      <c r="AA166" t="str">
        <f t="shared" si="38"/>
        <v>Verderb - Abgelaufen</v>
      </c>
    </row>
    <row r="167" spans="1:27" x14ac:dyDescent="0.35">
      <c r="A167" s="32" t="s">
        <v>14</v>
      </c>
      <c r="B167" s="2" t="str">
        <f>VLOOKUP(A167,Stammdaten!$A$3:$B$7,2,FALSE)</f>
        <v>Filiale Nord</v>
      </c>
      <c r="C167" s="3" t="str" cm="1">
        <f t="array" ref="C167">INDEX(Stammdaten!$A$11:$A$25,INT((ROW()-5)/12)+1 - INT((ROW()-5)/180)*15)</f>
        <v>A014</v>
      </c>
      <c r="D167" s="2" t="str">
        <f>VLOOKUP(C167,Stammdaten!$A$11:$B$25,2,FALSE)</f>
        <v>Kefir 500ml</v>
      </c>
      <c r="E167" s="3" t="str">
        <f>VLOOKUP(C167,Stammdaten!$A$11:$C$25,3,FALSE)</f>
        <v>Milch</v>
      </c>
      <c r="F167" s="19">
        <f>VLOOKUP(C167,Stammdaten!$A$11:$D$25,4,FALSE)</f>
        <v>1.39</v>
      </c>
      <c r="G167" s="4">
        <f t="shared" si="26"/>
        <v>7</v>
      </c>
      <c r="H167" s="20" t="str">
        <f>VLOOKUP(G167,Stammdaten!$A$30:$B$41,2,FALSE)</f>
        <v>Juli</v>
      </c>
      <c r="I167" s="4">
        <v>175</v>
      </c>
      <c r="J167" s="4">
        <v>167</v>
      </c>
      <c r="K167" s="4">
        <f t="shared" si="27"/>
        <v>-8</v>
      </c>
      <c r="L167" s="27">
        <f t="shared" si="28"/>
        <v>-4.5714285714285712</v>
      </c>
      <c r="M167" s="52" t="str">
        <f t="shared" si="29"/>
        <v>Schwund</v>
      </c>
      <c r="N167" s="28">
        <f t="shared" si="30"/>
        <v>11.12</v>
      </c>
      <c r="O167" s="5">
        <v>2</v>
      </c>
      <c r="P167" s="4">
        <v>3</v>
      </c>
      <c r="Q167" s="28">
        <f t="shared" si="31"/>
        <v>2.78</v>
      </c>
      <c r="R167" s="50">
        <f t="shared" si="32"/>
        <v>3.3359999999999999</v>
      </c>
      <c r="S167" s="2" t="str">
        <f t="shared" si="33"/>
        <v>Normal</v>
      </c>
      <c r="T167" s="4">
        <v>0</v>
      </c>
      <c r="U167" s="4" t="str">
        <f t="shared" si="34"/>
        <v>Ja - 20% Reduzierung</v>
      </c>
      <c r="V167" s="4">
        <f t="shared" si="35"/>
        <v>20</v>
      </c>
      <c r="W167" s="19">
        <f t="shared" si="36"/>
        <v>1.1100000000000001</v>
      </c>
      <c r="X167" s="5">
        <v>12</v>
      </c>
      <c r="Y167" s="28">
        <f t="shared" si="37"/>
        <v>3.34</v>
      </c>
      <c r="Z167" s="31" t="s">
        <v>173</v>
      </c>
      <c r="AA167" t="str">
        <f t="shared" si="38"/>
        <v>Prozessfehler</v>
      </c>
    </row>
    <row r="168" spans="1:27" x14ac:dyDescent="0.35">
      <c r="A168" s="32" t="s">
        <v>14</v>
      </c>
      <c r="B168" s="2" t="str">
        <f>VLOOKUP(A168,Stammdaten!$A$3:$B$7,2,FALSE)</f>
        <v>Filiale Nord</v>
      </c>
      <c r="C168" s="3" t="str" cm="1">
        <f t="array" ref="C168">INDEX(Stammdaten!$A$11:$A$25,INT((ROW()-5)/12)+1 - INT((ROW()-5)/180)*15)</f>
        <v>A014</v>
      </c>
      <c r="D168" s="2" t="str">
        <f>VLOOKUP(C168,Stammdaten!$A$11:$B$25,2,FALSE)</f>
        <v>Kefir 500ml</v>
      </c>
      <c r="E168" s="3" t="str">
        <f>VLOOKUP(C168,Stammdaten!$A$11:$C$25,3,FALSE)</f>
        <v>Milch</v>
      </c>
      <c r="F168" s="19">
        <f>VLOOKUP(C168,Stammdaten!$A$11:$D$25,4,FALSE)</f>
        <v>1.39</v>
      </c>
      <c r="G168" s="4">
        <f t="shared" si="26"/>
        <v>8</v>
      </c>
      <c r="H168" s="20" t="str">
        <f>VLOOKUP(G168,Stammdaten!$A$30:$B$41,2,FALSE)</f>
        <v>August</v>
      </c>
      <c r="I168" s="4">
        <v>169</v>
      </c>
      <c r="J168" s="4">
        <v>175</v>
      </c>
      <c r="K168" s="4">
        <f t="shared" si="27"/>
        <v>6</v>
      </c>
      <c r="L168" s="27">
        <f t="shared" si="28"/>
        <v>3.5502958579881656</v>
      </c>
      <c r="M168" s="52" t="str">
        <f t="shared" si="29"/>
        <v>Überbestand</v>
      </c>
      <c r="N168" s="28">
        <f t="shared" si="30"/>
        <v>8.34</v>
      </c>
      <c r="O168" s="5">
        <v>4</v>
      </c>
      <c r="P168" s="4">
        <v>4</v>
      </c>
      <c r="Q168" s="28">
        <f t="shared" si="31"/>
        <v>0</v>
      </c>
      <c r="R168" s="50">
        <f t="shared" si="32"/>
        <v>0</v>
      </c>
      <c r="S168" s="2" t="str">
        <f t="shared" si="33"/>
        <v>Normal</v>
      </c>
      <c r="T168" s="4">
        <v>6</v>
      </c>
      <c r="U168" s="4" t="str">
        <f t="shared" si="34"/>
        <v>Nein</v>
      </c>
      <c r="V168" s="4">
        <f t="shared" si="35"/>
        <v>0</v>
      </c>
      <c r="W168" s="19">
        <f t="shared" si="36"/>
        <v>1.39</v>
      </c>
      <c r="X168" s="5">
        <v>0</v>
      </c>
      <c r="Y168" s="28">
        <f t="shared" si="37"/>
        <v>0</v>
      </c>
      <c r="Z168" s="31" t="s">
        <v>172</v>
      </c>
      <c r="AA168" t="str">
        <f t="shared" si="38"/>
        <v>Kassenfehler (Überbestand)</v>
      </c>
    </row>
    <row r="169" spans="1:27" x14ac:dyDescent="0.35">
      <c r="A169" s="32" t="s">
        <v>14</v>
      </c>
      <c r="B169" s="2" t="str">
        <f>VLOOKUP(A169,Stammdaten!$A$3:$B$7,2,FALSE)</f>
        <v>Filiale Nord</v>
      </c>
      <c r="C169" s="3" t="str" cm="1">
        <f t="array" ref="C169">INDEX(Stammdaten!$A$11:$A$25,INT((ROW()-5)/12)+1 - INT((ROW()-5)/180)*15)</f>
        <v>A014</v>
      </c>
      <c r="D169" s="2" t="str">
        <f>VLOOKUP(C169,Stammdaten!$A$11:$B$25,2,FALSE)</f>
        <v>Kefir 500ml</v>
      </c>
      <c r="E169" s="3" t="str">
        <f>VLOOKUP(C169,Stammdaten!$A$11:$C$25,3,FALSE)</f>
        <v>Milch</v>
      </c>
      <c r="F169" s="19">
        <f>VLOOKUP(C169,Stammdaten!$A$11:$D$25,4,FALSE)</f>
        <v>1.39</v>
      </c>
      <c r="G169" s="4">
        <f t="shared" si="26"/>
        <v>9</v>
      </c>
      <c r="H169" s="20" t="str">
        <f>VLOOKUP(G169,Stammdaten!$A$30:$B$41,2,FALSE)</f>
        <v>September</v>
      </c>
      <c r="I169" s="4">
        <v>148</v>
      </c>
      <c r="J169" s="4">
        <v>144</v>
      </c>
      <c r="K169" s="4">
        <f t="shared" si="27"/>
        <v>-4</v>
      </c>
      <c r="L169" s="27">
        <f t="shared" si="28"/>
        <v>-2.7027027027027026</v>
      </c>
      <c r="M169" s="52" t="str">
        <f t="shared" si="29"/>
        <v>Schwund</v>
      </c>
      <c r="N169" s="28">
        <f t="shared" si="30"/>
        <v>5.56</v>
      </c>
      <c r="O169" s="5">
        <v>2</v>
      </c>
      <c r="P169" s="4">
        <v>2</v>
      </c>
      <c r="Q169" s="28">
        <f t="shared" si="31"/>
        <v>1.39</v>
      </c>
      <c r="R169" s="50">
        <f t="shared" si="32"/>
        <v>1.6679999999999999</v>
      </c>
      <c r="S169" s="2" t="str">
        <f t="shared" si="33"/>
        <v>Normal</v>
      </c>
      <c r="T169" s="4">
        <v>0</v>
      </c>
      <c r="U169" s="4" t="str">
        <f t="shared" si="34"/>
        <v>Ja - 20% Reduzierung</v>
      </c>
      <c r="V169" s="4">
        <f t="shared" si="35"/>
        <v>20</v>
      </c>
      <c r="W169" s="19">
        <f t="shared" si="36"/>
        <v>1.1100000000000001</v>
      </c>
      <c r="X169" s="5">
        <v>10</v>
      </c>
      <c r="Y169" s="28">
        <f t="shared" si="37"/>
        <v>2.78</v>
      </c>
      <c r="Z169" s="31" t="s">
        <v>173</v>
      </c>
      <c r="AA169" t="str">
        <f t="shared" si="38"/>
        <v>Prozessfehler</v>
      </c>
    </row>
    <row r="170" spans="1:27" x14ac:dyDescent="0.35">
      <c r="A170" s="32" t="s">
        <v>14</v>
      </c>
      <c r="B170" s="2" t="str">
        <f>VLOOKUP(A170,Stammdaten!$A$3:$B$7,2,FALSE)</f>
        <v>Filiale Nord</v>
      </c>
      <c r="C170" s="3" t="str" cm="1">
        <f t="array" ref="C170">INDEX(Stammdaten!$A$11:$A$25,INT((ROW()-5)/12)+1 - INT((ROW()-5)/180)*15)</f>
        <v>A014</v>
      </c>
      <c r="D170" s="2" t="str">
        <f>VLOOKUP(C170,Stammdaten!$A$11:$B$25,2,FALSE)</f>
        <v>Kefir 500ml</v>
      </c>
      <c r="E170" s="3" t="str">
        <f>VLOOKUP(C170,Stammdaten!$A$11:$C$25,3,FALSE)</f>
        <v>Milch</v>
      </c>
      <c r="F170" s="19">
        <f>VLOOKUP(C170,Stammdaten!$A$11:$D$25,4,FALSE)</f>
        <v>1.39</v>
      </c>
      <c r="G170" s="4">
        <f t="shared" si="26"/>
        <v>10</v>
      </c>
      <c r="H170" s="20" t="str">
        <f>VLOOKUP(G170,Stammdaten!$A$30:$B$41,2,FALSE)</f>
        <v>Oktober</v>
      </c>
      <c r="I170" s="4">
        <v>144</v>
      </c>
      <c r="J170" s="4">
        <v>139</v>
      </c>
      <c r="K170" s="4">
        <f t="shared" si="27"/>
        <v>-5</v>
      </c>
      <c r="L170" s="27">
        <f t="shared" si="28"/>
        <v>-3.4722222222222223</v>
      </c>
      <c r="M170" s="52" t="str">
        <f t="shared" si="29"/>
        <v>Schwund</v>
      </c>
      <c r="N170" s="28">
        <f t="shared" si="30"/>
        <v>6.9499999999999993</v>
      </c>
      <c r="O170" s="5">
        <v>3</v>
      </c>
      <c r="P170" s="4">
        <v>0</v>
      </c>
      <c r="Q170" s="28">
        <f t="shared" si="31"/>
        <v>1.7374999999999998</v>
      </c>
      <c r="R170" s="50">
        <f t="shared" si="32"/>
        <v>2.0849999999999995</v>
      </c>
      <c r="S170" s="2" t="str">
        <f t="shared" si="33"/>
        <v>Normal</v>
      </c>
      <c r="T170" s="4">
        <v>0</v>
      </c>
      <c r="U170" s="4" t="str">
        <f t="shared" si="34"/>
        <v>Ja - 20% Reduzierung</v>
      </c>
      <c r="V170" s="4">
        <f t="shared" si="35"/>
        <v>20</v>
      </c>
      <c r="W170" s="19">
        <f t="shared" si="36"/>
        <v>1.1100000000000001</v>
      </c>
      <c r="X170" s="5">
        <v>12</v>
      </c>
      <c r="Y170" s="28">
        <f t="shared" si="37"/>
        <v>3.34</v>
      </c>
      <c r="Z170" s="31" t="s">
        <v>173</v>
      </c>
      <c r="AA170" t="str">
        <f t="shared" si="38"/>
        <v>Buchungsfehler Wareneingang</v>
      </c>
    </row>
    <row r="171" spans="1:27" x14ac:dyDescent="0.35">
      <c r="A171" s="32" t="s">
        <v>14</v>
      </c>
      <c r="B171" s="2" t="str">
        <f>VLOOKUP(A171,Stammdaten!$A$3:$B$7,2,FALSE)</f>
        <v>Filiale Nord</v>
      </c>
      <c r="C171" s="3" t="str" cm="1">
        <f t="array" ref="C171">INDEX(Stammdaten!$A$11:$A$25,INT((ROW()-5)/12)+1 - INT((ROW()-5)/180)*15)</f>
        <v>A014</v>
      </c>
      <c r="D171" s="2" t="str">
        <f>VLOOKUP(C171,Stammdaten!$A$11:$B$25,2,FALSE)</f>
        <v>Kefir 500ml</v>
      </c>
      <c r="E171" s="3" t="str">
        <f>VLOOKUP(C171,Stammdaten!$A$11:$C$25,3,FALSE)</f>
        <v>Milch</v>
      </c>
      <c r="F171" s="19">
        <f>VLOOKUP(C171,Stammdaten!$A$11:$D$25,4,FALSE)</f>
        <v>1.39</v>
      </c>
      <c r="G171" s="4">
        <f t="shared" si="26"/>
        <v>11</v>
      </c>
      <c r="H171" s="20" t="str">
        <f>VLOOKUP(G171,Stammdaten!$A$30:$B$41,2,FALSE)</f>
        <v>November</v>
      </c>
      <c r="I171" s="4">
        <v>173</v>
      </c>
      <c r="J171" s="4">
        <v>166</v>
      </c>
      <c r="K171" s="4">
        <f t="shared" si="27"/>
        <v>-7</v>
      </c>
      <c r="L171" s="27">
        <f t="shared" si="28"/>
        <v>-4.0462427745664744</v>
      </c>
      <c r="M171" s="52" t="str">
        <f t="shared" si="29"/>
        <v>Schwund</v>
      </c>
      <c r="N171" s="28">
        <f t="shared" si="30"/>
        <v>9.7299999999999986</v>
      </c>
      <c r="O171" s="5">
        <v>4</v>
      </c>
      <c r="P171" s="4">
        <v>0</v>
      </c>
      <c r="Q171" s="28">
        <f t="shared" si="31"/>
        <v>2.4324999999999997</v>
      </c>
      <c r="R171" s="50">
        <f t="shared" si="32"/>
        <v>2.9189999999999996</v>
      </c>
      <c r="S171" s="2" t="str">
        <f t="shared" si="33"/>
        <v>Black Friday</v>
      </c>
      <c r="T171" s="4">
        <v>0</v>
      </c>
      <c r="U171" s="4" t="str">
        <f t="shared" si="34"/>
        <v>Nein</v>
      </c>
      <c r="V171" s="4">
        <f t="shared" si="35"/>
        <v>0</v>
      </c>
      <c r="W171" s="19">
        <f t="shared" si="36"/>
        <v>1.39</v>
      </c>
      <c r="X171" s="5">
        <v>0</v>
      </c>
      <c r="Y171" s="28">
        <f t="shared" si="37"/>
        <v>0</v>
      </c>
      <c r="Z171" s="31" t="s">
        <v>172</v>
      </c>
      <c r="AA171" t="str">
        <f t="shared" si="38"/>
        <v>Buchungsfehler Wareneingang</v>
      </c>
    </row>
    <row r="172" spans="1:27" x14ac:dyDescent="0.35">
      <c r="A172" s="32" t="s">
        <v>14</v>
      </c>
      <c r="B172" s="2" t="str">
        <f>VLOOKUP(A172,Stammdaten!$A$3:$B$7,2,FALSE)</f>
        <v>Filiale Nord</v>
      </c>
      <c r="C172" s="3" t="str" cm="1">
        <f t="array" ref="C172">INDEX(Stammdaten!$A$11:$A$25,INT((ROW()-5)/12)+1 - INT((ROW()-5)/180)*15)</f>
        <v>A014</v>
      </c>
      <c r="D172" s="2" t="str">
        <f>VLOOKUP(C172,Stammdaten!$A$11:$B$25,2,FALSE)</f>
        <v>Kefir 500ml</v>
      </c>
      <c r="E172" s="3" t="str">
        <f>VLOOKUP(C172,Stammdaten!$A$11:$C$25,3,FALSE)</f>
        <v>Milch</v>
      </c>
      <c r="F172" s="19">
        <f>VLOOKUP(C172,Stammdaten!$A$11:$D$25,4,FALSE)</f>
        <v>1.39</v>
      </c>
      <c r="G172" s="4">
        <f t="shared" si="26"/>
        <v>12</v>
      </c>
      <c r="H172" s="20" t="str">
        <f>VLOOKUP(G172,Stammdaten!$A$30:$B$41,2,FALSE)</f>
        <v>Dezember</v>
      </c>
      <c r="I172" s="4">
        <v>216</v>
      </c>
      <c r="J172" s="4">
        <v>216</v>
      </c>
      <c r="K172" s="4">
        <f t="shared" si="27"/>
        <v>0</v>
      </c>
      <c r="L172" s="27">
        <f t="shared" si="28"/>
        <v>0</v>
      </c>
      <c r="M172" s="52" t="str">
        <f t="shared" si="29"/>
        <v>Perfekt</v>
      </c>
      <c r="N172" s="28">
        <f t="shared" si="30"/>
        <v>0</v>
      </c>
      <c r="O172" s="5">
        <v>4</v>
      </c>
      <c r="P172" s="4">
        <v>1</v>
      </c>
      <c r="Q172" s="28">
        <f t="shared" si="31"/>
        <v>0</v>
      </c>
      <c r="R172" s="50">
        <f t="shared" si="32"/>
        <v>0</v>
      </c>
      <c r="S172" s="2" t="str">
        <f t="shared" si="33"/>
        <v>Weihnachten/Silvester</v>
      </c>
      <c r="T172" s="4">
        <v>0</v>
      </c>
      <c r="U172" s="4" t="str">
        <f t="shared" si="34"/>
        <v>Nein</v>
      </c>
      <c r="V172" s="4">
        <f t="shared" si="35"/>
        <v>0</v>
      </c>
      <c r="W172" s="19">
        <f t="shared" si="36"/>
        <v>1.39</v>
      </c>
      <c r="X172" s="5">
        <v>0</v>
      </c>
      <c r="Y172" s="28">
        <f t="shared" si="37"/>
        <v>0</v>
      </c>
      <c r="Z172" s="31" t="s">
        <v>172</v>
      </c>
      <c r="AA172" t="str">
        <f t="shared" si="38"/>
        <v>Normal/Gering</v>
      </c>
    </row>
    <row r="173" spans="1:27" x14ac:dyDescent="0.35">
      <c r="A173" s="32" t="s">
        <v>14</v>
      </c>
      <c r="B173" s="2" t="str">
        <f>VLOOKUP(A173,Stammdaten!$A$3:$B$7,2,FALSE)</f>
        <v>Filiale Nord</v>
      </c>
      <c r="C173" s="3" t="str" cm="1">
        <f t="array" ref="C173">INDEX(Stammdaten!$A$11:$A$25,INT((ROW()-5)/12)+1 - INT((ROW()-5)/180)*15)</f>
        <v>A015</v>
      </c>
      <c r="D173" s="2" t="str">
        <f>VLOOKUP(C173,Stammdaten!$A$11:$B$25,2,FALSE)</f>
        <v>Frischkäse 200g</v>
      </c>
      <c r="E173" s="3" t="str">
        <f>VLOOKUP(C173,Stammdaten!$A$11:$C$25,3,FALSE)</f>
        <v>Käse</v>
      </c>
      <c r="F173" s="19">
        <f>VLOOKUP(C173,Stammdaten!$A$11:$D$25,4,FALSE)</f>
        <v>1.49</v>
      </c>
      <c r="G173" s="4">
        <f t="shared" si="26"/>
        <v>1</v>
      </c>
      <c r="H173" s="20" t="str">
        <f>VLOOKUP(G173,Stammdaten!$A$30:$B$41,2,FALSE)</f>
        <v>Januar</v>
      </c>
      <c r="I173" s="4">
        <v>180</v>
      </c>
      <c r="J173" s="4">
        <v>186</v>
      </c>
      <c r="K173" s="4">
        <f t="shared" si="27"/>
        <v>6</v>
      </c>
      <c r="L173" s="27">
        <f t="shared" si="28"/>
        <v>3.3333333333333335</v>
      </c>
      <c r="M173" s="52" t="str">
        <f t="shared" si="29"/>
        <v>Überbestand</v>
      </c>
      <c r="N173" s="28">
        <f t="shared" si="30"/>
        <v>8.94</v>
      </c>
      <c r="O173" s="5">
        <v>11</v>
      </c>
      <c r="P173" s="4">
        <v>5</v>
      </c>
      <c r="Q173" s="28">
        <f t="shared" si="31"/>
        <v>0</v>
      </c>
      <c r="R173" s="50">
        <f t="shared" si="32"/>
        <v>0</v>
      </c>
      <c r="S173" s="2" t="str">
        <f t="shared" si="33"/>
        <v>Normal</v>
      </c>
      <c r="T173" s="4">
        <v>6</v>
      </c>
      <c r="U173" s="4" t="str">
        <f t="shared" si="34"/>
        <v>Nein</v>
      </c>
      <c r="V173" s="4">
        <f t="shared" si="35"/>
        <v>0</v>
      </c>
      <c r="W173" s="19">
        <f t="shared" si="36"/>
        <v>1.49</v>
      </c>
      <c r="X173" s="5">
        <v>0</v>
      </c>
      <c r="Y173" s="28">
        <f t="shared" si="37"/>
        <v>0</v>
      </c>
      <c r="Z173" s="31" t="s">
        <v>172</v>
      </c>
      <c r="AA173" t="str">
        <f t="shared" si="38"/>
        <v>Kassenfehler (Überbestand)</v>
      </c>
    </row>
    <row r="174" spans="1:27" x14ac:dyDescent="0.35">
      <c r="A174" s="32" t="s">
        <v>14</v>
      </c>
      <c r="B174" s="2" t="str">
        <f>VLOOKUP(A174,Stammdaten!$A$3:$B$7,2,FALSE)</f>
        <v>Filiale Nord</v>
      </c>
      <c r="C174" s="3" t="str" cm="1">
        <f t="array" ref="C174">INDEX(Stammdaten!$A$11:$A$25,INT((ROW()-5)/12)+1 - INT((ROW()-5)/180)*15)</f>
        <v>A015</v>
      </c>
      <c r="D174" s="2" t="str">
        <f>VLOOKUP(C174,Stammdaten!$A$11:$B$25,2,FALSE)</f>
        <v>Frischkäse 200g</v>
      </c>
      <c r="E174" s="3" t="str">
        <f>VLOOKUP(C174,Stammdaten!$A$11:$C$25,3,FALSE)</f>
        <v>Käse</v>
      </c>
      <c r="F174" s="19">
        <f>VLOOKUP(C174,Stammdaten!$A$11:$D$25,4,FALSE)</f>
        <v>1.49</v>
      </c>
      <c r="G174" s="4">
        <f t="shared" si="26"/>
        <v>2</v>
      </c>
      <c r="H174" s="20" t="str">
        <f>VLOOKUP(G174,Stammdaten!$A$30:$B$41,2,FALSE)</f>
        <v>Februar</v>
      </c>
      <c r="I174" s="4">
        <v>177</v>
      </c>
      <c r="J174" s="4">
        <v>174</v>
      </c>
      <c r="K174" s="4">
        <f t="shared" si="27"/>
        <v>-3</v>
      </c>
      <c r="L174" s="27">
        <f t="shared" si="28"/>
        <v>-1.6949152542372881</v>
      </c>
      <c r="M174" s="52" t="str">
        <f t="shared" si="29"/>
        <v>Schwund</v>
      </c>
      <c r="N174" s="28">
        <f t="shared" si="30"/>
        <v>4.47</v>
      </c>
      <c r="O174" s="5">
        <v>16</v>
      </c>
      <c r="P174" s="4">
        <v>6</v>
      </c>
      <c r="Q174" s="28">
        <f t="shared" si="31"/>
        <v>1.1174999999999999</v>
      </c>
      <c r="R174" s="50">
        <f t="shared" si="32"/>
        <v>1.341</v>
      </c>
      <c r="S174" s="2" t="str">
        <f t="shared" si="33"/>
        <v>Karneval</v>
      </c>
      <c r="T174" s="4">
        <v>0</v>
      </c>
      <c r="U174" s="4" t="str">
        <f t="shared" si="34"/>
        <v>Nein</v>
      </c>
      <c r="V174" s="4">
        <f t="shared" si="35"/>
        <v>0</v>
      </c>
      <c r="W174" s="19">
        <f t="shared" si="36"/>
        <v>1.49</v>
      </c>
      <c r="X174" s="5">
        <v>0</v>
      </c>
      <c r="Y174" s="28">
        <f t="shared" si="37"/>
        <v>0</v>
      </c>
      <c r="Z174" s="31" t="s">
        <v>172</v>
      </c>
      <c r="AA174" t="str">
        <f t="shared" si="38"/>
        <v>Normal/Gering</v>
      </c>
    </row>
    <row r="175" spans="1:27" x14ac:dyDescent="0.35">
      <c r="A175" s="32" t="s">
        <v>14</v>
      </c>
      <c r="B175" s="2" t="str">
        <f>VLOOKUP(A175,Stammdaten!$A$3:$B$7,2,FALSE)</f>
        <v>Filiale Nord</v>
      </c>
      <c r="C175" s="3" t="str" cm="1">
        <f t="array" ref="C175">INDEX(Stammdaten!$A$11:$A$25,INT((ROW()-5)/12)+1 - INT((ROW()-5)/180)*15)</f>
        <v>A015</v>
      </c>
      <c r="D175" s="2" t="str">
        <f>VLOOKUP(C175,Stammdaten!$A$11:$B$25,2,FALSE)</f>
        <v>Frischkäse 200g</v>
      </c>
      <c r="E175" s="3" t="str">
        <f>VLOOKUP(C175,Stammdaten!$A$11:$C$25,3,FALSE)</f>
        <v>Käse</v>
      </c>
      <c r="F175" s="19">
        <f>VLOOKUP(C175,Stammdaten!$A$11:$D$25,4,FALSE)</f>
        <v>1.49</v>
      </c>
      <c r="G175" s="4">
        <f t="shared" si="26"/>
        <v>3</v>
      </c>
      <c r="H175" s="20" t="str">
        <f>VLOOKUP(G175,Stammdaten!$A$30:$B$41,2,FALSE)</f>
        <v>März</v>
      </c>
      <c r="I175" s="4">
        <v>218</v>
      </c>
      <c r="J175" s="4">
        <v>212</v>
      </c>
      <c r="K175" s="4">
        <f t="shared" si="27"/>
        <v>-6</v>
      </c>
      <c r="L175" s="27">
        <f t="shared" si="28"/>
        <v>-2.7522935779816518</v>
      </c>
      <c r="M175" s="52" t="str">
        <f t="shared" si="29"/>
        <v>Schwund</v>
      </c>
      <c r="N175" s="28">
        <f t="shared" si="30"/>
        <v>8.94</v>
      </c>
      <c r="O175" s="5">
        <v>12</v>
      </c>
      <c r="P175" s="4">
        <v>6</v>
      </c>
      <c r="Q175" s="28">
        <f t="shared" si="31"/>
        <v>2.2349999999999999</v>
      </c>
      <c r="R175" s="50">
        <f t="shared" si="32"/>
        <v>2.6819999999999999</v>
      </c>
      <c r="S175" s="2" t="str">
        <f t="shared" si="33"/>
        <v>Normal</v>
      </c>
      <c r="T175" s="4">
        <v>0</v>
      </c>
      <c r="U175" s="4" t="str">
        <f t="shared" si="34"/>
        <v>Nein</v>
      </c>
      <c r="V175" s="4">
        <f t="shared" si="35"/>
        <v>0</v>
      </c>
      <c r="W175" s="19">
        <f t="shared" si="36"/>
        <v>1.49</v>
      </c>
      <c r="X175" s="5">
        <v>0</v>
      </c>
      <c r="Y175" s="28">
        <f t="shared" si="37"/>
        <v>0</v>
      </c>
      <c r="Z175" s="31" t="s">
        <v>172</v>
      </c>
      <c r="AA175" t="str">
        <f t="shared" si="38"/>
        <v>Prozessfehler</v>
      </c>
    </row>
    <row r="176" spans="1:27" x14ac:dyDescent="0.35">
      <c r="A176" s="32" t="s">
        <v>14</v>
      </c>
      <c r="B176" s="2" t="str">
        <f>VLOOKUP(A176,Stammdaten!$A$3:$B$7,2,FALSE)</f>
        <v>Filiale Nord</v>
      </c>
      <c r="C176" s="3" t="str" cm="1">
        <f t="array" ref="C176">INDEX(Stammdaten!$A$11:$A$25,INT((ROW()-5)/12)+1 - INT((ROW()-5)/180)*15)</f>
        <v>A015</v>
      </c>
      <c r="D176" s="2" t="str">
        <f>VLOOKUP(C176,Stammdaten!$A$11:$B$25,2,FALSE)</f>
        <v>Frischkäse 200g</v>
      </c>
      <c r="E176" s="3" t="str">
        <f>VLOOKUP(C176,Stammdaten!$A$11:$C$25,3,FALSE)</f>
        <v>Käse</v>
      </c>
      <c r="F176" s="19">
        <f>VLOOKUP(C176,Stammdaten!$A$11:$D$25,4,FALSE)</f>
        <v>1.49</v>
      </c>
      <c r="G176" s="4">
        <f t="shared" si="26"/>
        <v>4</v>
      </c>
      <c r="H176" s="20" t="str">
        <f>VLOOKUP(G176,Stammdaten!$A$30:$B$41,2,FALSE)</f>
        <v>April</v>
      </c>
      <c r="I176" s="4">
        <v>253</v>
      </c>
      <c r="J176" s="4">
        <v>248</v>
      </c>
      <c r="K176" s="4">
        <f t="shared" si="27"/>
        <v>-5</v>
      </c>
      <c r="L176" s="27">
        <f t="shared" si="28"/>
        <v>-1.9762845849802373</v>
      </c>
      <c r="M176" s="52" t="str">
        <f t="shared" si="29"/>
        <v>Schwund</v>
      </c>
      <c r="N176" s="28">
        <f t="shared" si="30"/>
        <v>7.45</v>
      </c>
      <c r="O176" s="5">
        <v>2</v>
      </c>
      <c r="P176" s="4">
        <v>5</v>
      </c>
      <c r="Q176" s="28">
        <f t="shared" si="31"/>
        <v>1.8625</v>
      </c>
      <c r="R176" s="50">
        <f t="shared" si="32"/>
        <v>2.2349999999999999</v>
      </c>
      <c r="S176" s="2" t="str">
        <f t="shared" si="33"/>
        <v>Ostern</v>
      </c>
      <c r="T176" s="4">
        <v>0</v>
      </c>
      <c r="U176" s="4" t="str">
        <f t="shared" si="34"/>
        <v>Ja - 20% Reduzierung</v>
      </c>
      <c r="V176" s="4">
        <f t="shared" si="35"/>
        <v>20</v>
      </c>
      <c r="W176" s="19">
        <f t="shared" si="36"/>
        <v>1.19</v>
      </c>
      <c r="X176" s="5">
        <v>30</v>
      </c>
      <c r="Y176" s="28">
        <f t="shared" si="37"/>
        <v>8.94</v>
      </c>
      <c r="Z176" s="31" t="s">
        <v>173</v>
      </c>
      <c r="AA176" t="str">
        <f t="shared" si="38"/>
        <v>Normal/Gering</v>
      </c>
    </row>
    <row r="177" spans="1:27" x14ac:dyDescent="0.35">
      <c r="A177" s="32" t="s">
        <v>14</v>
      </c>
      <c r="B177" s="2" t="str">
        <f>VLOOKUP(A177,Stammdaten!$A$3:$B$7,2,FALSE)</f>
        <v>Filiale Nord</v>
      </c>
      <c r="C177" s="3" t="str" cm="1">
        <f t="array" ref="C177">INDEX(Stammdaten!$A$11:$A$25,INT((ROW()-5)/12)+1 - INT((ROW()-5)/180)*15)</f>
        <v>A015</v>
      </c>
      <c r="D177" s="2" t="str">
        <f>VLOOKUP(C177,Stammdaten!$A$11:$B$25,2,FALSE)</f>
        <v>Frischkäse 200g</v>
      </c>
      <c r="E177" s="3" t="str">
        <f>VLOOKUP(C177,Stammdaten!$A$11:$C$25,3,FALSE)</f>
        <v>Käse</v>
      </c>
      <c r="F177" s="19">
        <f>VLOOKUP(C177,Stammdaten!$A$11:$D$25,4,FALSE)</f>
        <v>1.49</v>
      </c>
      <c r="G177" s="4">
        <f t="shared" si="26"/>
        <v>5</v>
      </c>
      <c r="H177" s="20" t="str">
        <f>VLOOKUP(G177,Stammdaten!$A$30:$B$41,2,FALSE)</f>
        <v>Mai</v>
      </c>
      <c r="I177" s="4">
        <v>208</v>
      </c>
      <c r="J177" s="4">
        <v>205</v>
      </c>
      <c r="K177" s="4">
        <f t="shared" si="27"/>
        <v>-3</v>
      </c>
      <c r="L177" s="27">
        <f t="shared" si="28"/>
        <v>-1.4423076923076923</v>
      </c>
      <c r="M177" s="52" t="str">
        <f t="shared" si="29"/>
        <v>Schwund</v>
      </c>
      <c r="N177" s="28">
        <f t="shared" si="30"/>
        <v>4.47</v>
      </c>
      <c r="O177" s="5">
        <v>20</v>
      </c>
      <c r="P177" s="4">
        <v>1</v>
      </c>
      <c r="Q177" s="28">
        <f t="shared" si="31"/>
        <v>1.1174999999999999</v>
      </c>
      <c r="R177" s="50">
        <f t="shared" si="32"/>
        <v>1.341</v>
      </c>
      <c r="S177" s="2" t="str">
        <f t="shared" si="33"/>
        <v>Normal</v>
      </c>
      <c r="T177" s="4">
        <v>0</v>
      </c>
      <c r="U177" s="4" t="str">
        <f t="shared" si="34"/>
        <v>Nein</v>
      </c>
      <c r="V177" s="4">
        <f t="shared" si="35"/>
        <v>0</v>
      </c>
      <c r="W177" s="19">
        <f t="shared" si="36"/>
        <v>1.49</v>
      </c>
      <c r="X177" s="5">
        <v>0</v>
      </c>
      <c r="Y177" s="28">
        <f t="shared" si="37"/>
        <v>0</v>
      </c>
      <c r="Z177" s="31" t="s">
        <v>172</v>
      </c>
      <c r="AA177" t="str">
        <f t="shared" si="38"/>
        <v>Normal/Gering</v>
      </c>
    </row>
    <row r="178" spans="1:27" x14ac:dyDescent="0.35">
      <c r="A178" s="32" t="s">
        <v>14</v>
      </c>
      <c r="B178" s="2" t="str">
        <f>VLOOKUP(A178,Stammdaten!$A$3:$B$7,2,FALSE)</f>
        <v>Filiale Nord</v>
      </c>
      <c r="C178" s="3" t="str" cm="1">
        <f t="array" ref="C178">INDEX(Stammdaten!$A$11:$A$25,INT((ROW()-5)/12)+1 - INT((ROW()-5)/180)*15)</f>
        <v>A015</v>
      </c>
      <c r="D178" s="2" t="str">
        <f>VLOOKUP(C178,Stammdaten!$A$11:$B$25,2,FALSE)</f>
        <v>Frischkäse 200g</v>
      </c>
      <c r="E178" s="3" t="str">
        <f>VLOOKUP(C178,Stammdaten!$A$11:$C$25,3,FALSE)</f>
        <v>Käse</v>
      </c>
      <c r="F178" s="19">
        <f>VLOOKUP(C178,Stammdaten!$A$11:$D$25,4,FALSE)</f>
        <v>1.49</v>
      </c>
      <c r="G178" s="4">
        <f t="shared" si="26"/>
        <v>6</v>
      </c>
      <c r="H178" s="20" t="str">
        <f>VLOOKUP(G178,Stammdaten!$A$30:$B$41,2,FALSE)</f>
        <v>Juni</v>
      </c>
      <c r="I178" s="4">
        <v>218</v>
      </c>
      <c r="J178" s="4">
        <v>211</v>
      </c>
      <c r="K178" s="4">
        <f t="shared" si="27"/>
        <v>-7</v>
      </c>
      <c r="L178" s="27">
        <f t="shared" si="28"/>
        <v>-3.2110091743119269</v>
      </c>
      <c r="M178" s="52" t="str">
        <f t="shared" si="29"/>
        <v>Schwund</v>
      </c>
      <c r="N178" s="28">
        <f t="shared" si="30"/>
        <v>10.43</v>
      </c>
      <c r="O178" s="5">
        <v>8</v>
      </c>
      <c r="P178" s="4">
        <v>2</v>
      </c>
      <c r="Q178" s="28">
        <f t="shared" si="31"/>
        <v>2.6074999999999999</v>
      </c>
      <c r="R178" s="50">
        <f t="shared" si="32"/>
        <v>3.129</v>
      </c>
      <c r="S178" s="2" t="str">
        <f t="shared" si="33"/>
        <v>Normal</v>
      </c>
      <c r="T178" s="4">
        <v>0</v>
      </c>
      <c r="U178" s="4" t="str">
        <f t="shared" si="34"/>
        <v>Nein</v>
      </c>
      <c r="V178" s="4">
        <f t="shared" si="35"/>
        <v>0</v>
      </c>
      <c r="W178" s="19">
        <f t="shared" si="36"/>
        <v>1.49</v>
      </c>
      <c r="X178" s="5">
        <v>0</v>
      </c>
      <c r="Y178" s="28">
        <f t="shared" si="37"/>
        <v>0</v>
      </c>
      <c r="Z178" s="31" t="s">
        <v>172</v>
      </c>
      <c r="AA178" t="str">
        <f t="shared" si="38"/>
        <v>Prozessfehler</v>
      </c>
    </row>
    <row r="179" spans="1:27" x14ac:dyDescent="0.35">
      <c r="A179" s="32" t="s">
        <v>14</v>
      </c>
      <c r="B179" s="2" t="str">
        <f>VLOOKUP(A179,Stammdaten!$A$3:$B$7,2,FALSE)</f>
        <v>Filiale Nord</v>
      </c>
      <c r="C179" s="3" t="str" cm="1">
        <f t="array" ref="C179">INDEX(Stammdaten!$A$11:$A$25,INT((ROW()-5)/12)+1 - INT((ROW()-5)/180)*15)</f>
        <v>A015</v>
      </c>
      <c r="D179" s="2" t="str">
        <f>VLOOKUP(C179,Stammdaten!$A$11:$B$25,2,FALSE)</f>
        <v>Frischkäse 200g</v>
      </c>
      <c r="E179" s="3" t="str">
        <f>VLOOKUP(C179,Stammdaten!$A$11:$C$25,3,FALSE)</f>
        <v>Käse</v>
      </c>
      <c r="F179" s="19">
        <f>VLOOKUP(C179,Stammdaten!$A$11:$D$25,4,FALSE)</f>
        <v>1.49</v>
      </c>
      <c r="G179" s="4">
        <f t="shared" si="26"/>
        <v>7</v>
      </c>
      <c r="H179" s="20" t="str">
        <f>VLOOKUP(G179,Stammdaten!$A$30:$B$41,2,FALSE)</f>
        <v>Juli</v>
      </c>
      <c r="I179" s="4">
        <v>245</v>
      </c>
      <c r="J179" s="4">
        <v>236</v>
      </c>
      <c r="K179" s="4">
        <f t="shared" si="27"/>
        <v>-9</v>
      </c>
      <c r="L179" s="27">
        <f t="shared" si="28"/>
        <v>-3.6734693877551026</v>
      </c>
      <c r="M179" s="52" t="str">
        <f t="shared" si="29"/>
        <v>Schwund</v>
      </c>
      <c r="N179" s="28">
        <f t="shared" si="30"/>
        <v>13.41</v>
      </c>
      <c r="O179" s="5">
        <v>19</v>
      </c>
      <c r="P179" s="4">
        <v>0</v>
      </c>
      <c r="Q179" s="28">
        <f t="shared" si="31"/>
        <v>3.3525</v>
      </c>
      <c r="R179" s="50">
        <f t="shared" si="32"/>
        <v>4.0229999999999997</v>
      </c>
      <c r="S179" s="2" t="str">
        <f t="shared" si="33"/>
        <v>Normal</v>
      </c>
      <c r="T179" s="4">
        <v>0</v>
      </c>
      <c r="U179" s="4" t="str">
        <f t="shared" si="34"/>
        <v>Nein</v>
      </c>
      <c r="V179" s="4">
        <f t="shared" si="35"/>
        <v>0</v>
      </c>
      <c r="W179" s="19">
        <f t="shared" si="36"/>
        <v>1.49</v>
      </c>
      <c r="X179" s="5">
        <v>0</v>
      </c>
      <c r="Y179" s="28">
        <f t="shared" si="37"/>
        <v>0</v>
      </c>
      <c r="Z179" s="31" t="s">
        <v>172</v>
      </c>
      <c r="AA179" t="str">
        <f t="shared" si="38"/>
        <v>Buchungsfehler Wareneingang</v>
      </c>
    </row>
    <row r="180" spans="1:27" x14ac:dyDescent="0.35">
      <c r="A180" s="32" t="s">
        <v>14</v>
      </c>
      <c r="B180" s="2" t="str">
        <f>VLOOKUP(A180,Stammdaten!$A$3:$B$7,2,FALSE)</f>
        <v>Filiale Nord</v>
      </c>
      <c r="C180" s="3" t="str" cm="1">
        <f t="array" ref="C180">INDEX(Stammdaten!$A$11:$A$25,INT((ROW()-5)/12)+1 - INT((ROW()-5)/180)*15)</f>
        <v>A015</v>
      </c>
      <c r="D180" s="2" t="str">
        <f>VLOOKUP(C180,Stammdaten!$A$11:$B$25,2,FALSE)</f>
        <v>Frischkäse 200g</v>
      </c>
      <c r="E180" s="3" t="str">
        <f>VLOOKUP(C180,Stammdaten!$A$11:$C$25,3,FALSE)</f>
        <v>Käse</v>
      </c>
      <c r="F180" s="19">
        <f>VLOOKUP(C180,Stammdaten!$A$11:$D$25,4,FALSE)</f>
        <v>1.49</v>
      </c>
      <c r="G180" s="4">
        <f t="shared" si="26"/>
        <v>8</v>
      </c>
      <c r="H180" s="20" t="str">
        <f>VLOOKUP(G180,Stammdaten!$A$30:$B$41,2,FALSE)</f>
        <v>August</v>
      </c>
      <c r="I180" s="4">
        <v>228</v>
      </c>
      <c r="J180" s="4">
        <v>221</v>
      </c>
      <c r="K180" s="4">
        <f t="shared" si="27"/>
        <v>-7</v>
      </c>
      <c r="L180" s="27">
        <f t="shared" si="28"/>
        <v>-3.070175438596491</v>
      </c>
      <c r="M180" s="52" t="str">
        <f t="shared" si="29"/>
        <v>Schwund</v>
      </c>
      <c r="N180" s="28">
        <f t="shared" si="30"/>
        <v>10.43</v>
      </c>
      <c r="O180" s="5">
        <v>1</v>
      </c>
      <c r="P180" s="4">
        <v>4</v>
      </c>
      <c r="Q180" s="28">
        <f t="shared" si="31"/>
        <v>2.6074999999999999</v>
      </c>
      <c r="R180" s="50">
        <f t="shared" si="32"/>
        <v>3.129</v>
      </c>
      <c r="S180" s="2" t="str">
        <f t="shared" si="33"/>
        <v>Normal</v>
      </c>
      <c r="T180" s="4">
        <v>0</v>
      </c>
      <c r="U180" s="4" t="str">
        <f t="shared" si="34"/>
        <v>Ja - 20% Reduzierung</v>
      </c>
      <c r="V180" s="4">
        <f t="shared" si="35"/>
        <v>20</v>
      </c>
      <c r="W180" s="19">
        <f t="shared" si="36"/>
        <v>1.19</v>
      </c>
      <c r="X180" s="5">
        <v>30</v>
      </c>
      <c r="Y180" s="28">
        <f t="shared" si="37"/>
        <v>8.94</v>
      </c>
      <c r="Z180" s="31" t="s">
        <v>173</v>
      </c>
      <c r="AA180" t="str">
        <f t="shared" si="38"/>
        <v>Prozessfehler</v>
      </c>
    </row>
    <row r="181" spans="1:27" x14ac:dyDescent="0.35">
      <c r="A181" s="32" t="s">
        <v>14</v>
      </c>
      <c r="B181" s="2" t="str">
        <f>VLOOKUP(A181,Stammdaten!$A$3:$B$7,2,FALSE)</f>
        <v>Filiale Nord</v>
      </c>
      <c r="C181" s="3" t="str" cm="1">
        <f t="array" ref="C181">INDEX(Stammdaten!$A$11:$A$25,INT((ROW()-5)/12)+1 - INT((ROW()-5)/180)*15)</f>
        <v>A015</v>
      </c>
      <c r="D181" s="2" t="str">
        <f>VLOOKUP(C181,Stammdaten!$A$11:$B$25,2,FALSE)</f>
        <v>Frischkäse 200g</v>
      </c>
      <c r="E181" s="3" t="str">
        <f>VLOOKUP(C181,Stammdaten!$A$11:$C$25,3,FALSE)</f>
        <v>Käse</v>
      </c>
      <c r="F181" s="19">
        <f>VLOOKUP(C181,Stammdaten!$A$11:$D$25,4,FALSE)</f>
        <v>1.49</v>
      </c>
      <c r="G181" s="4">
        <f t="shared" si="26"/>
        <v>9</v>
      </c>
      <c r="H181" s="20" t="str">
        <f>VLOOKUP(G181,Stammdaten!$A$30:$B$41,2,FALSE)</f>
        <v>September</v>
      </c>
      <c r="I181" s="4">
        <v>192</v>
      </c>
      <c r="J181" s="4">
        <v>187</v>
      </c>
      <c r="K181" s="4">
        <f t="shared" si="27"/>
        <v>-5</v>
      </c>
      <c r="L181" s="27">
        <f t="shared" si="28"/>
        <v>-2.604166666666667</v>
      </c>
      <c r="M181" s="52" t="str">
        <f t="shared" si="29"/>
        <v>Schwund</v>
      </c>
      <c r="N181" s="28">
        <f t="shared" si="30"/>
        <v>7.45</v>
      </c>
      <c r="O181" s="5">
        <v>5</v>
      </c>
      <c r="P181" s="4">
        <v>5</v>
      </c>
      <c r="Q181" s="28">
        <f t="shared" si="31"/>
        <v>1.8625</v>
      </c>
      <c r="R181" s="50">
        <f t="shared" si="32"/>
        <v>2.2349999999999999</v>
      </c>
      <c r="S181" s="2" t="str">
        <f t="shared" si="33"/>
        <v>Normal</v>
      </c>
      <c r="T181" s="4">
        <v>0</v>
      </c>
      <c r="U181" s="4" t="str">
        <f t="shared" si="34"/>
        <v>Nein</v>
      </c>
      <c r="V181" s="4">
        <f t="shared" si="35"/>
        <v>0</v>
      </c>
      <c r="W181" s="19">
        <f t="shared" si="36"/>
        <v>1.49</v>
      </c>
      <c r="X181" s="5">
        <v>0</v>
      </c>
      <c r="Y181" s="28">
        <f t="shared" si="37"/>
        <v>0</v>
      </c>
      <c r="Z181" s="31" t="s">
        <v>172</v>
      </c>
      <c r="AA181" t="str">
        <f t="shared" si="38"/>
        <v>Prozessfehler</v>
      </c>
    </row>
    <row r="182" spans="1:27" x14ac:dyDescent="0.35">
      <c r="A182" s="32" t="s">
        <v>14</v>
      </c>
      <c r="B182" s="2" t="str">
        <f>VLOOKUP(A182,Stammdaten!$A$3:$B$7,2,FALSE)</f>
        <v>Filiale Nord</v>
      </c>
      <c r="C182" s="3" t="str" cm="1">
        <f t="array" ref="C182">INDEX(Stammdaten!$A$11:$A$25,INT((ROW()-5)/12)+1 - INT((ROW()-5)/180)*15)</f>
        <v>A015</v>
      </c>
      <c r="D182" s="2" t="str">
        <f>VLOOKUP(C182,Stammdaten!$A$11:$B$25,2,FALSE)</f>
        <v>Frischkäse 200g</v>
      </c>
      <c r="E182" s="3" t="str">
        <f>VLOOKUP(C182,Stammdaten!$A$11:$C$25,3,FALSE)</f>
        <v>Käse</v>
      </c>
      <c r="F182" s="19">
        <f>VLOOKUP(C182,Stammdaten!$A$11:$D$25,4,FALSE)</f>
        <v>1.49</v>
      </c>
      <c r="G182" s="4">
        <f t="shared" si="26"/>
        <v>10</v>
      </c>
      <c r="H182" s="20" t="str">
        <f>VLOOKUP(G182,Stammdaten!$A$30:$B$41,2,FALSE)</f>
        <v>Oktober</v>
      </c>
      <c r="I182" s="4">
        <v>206</v>
      </c>
      <c r="J182" s="4">
        <v>204</v>
      </c>
      <c r="K182" s="4">
        <f t="shared" si="27"/>
        <v>-2</v>
      </c>
      <c r="L182" s="27">
        <f t="shared" si="28"/>
        <v>-0.97087378640776689</v>
      </c>
      <c r="M182" s="52" t="str">
        <f t="shared" si="29"/>
        <v>Schwund</v>
      </c>
      <c r="N182" s="28">
        <f t="shared" si="30"/>
        <v>2.98</v>
      </c>
      <c r="O182" s="5">
        <v>9</v>
      </c>
      <c r="P182" s="4">
        <v>3</v>
      </c>
      <c r="Q182" s="28">
        <f t="shared" si="31"/>
        <v>0.745</v>
      </c>
      <c r="R182" s="50">
        <f t="shared" si="32"/>
        <v>0.89400000000000002</v>
      </c>
      <c r="S182" s="2" t="str">
        <f t="shared" si="33"/>
        <v>Normal</v>
      </c>
      <c r="T182" s="4">
        <v>0</v>
      </c>
      <c r="U182" s="4" t="str">
        <f t="shared" si="34"/>
        <v>Nein</v>
      </c>
      <c r="V182" s="4">
        <f t="shared" si="35"/>
        <v>0</v>
      </c>
      <c r="W182" s="19">
        <f t="shared" si="36"/>
        <v>1.49</v>
      </c>
      <c r="X182" s="5">
        <v>0</v>
      </c>
      <c r="Y182" s="28">
        <f t="shared" si="37"/>
        <v>0</v>
      </c>
      <c r="Z182" s="31" t="s">
        <v>172</v>
      </c>
      <c r="AA182" t="str">
        <f t="shared" si="38"/>
        <v>Normal/Gering</v>
      </c>
    </row>
    <row r="183" spans="1:27" x14ac:dyDescent="0.35">
      <c r="A183" s="32" t="s">
        <v>14</v>
      </c>
      <c r="B183" s="2" t="str">
        <f>VLOOKUP(A183,Stammdaten!$A$3:$B$7,2,FALSE)</f>
        <v>Filiale Nord</v>
      </c>
      <c r="C183" s="3" t="str" cm="1">
        <f t="array" ref="C183">INDEX(Stammdaten!$A$11:$A$25,INT((ROW()-5)/12)+1 - INT((ROW()-5)/180)*15)</f>
        <v>A015</v>
      </c>
      <c r="D183" s="2" t="str">
        <f>VLOOKUP(C183,Stammdaten!$A$11:$B$25,2,FALSE)</f>
        <v>Frischkäse 200g</v>
      </c>
      <c r="E183" s="3" t="str">
        <f>VLOOKUP(C183,Stammdaten!$A$11:$C$25,3,FALSE)</f>
        <v>Käse</v>
      </c>
      <c r="F183" s="19">
        <f>VLOOKUP(C183,Stammdaten!$A$11:$D$25,4,FALSE)</f>
        <v>1.49</v>
      </c>
      <c r="G183" s="4">
        <f t="shared" si="26"/>
        <v>11</v>
      </c>
      <c r="H183" s="20" t="str">
        <f>VLOOKUP(G183,Stammdaten!$A$30:$B$41,2,FALSE)</f>
        <v>November</v>
      </c>
      <c r="I183" s="4">
        <v>209</v>
      </c>
      <c r="J183" s="4">
        <v>205</v>
      </c>
      <c r="K183" s="4">
        <f t="shared" si="27"/>
        <v>-4</v>
      </c>
      <c r="L183" s="27">
        <f t="shared" si="28"/>
        <v>-1.9138755980861244</v>
      </c>
      <c r="M183" s="52" t="str">
        <f t="shared" si="29"/>
        <v>Schwund</v>
      </c>
      <c r="N183" s="28">
        <f t="shared" si="30"/>
        <v>5.96</v>
      </c>
      <c r="O183" s="5">
        <v>21</v>
      </c>
      <c r="P183" s="4">
        <v>5</v>
      </c>
      <c r="Q183" s="28">
        <f t="shared" si="31"/>
        <v>1.49</v>
      </c>
      <c r="R183" s="50">
        <f t="shared" si="32"/>
        <v>1.788</v>
      </c>
      <c r="S183" s="2" t="str">
        <f t="shared" si="33"/>
        <v>Black Friday</v>
      </c>
      <c r="T183" s="4">
        <v>0</v>
      </c>
      <c r="U183" s="4" t="str">
        <f t="shared" si="34"/>
        <v>Nein</v>
      </c>
      <c r="V183" s="4">
        <f t="shared" si="35"/>
        <v>0</v>
      </c>
      <c r="W183" s="19">
        <f t="shared" si="36"/>
        <v>1.49</v>
      </c>
      <c r="X183" s="5">
        <v>0</v>
      </c>
      <c r="Y183" s="28">
        <f t="shared" si="37"/>
        <v>0</v>
      </c>
      <c r="Z183" s="31" t="s">
        <v>172</v>
      </c>
      <c r="AA183" t="str">
        <f t="shared" si="38"/>
        <v>Normal/Gering</v>
      </c>
    </row>
    <row r="184" spans="1:27" x14ac:dyDescent="0.35">
      <c r="A184" s="32" t="s">
        <v>14</v>
      </c>
      <c r="B184" s="2" t="str">
        <f>VLOOKUP(A184,Stammdaten!$A$3:$B$7,2,FALSE)</f>
        <v>Filiale Nord</v>
      </c>
      <c r="C184" s="3" t="str" cm="1">
        <f t="array" ref="C184">INDEX(Stammdaten!$A$11:$A$25,INT((ROW()-5)/12)+1 - INT((ROW()-5)/180)*15)</f>
        <v>A015</v>
      </c>
      <c r="D184" s="2" t="str">
        <f>VLOOKUP(C184,Stammdaten!$A$11:$B$25,2,FALSE)</f>
        <v>Frischkäse 200g</v>
      </c>
      <c r="E184" s="3" t="str">
        <f>VLOOKUP(C184,Stammdaten!$A$11:$C$25,3,FALSE)</f>
        <v>Käse</v>
      </c>
      <c r="F184" s="19">
        <f>VLOOKUP(C184,Stammdaten!$A$11:$D$25,4,FALSE)</f>
        <v>1.49</v>
      </c>
      <c r="G184" s="4">
        <f t="shared" si="26"/>
        <v>12</v>
      </c>
      <c r="H184" s="20" t="str">
        <f>VLOOKUP(G184,Stammdaten!$A$30:$B$41,2,FALSE)</f>
        <v>Dezember</v>
      </c>
      <c r="I184" s="4">
        <v>288</v>
      </c>
      <c r="J184" s="4">
        <v>284</v>
      </c>
      <c r="K184" s="4">
        <f t="shared" si="27"/>
        <v>-4</v>
      </c>
      <c r="L184" s="27">
        <f t="shared" si="28"/>
        <v>-1.3888888888888888</v>
      </c>
      <c r="M184" s="52" t="str">
        <f t="shared" si="29"/>
        <v>Schwund</v>
      </c>
      <c r="N184" s="28">
        <f t="shared" si="30"/>
        <v>5.96</v>
      </c>
      <c r="O184" s="5">
        <v>17</v>
      </c>
      <c r="P184" s="4">
        <v>6</v>
      </c>
      <c r="Q184" s="28">
        <f t="shared" si="31"/>
        <v>1.49</v>
      </c>
      <c r="R184" s="50">
        <f t="shared" si="32"/>
        <v>1.788</v>
      </c>
      <c r="S184" s="2" t="str">
        <f t="shared" si="33"/>
        <v>Weihnachten/Silvester</v>
      </c>
      <c r="T184" s="4">
        <v>0</v>
      </c>
      <c r="U184" s="4" t="str">
        <f t="shared" si="34"/>
        <v>Nein</v>
      </c>
      <c r="V184" s="4">
        <f t="shared" si="35"/>
        <v>0</v>
      </c>
      <c r="W184" s="19">
        <f t="shared" si="36"/>
        <v>1.49</v>
      </c>
      <c r="X184" s="5">
        <v>0</v>
      </c>
      <c r="Y184" s="28">
        <f t="shared" si="37"/>
        <v>0</v>
      </c>
      <c r="Z184" s="31" t="s">
        <v>172</v>
      </c>
      <c r="AA184" t="str">
        <f t="shared" si="38"/>
        <v>Normal/Gering</v>
      </c>
    </row>
    <row r="185" spans="1:27" x14ac:dyDescent="0.35">
      <c r="A185" s="32" t="s">
        <v>15</v>
      </c>
      <c r="B185" s="2" t="str">
        <f>VLOOKUP(A185,Stammdaten!$A$3:$B$7,2,FALSE)</f>
        <v>Filiale Süd</v>
      </c>
      <c r="C185" s="3" t="str" cm="1">
        <f t="array" ref="C185">INDEX(Stammdaten!$A$11:$A$25,INT((ROW()-5)/12)+1 - INT((ROW()-5)/180)*15)</f>
        <v>A001</v>
      </c>
      <c r="D185" s="2" t="str">
        <f>VLOOKUP(C185,Stammdaten!$A$11:$B$25,2,FALSE)</f>
        <v>Vollmilch 1L</v>
      </c>
      <c r="E185" s="3" t="str">
        <f>VLOOKUP(C185,Stammdaten!$A$11:$C$25,3,FALSE)</f>
        <v>Milch</v>
      </c>
      <c r="F185" s="19">
        <f>VLOOKUP(C185,Stammdaten!$A$11:$D$25,4,FALSE)</f>
        <v>1.19</v>
      </c>
      <c r="G185" s="4">
        <f t="shared" si="26"/>
        <v>1</v>
      </c>
      <c r="H185" s="20" t="str">
        <f>VLOOKUP(G185,Stammdaten!$A$30:$B$41,2,FALSE)</f>
        <v>Januar</v>
      </c>
      <c r="I185" s="4">
        <v>342</v>
      </c>
      <c r="J185" s="4">
        <v>326</v>
      </c>
      <c r="K185" s="4">
        <f t="shared" si="27"/>
        <v>-16</v>
      </c>
      <c r="L185" s="27">
        <f t="shared" si="28"/>
        <v>-4.6783625730994149</v>
      </c>
      <c r="M185" s="52" t="str">
        <f t="shared" si="29"/>
        <v>Schwund</v>
      </c>
      <c r="N185" s="28">
        <f t="shared" si="30"/>
        <v>19.04</v>
      </c>
      <c r="O185" s="5">
        <v>2</v>
      </c>
      <c r="P185" s="4">
        <v>1</v>
      </c>
      <c r="Q185" s="28">
        <f t="shared" si="31"/>
        <v>4.76</v>
      </c>
      <c r="R185" s="50">
        <f t="shared" si="32"/>
        <v>5.7119999999999997</v>
      </c>
      <c r="S185" s="2" t="str">
        <f t="shared" si="33"/>
        <v>Normal</v>
      </c>
      <c r="T185" s="4">
        <v>0</v>
      </c>
      <c r="U185" s="4" t="str">
        <f t="shared" si="34"/>
        <v>Ja - 20% Reduzierung</v>
      </c>
      <c r="V185" s="4">
        <f t="shared" si="35"/>
        <v>20</v>
      </c>
      <c r="W185" s="19">
        <f t="shared" si="36"/>
        <v>0.95</v>
      </c>
      <c r="X185" s="5">
        <v>38</v>
      </c>
      <c r="Y185" s="28">
        <f t="shared" si="37"/>
        <v>9.0399999999999991</v>
      </c>
      <c r="Z185" s="31" t="s">
        <v>173</v>
      </c>
      <c r="AA185" t="str">
        <f t="shared" si="38"/>
        <v>Buchungsfehler Wareneingang</v>
      </c>
    </row>
    <row r="186" spans="1:27" x14ac:dyDescent="0.35">
      <c r="A186" s="32" t="s">
        <v>15</v>
      </c>
      <c r="B186" s="2" t="str">
        <f>VLOOKUP(A186,Stammdaten!$A$3:$B$7,2,FALSE)</f>
        <v>Filiale Süd</v>
      </c>
      <c r="C186" s="3" t="str" cm="1">
        <f t="array" ref="C186">INDEX(Stammdaten!$A$11:$A$25,INT((ROW()-5)/12)+1 - INT((ROW()-5)/180)*15)</f>
        <v>A001</v>
      </c>
      <c r="D186" s="2" t="str">
        <f>VLOOKUP(C186,Stammdaten!$A$11:$B$25,2,FALSE)</f>
        <v>Vollmilch 1L</v>
      </c>
      <c r="E186" s="3" t="str">
        <f>VLOOKUP(C186,Stammdaten!$A$11:$C$25,3,FALSE)</f>
        <v>Milch</v>
      </c>
      <c r="F186" s="19">
        <f>VLOOKUP(C186,Stammdaten!$A$11:$D$25,4,FALSE)</f>
        <v>1.19</v>
      </c>
      <c r="G186" s="4">
        <f t="shared" si="26"/>
        <v>2</v>
      </c>
      <c r="H186" s="20" t="str">
        <f>VLOOKUP(G186,Stammdaten!$A$30:$B$41,2,FALSE)</f>
        <v>Februar</v>
      </c>
      <c r="I186" s="4">
        <v>330</v>
      </c>
      <c r="J186" s="4">
        <v>320</v>
      </c>
      <c r="K186" s="4">
        <f t="shared" si="27"/>
        <v>-10</v>
      </c>
      <c r="L186" s="27">
        <f t="shared" si="28"/>
        <v>-3.0303030303030303</v>
      </c>
      <c r="M186" s="52" t="str">
        <f t="shared" si="29"/>
        <v>Schwund</v>
      </c>
      <c r="N186" s="28">
        <f t="shared" si="30"/>
        <v>11.899999999999999</v>
      </c>
      <c r="O186" s="5">
        <v>2</v>
      </c>
      <c r="P186" s="4">
        <v>3</v>
      </c>
      <c r="Q186" s="28">
        <f t="shared" si="31"/>
        <v>2.9749999999999996</v>
      </c>
      <c r="R186" s="50">
        <f t="shared" si="32"/>
        <v>3.5699999999999994</v>
      </c>
      <c r="S186" s="2" t="str">
        <f t="shared" si="33"/>
        <v>Karneval</v>
      </c>
      <c r="T186" s="4">
        <v>0</v>
      </c>
      <c r="U186" s="4" t="str">
        <f t="shared" si="34"/>
        <v>Ja - 20% Reduzierung</v>
      </c>
      <c r="V186" s="4">
        <f t="shared" si="35"/>
        <v>20</v>
      </c>
      <c r="W186" s="19">
        <f t="shared" si="36"/>
        <v>0.95</v>
      </c>
      <c r="X186" s="5">
        <v>40</v>
      </c>
      <c r="Y186" s="28">
        <f t="shared" si="37"/>
        <v>9.52</v>
      </c>
      <c r="Z186" s="31" t="s">
        <v>173</v>
      </c>
      <c r="AA186" t="str">
        <f t="shared" si="38"/>
        <v>Prozessfehler</v>
      </c>
    </row>
    <row r="187" spans="1:27" x14ac:dyDescent="0.35">
      <c r="A187" s="32" t="s">
        <v>15</v>
      </c>
      <c r="B187" s="2" t="str">
        <f>VLOOKUP(A187,Stammdaten!$A$3:$B$7,2,FALSE)</f>
        <v>Filiale Süd</v>
      </c>
      <c r="C187" s="3" t="str" cm="1">
        <f t="array" ref="C187">INDEX(Stammdaten!$A$11:$A$25,INT((ROW()-5)/12)+1 - INT((ROW()-5)/180)*15)</f>
        <v>A001</v>
      </c>
      <c r="D187" s="2" t="str">
        <f>VLOOKUP(C187,Stammdaten!$A$11:$B$25,2,FALSE)</f>
        <v>Vollmilch 1L</v>
      </c>
      <c r="E187" s="3" t="str">
        <f>VLOOKUP(C187,Stammdaten!$A$11:$C$25,3,FALSE)</f>
        <v>Milch</v>
      </c>
      <c r="F187" s="19">
        <f>VLOOKUP(C187,Stammdaten!$A$11:$D$25,4,FALSE)</f>
        <v>1.19</v>
      </c>
      <c r="G187" s="4">
        <f t="shared" si="26"/>
        <v>3</v>
      </c>
      <c r="H187" s="20" t="str">
        <f>VLOOKUP(G187,Stammdaten!$A$30:$B$41,2,FALSE)</f>
        <v>März</v>
      </c>
      <c r="I187" s="4">
        <v>441</v>
      </c>
      <c r="J187" s="4">
        <v>421</v>
      </c>
      <c r="K187" s="4">
        <f t="shared" si="27"/>
        <v>-20</v>
      </c>
      <c r="L187" s="27">
        <f t="shared" si="28"/>
        <v>-4.5351473922902494</v>
      </c>
      <c r="M187" s="52" t="str">
        <f t="shared" si="29"/>
        <v>Schwund</v>
      </c>
      <c r="N187" s="28">
        <f t="shared" si="30"/>
        <v>23.799999999999997</v>
      </c>
      <c r="O187" s="5">
        <v>6</v>
      </c>
      <c r="P187" s="4">
        <v>1</v>
      </c>
      <c r="Q187" s="28">
        <f t="shared" si="31"/>
        <v>5.9499999999999993</v>
      </c>
      <c r="R187" s="50">
        <f t="shared" si="32"/>
        <v>7.1399999999999988</v>
      </c>
      <c r="S187" s="2" t="str">
        <f t="shared" si="33"/>
        <v>Normal</v>
      </c>
      <c r="T187" s="4">
        <v>0</v>
      </c>
      <c r="U187" s="4" t="str">
        <f t="shared" si="34"/>
        <v>Nein</v>
      </c>
      <c r="V187" s="4">
        <f t="shared" si="35"/>
        <v>0</v>
      </c>
      <c r="W187" s="19">
        <f t="shared" si="36"/>
        <v>1.19</v>
      </c>
      <c r="X187" s="5">
        <v>0</v>
      </c>
      <c r="Y187" s="28">
        <f t="shared" si="37"/>
        <v>0</v>
      </c>
      <c r="Z187" s="31" t="s">
        <v>172</v>
      </c>
      <c r="AA187" t="str">
        <f t="shared" si="38"/>
        <v>Buchungsfehler Wareneingang</v>
      </c>
    </row>
    <row r="188" spans="1:27" x14ac:dyDescent="0.35">
      <c r="A188" s="32" t="s">
        <v>15</v>
      </c>
      <c r="B188" s="2" t="str">
        <f>VLOOKUP(A188,Stammdaten!$A$3:$B$7,2,FALSE)</f>
        <v>Filiale Süd</v>
      </c>
      <c r="C188" s="3" t="str" cm="1">
        <f t="array" ref="C188">INDEX(Stammdaten!$A$11:$A$25,INT((ROW()-5)/12)+1 - INT((ROW()-5)/180)*15)</f>
        <v>A001</v>
      </c>
      <c r="D188" s="2" t="str">
        <f>VLOOKUP(C188,Stammdaten!$A$11:$B$25,2,FALSE)</f>
        <v>Vollmilch 1L</v>
      </c>
      <c r="E188" s="3" t="str">
        <f>VLOOKUP(C188,Stammdaten!$A$11:$C$25,3,FALSE)</f>
        <v>Milch</v>
      </c>
      <c r="F188" s="19">
        <f>VLOOKUP(C188,Stammdaten!$A$11:$D$25,4,FALSE)</f>
        <v>1.19</v>
      </c>
      <c r="G188" s="4">
        <f t="shared" si="26"/>
        <v>4</v>
      </c>
      <c r="H188" s="20" t="str">
        <f>VLOOKUP(G188,Stammdaten!$A$30:$B$41,2,FALSE)</f>
        <v>April</v>
      </c>
      <c r="I188" s="4">
        <v>510</v>
      </c>
      <c r="J188" s="4">
        <v>491</v>
      </c>
      <c r="K188" s="4">
        <f t="shared" si="27"/>
        <v>-19</v>
      </c>
      <c r="L188" s="27">
        <f t="shared" si="28"/>
        <v>-3.7254901960784315</v>
      </c>
      <c r="M188" s="52" t="str">
        <f t="shared" si="29"/>
        <v>Schwund</v>
      </c>
      <c r="N188" s="28">
        <f t="shared" si="30"/>
        <v>22.61</v>
      </c>
      <c r="O188" s="5">
        <v>4</v>
      </c>
      <c r="P188" s="4">
        <v>3</v>
      </c>
      <c r="Q188" s="28">
        <f t="shared" si="31"/>
        <v>5.6524999999999999</v>
      </c>
      <c r="R188" s="50">
        <f t="shared" si="32"/>
        <v>6.7829999999999995</v>
      </c>
      <c r="S188" s="2" t="str">
        <f t="shared" si="33"/>
        <v>Ostern</v>
      </c>
      <c r="T188" s="4">
        <v>0</v>
      </c>
      <c r="U188" s="4" t="str">
        <f t="shared" si="34"/>
        <v>Nein</v>
      </c>
      <c r="V188" s="4">
        <f t="shared" si="35"/>
        <v>0</v>
      </c>
      <c r="W188" s="19">
        <f t="shared" si="36"/>
        <v>1.19</v>
      </c>
      <c r="X188" s="5">
        <v>0</v>
      </c>
      <c r="Y188" s="28">
        <f t="shared" si="37"/>
        <v>0</v>
      </c>
      <c r="Z188" s="31" t="s">
        <v>172</v>
      </c>
      <c r="AA188" t="str">
        <f t="shared" si="38"/>
        <v>Prozessfehler</v>
      </c>
    </row>
    <row r="189" spans="1:27" x14ac:dyDescent="0.35">
      <c r="A189" s="32" t="s">
        <v>15</v>
      </c>
      <c r="B189" s="2" t="str">
        <f>VLOOKUP(A189,Stammdaten!$A$3:$B$7,2,FALSE)</f>
        <v>Filiale Süd</v>
      </c>
      <c r="C189" s="3" t="str" cm="1">
        <f t="array" ref="C189">INDEX(Stammdaten!$A$11:$A$25,INT((ROW()-5)/12)+1 - INT((ROW()-5)/180)*15)</f>
        <v>A001</v>
      </c>
      <c r="D189" s="2" t="str">
        <f>VLOOKUP(C189,Stammdaten!$A$11:$B$25,2,FALSE)</f>
        <v>Vollmilch 1L</v>
      </c>
      <c r="E189" s="3" t="str">
        <f>VLOOKUP(C189,Stammdaten!$A$11:$C$25,3,FALSE)</f>
        <v>Milch</v>
      </c>
      <c r="F189" s="19">
        <f>VLOOKUP(C189,Stammdaten!$A$11:$D$25,4,FALSE)</f>
        <v>1.19</v>
      </c>
      <c r="G189" s="4">
        <f t="shared" si="26"/>
        <v>5</v>
      </c>
      <c r="H189" s="20" t="str">
        <f>VLOOKUP(G189,Stammdaten!$A$30:$B$41,2,FALSE)</f>
        <v>Mai</v>
      </c>
      <c r="I189" s="4">
        <v>412</v>
      </c>
      <c r="J189" s="4">
        <v>400</v>
      </c>
      <c r="K189" s="4">
        <f t="shared" si="27"/>
        <v>-12</v>
      </c>
      <c r="L189" s="27">
        <f t="shared" si="28"/>
        <v>-2.912621359223301</v>
      </c>
      <c r="M189" s="52" t="str">
        <f t="shared" si="29"/>
        <v>Schwund</v>
      </c>
      <c r="N189" s="28">
        <f t="shared" si="30"/>
        <v>14.28</v>
      </c>
      <c r="O189" s="5">
        <v>4</v>
      </c>
      <c r="P189" s="4">
        <v>2</v>
      </c>
      <c r="Q189" s="28">
        <f t="shared" si="31"/>
        <v>3.57</v>
      </c>
      <c r="R189" s="50">
        <f t="shared" si="32"/>
        <v>4.2839999999999998</v>
      </c>
      <c r="S189" s="2" t="str">
        <f t="shared" si="33"/>
        <v>Normal</v>
      </c>
      <c r="T189" s="4">
        <v>0</v>
      </c>
      <c r="U189" s="4" t="str">
        <f t="shared" si="34"/>
        <v>Nein</v>
      </c>
      <c r="V189" s="4">
        <f t="shared" si="35"/>
        <v>0</v>
      </c>
      <c r="W189" s="19">
        <f t="shared" si="36"/>
        <v>1.19</v>
      </c>
      <c r="X189" s="5">
        <v>0</v>
      </c>
      <c r="Y189" s="28">
        <f t="shared" si="37"/>
        <v>0</v>
      </c>
      <c r="Z189" s="31" t="s">
        <v>172</v>
      </c>
      <c r="AA189" t="str">
        <f t="shared" si="38"/>
        <v>Prozessfehler</v>
      </c>
    </row>
    <row r="190" spans="1:27" x14ac:dyDescent="0.35">
      <c r="A190" s="32" t="s">
        <v>15</v>
      </c>
      <c r="B190" s="2" t="str">
        <f>VLOOKUP(A190,Stammdaten!$A$3:$B$7,2,FALSE)</f>
        <v>Filiale Süd</v>
      </c>
      <c r="C190" s="3" t="str" cm="1">
        <f t="array" ref="C190">INDEX(Stammdaten!$A$11:$A$25,INT((ROW()-5)/12)+1 - INT((ROW()-5)/180)*15)</f>
        <v>A001</v>
      </c>
      <c r="D190" s="2" t="str">
        <f>VLOOKUP(C190,Stammdaten!$A$11:$B$25,2,FALSE)</f>
        <v>Vollmilch 1L</v>
      </c>
      <c r="E190" s="3" t="str">
        <f>VLOOKUP(C190,Stammdaten!$A$11:$C$25,3,FALSE)</f>
        <v>Milch</v>
      </c>
      <c r="F190" s="19">
        <f>VLOOKUP(C190,Stammdaten!$A$11:$D$25,4,FALSE)</f>
        <v>1.19</v>
      </c>
      <c r="G190" s="4">
        <f t="shared" si="26"/>
        <v>6</v>
      </c>
      <c r="H190" s="20" t="str">
        <f>VLOOKUP(G190,Stammdaten!$A$30:$B$41,2,FALSE)</f>
        <v>Juni</v>
      </c>
      <c r="I190" s="4">
        <v>418</v>
      </c>
      <c r="J190" s="4">
        <v>393</v>
      </c>
      <c r="K190" s="4">
        <f t="shared" si="27"/>
        <v>-25</v>
      </c>
      <c r="L190" s="27">
        <f t="shared" si="28"/>
        <v>-5.9808612440191391</v>
      </c>
      <c r="M190" s="52" t="str">
        <f t="shared" si="29"/>
        <v>Schwund</v>
      </c>
      <c r="N190" s="28">
        <f t="shared" si="30"/>
        <v>29.75</v>
      </c>
      <c r="O190" s="5">
        <v>1</v>
      </c>
      <c r="P190" s="4">
        <v>0</v>
      </c>
      <c r="Q190" s="28">
        <f t="shared" si="31"/>
        <v>7.4375</v>
      </c>
      <c r="R190" s="50">
        <f t="shared" si="32"/>
        <v>8.9249999999999989</v>
      </c>
      <c r="S190" s="2" t="str">
        <f t="shared" si="33"/>
        <v>Normal</v>
      </c>
      <c r="T190" s="4">
        <v>0</v>
      </c>
      <c r="U190" s="4" t="str">
        <f t="shared" si="34"/>
        <v>Ja - 20% Reduzierung</v>
      </c>
      <c r="V190" s="4">
        <f t="shared" si="35"/>
        <v>20</v>
      </c>
      <c r="W190" s="19">
        <f t="shared" si="36"/>
        <v>0.95</v>
      </c>
      <c r="X190" s="5">
        <v>59</v>
      </c>
      <c r="Y190" s="28">
        <f t="shared" si="37"/>
        <v>14.04</v>
      </c>
      <c r="Z190" s="31" t="s">
        <v>173</v>
      </c>
      <c r="AA190" t="str">
        <f t="shared" si="38"/>
        <v>Buchungsfehler Wareneingang</v>
      </c>
    </row>
    <row r="191" spans="1:27" x14ac:dyDescent="0.35">
      <c r="A191" s="32" t="s">
        <v>15</v>
      </c>
      <c r="B191" s="2" t="str">
        <f>VLOOKUP(A191,Stammdaten!$A$3:$B$7,2,FALSE)</f>
        <v>Filiale Süd</v>
      </c>
      <c r="C191" s="3" t="str" cm="1">
        <f t="array" ref="C191">INDEX(Stammdaten!$A$11:$A$25,INT((ROW()-5)/12)+1 - INT((ROW()-5)/180)*15)</f>
        <v>A001</v>
      </c>
      <c r="D191" s="2" t="str">
        <f>VLOOKUP(C191,Stammdaten!$A$11:$B$25,2,FALSE)</f>
        <v>Vollmilch 1L</v>
      </c>
      <c r="E191" s="3" t="str">
        <f>VLOOKUP(C191,Stammdaten!$A$11:$C$25,3,FALSE)</f>
        <v>Milch</v>
      </c>
      <c r="F191" s="19">
        <f>VLOOKUP(C191,Stammdaten!$A$11:$D$25,4,FALSE)</f>
        <v>1.19</v>
      </c>
      <c r="G191" s="4">
        <f t="shared" si="26"/>
        <v>7</v>
      </c>
      <c r="H191" s="20" t="str">
        <f>VLOOKUP(G191,Stammdaten!$A$30:$B$41,2,FALSE)</f>
        <v>Juli</v>
      </c>
      <c r="I191" s="4">
        <v>490</v>
      </c>
      <c r="J191" s="4">
        <v>466</v>
      </c>
      <c r="K191" s="4">
        <f t="shared" si="27"/>
        <v>-24</v>
      </c>
      <c r="L191" s="27">
        <f t="shared" si="28"/>
        <v>-4.8979591836734695</v>
      </c>
      <c r="M191" s="52" t="str">
        <f t="shared" si="29"/>
        <v>Schwund</v>
      </c>
      <c r="N191" s="28">
        <f t="shared" si="30"/>
        <v>28.56</v>
      </c>
      <c r="O191" s="5">
        <v>4</v>
      </c>
      <c r="P191" s="4">
        <v>3</v>
      </c>
      <c r="Q191" s="28">
        <f t="shared" si="31"/>
        <v>7.14</v>
      </c>
      <c r="R191" s="50">
        <f t="shared" si="32"/>
        <v>8.5679999999999996</v>
      </c>
      <c r="S191" s="2" t="str">
        <f t="shared" si="33"/>
        <v>Normal</v>
      </c>
      <c r="T191" s="4">
        <v>0</v>
      </c>
      <c r="U191" s="4" t="str">
        <f t="shared" si="34"/>
        <v>Nein</v>
      </c>
      <c r="V191" s="4">
        <f t="shared" si="35"/>
        <v>0</v>
      </c>
      <c r="W191" s="19">
        <f t="shared" si="36"/>
        <v>1.19</v>
      </c>
      <c r="X191" s="5">
        <v>0</v>
      </c>
      <c r="Y191" s="28">
        <f t="shared" si="37"/>
        <v>0</v>
      </c>
      <c r="Z191" s="31" t="s">
        <v>172</v>
      </c>
      <c r="AA191" t="str">
        <f t="shared" si="38"/>
        <v>Prozessfehler</v>
      </c>
    </row>
    <row r="192" spans="1:27" x14ac:dyDescent="0.35">
      <c r="A192" s="32" t="s">
        <v>15</v>
      </c>
      <c r="B192" s="2" t="str">
        <f>VLOOKUP(A192,Stammdaten!$A$3:$B$7,2,FALSE)</f>
        <v>Filiale Süd</v>
      </c>
      <c r="C192" s="3" t="str" cm="1">
        <f t="array" ref="C192">INDEX(Stammdaten!$A$11:$A$25,INT((ROW()-5)/12)+1 - INT((ROW()-5)/180)*15)</f>
        <v>A001</v>
      </c>
      <c r="D192" s="2" t="str">
        <f>VLOOKUP(C192,Stammdaten!$A$11:$B$25,2,FALSE)</f>
        <v>Vollmilch 1L</v>
      </c>
      <c r="E192" s="3" t="str">
        <f>VLOOKUP(C192,Stammdaten!$A$11:$C$25,3,FALSE)</f>
        <v>Milch</v>
      </c>
      <c r="F192" s="19">
        <f>VLOOKUP(C192,Stammdaten!$A$11:$D$25,4,FALSE)</f>
        <v>1.19</v>
      </c>
      <c r="G192" s="4">
        <f t="shared" si="26"/>
        <v>8</v>
      </c>
      <c r="H192" s="20" t="str">
        <f>VLOOKUP(G192,Stammdaten!$A$30:$B$41,2,FALSE)</f>
        <v>August</v>
      </c>
      <c r="I192" s="4">
        <v>437</v>
      </c>
      <c r="J192" s="4">
        <v>421</v>
      </c>
      <c r="K192" s="4">
        <f t="shared" si="27"/>
        <v>-16</v>
      </c>
      <c r="L192" s="27">
        <f t="shared" si="28"/>
        <v>-3.6613272311212817</v>
      </c>
      <c r="M192" s="52" t="str">
        <f t="shared" si="29"/>
        <v>Schwund</v>
      </c>
      <c r="N192" s="28">
        <f t="shared" si="30"/>
        <v>19.04</v>
      </c>
      <c r="O192" s="5">
        <v>7</v>
      </c>
      <c r="P192" s="4">
        <v>0</v>
      </c>
      <c r="Q192" s="28">
        <f t="shared" si="31"/>
        <v>4.76</v>
      </c>
      <c r="R192" s="50">
        <f t="shared" si="32"/>
        <v>5.7119999999999997</v>
      </c>
      <c r="S192" s="2" t="str">
        <f t="shared" si="33"/>
        <v>Normal</v>
      </c>
      <c r="T192" s="4">
        <v>0</v>
      </c>
      <c r="U192" s="4" t="str">
        <f t="shared" si="34"/>
        <v>Nein</v>
      </c>
      <c r="V192" s="4">
        <f t="shared" si="35"/>
        <v>0</v>
      </c>
      <c r="W192" s="19">
        <f t="shared" si="36"/>
        <v>1.19</v>
      </c>
      <c r="X192" s="5">
        <v>0</v>
      </c>
      <c r="Y192" s="28">
        <f t="shared" si="37"/>
        <v>0</v>
      </c>
      <c r="Z192" s="31" t="s">
        <v>172</v>
      </c>
      <c r="AA192" t="str">
        <f t="shared" si="38"/>
        <v>Buchungsfehler Wareneingang</v>
      </c>
    </row>
    <row r="193" spans="1:27" x14ac:dyDescent="0.35">
      <c r="A193" s="32" t="s">
        <v>15</v>
      </c>
      <c r="B193" s="2" t="str">
        <f>VLOOKUP(A193,Stammdaten!$A$3:$B$7,2,FALSE)</f>
        <v>Filiale Süd</v>
      </c>
      <c r="C193" s="3" t="str" cm="1">
        <f t="array" ref="C193">INDEX(Stammdaten!$A$11:$A$25,INT((ROW()-5)/12)+1 - INT((ROW()-5)/180)*15)</f>
        <v>A001</v>
      </c>
      <c r="D193" s="2" t="str">
        <f>VLOOKUP(C193,Stammdaten!$A$11:$B$25,2,FALSE)</f>
        <v>Vollmilch 1L</v>
      </c>
      <c r="E193" s="3" t="str">
        <f>VLOOKUP(C193,Stammdaten!$A$11:$C$25,3,FALSE)</f>
        <v>Milch</v>
      </c>
      <c r="F193" s="19">
        <f>VLOOKUP(C193,Stammdaten!$A$11:$D$25,4,FALSE)</f>
        <v>1.19</v>
      </c>
      <c r="G193" s="4">
        <f t="shared" si="26"/>
        <v>9</v>
      </c>
      <c r="H193" s="20" t="str">
        <f>VLOOKUP(G193,Stammdaten!$A$30:$B$41,2,FALSE)</f>
        <v>September</v>
      </c>
      <c r="I193" s="4">
        <v>376</v>
      </c>
      <c r="J193" s="4">
        <v>361</v>
      </c>
      <c r="K193" s="4">
        <f t="shared" si="27"/>
        <v>-15</v>
      </c>
      <c r="L193" s="27">
        <f t="shared" si="28"/>
        <v>-3.9893617021276597</v>
      </c>
      <c r="M193" s="52" t="str">
        <f t="shared" si="29"/>
        <v>Schwund</v>
      </c>
      <c r="N193" s="28">
        <f t="shared" si="30"/>
        <v>17.849999999999998</v>
      </c>
      <c r="O193" s="5">
        <v>5</v>
      </c>
      <c r="P193" s="4">
        <v>0</v>
      </c>
      <c r="Q193" s="28">
        <f t="shared" si="31"/>
        <v>4.4624999999999995</v>
      </c>
      <c r="R193" s="50">
        <f t="shared" si="32"/>
        <v>5.3549999999999995</v>
      </c>
      <c r="S193" s="2" t="str">
        <f t="shared" si="33"/>
        <v>Normal</v>
      </c>
      <c r="T193" s="4">
        <v>0</v>
      </c>
      <c r="U193" s="4" t="str">
        <f t="shared" si="34"/>
        <v>Nein</v>
      </c>
      <c r="V193" s="4">
        <f t="shared" si="35"/>
        <v>0</v>
      </c>
      <c r="W193" s="19">
        <f t="shared" si="36"/>
        <v>1.19</v>
      </c>
      <c r="X193" s="5">
        <v>0</v>
      </c>
      <c r="Y193" s="28">
        <f t="shared" si="37"/>
        <v>0</v>
      </c>
      <c r="Z193" s="31" t="s">
        <v>172</v>
      </c>
      <c r="AA193" t="str">
        <f t="shared" si="38"/>
        <v>Buchungsfehler Wareneingang</v>
      </c>
    </row>
    <row r="194" spans="1:27" x14ac:dyDescent="0.35">
      <c r="A194" s="32" t="s">
        <v>15</v>
      </c>
      <c r="B194" s="2" t="str">
        <f>VLOOKUP(A194,Stammdaten!$A$3:$B$7,2,FALSE)</f>
        <v>Filiale Süd</v>
      </c>
      <c r="C194" s="3" t="str" cm="1">
        <f t="array" ref="C194">INDEX(Stammdaten!$A$11:$A$25,INT((ROW()-5)/12)+1 - INT((ROW()-5)/180)*15)</f>
        <v>A001</v>
      </c>
      <c r="D194" s="2" t="str">
        <f>VLOOKUP(C194,Stammdaten!$A$11:$B$25,2,FALSE)</f>
        <v>Vollmilch 1L</v>
      </c>
      <c r="E194" s="3" t="str">
        <f>VLOOKUP(C194,Stammdaten!$A$11:$C$25,3,FALSE)</f>
        <v>Milch</v>
      </c>
      <c r="F194" s="19">
        <f>VLOOKUP(C194,Stammdaten!$A$11:$D$25,4,FALSE)</f>
        <v>1.19</v>
      </c>
      <c r="G194" s="4">
        <f t="shared" si="26"/>
        <v>10</v>
      </c>
      <c r="H194" s="20" t="str">
        <f>VLOOKUP(G194,Stammdaten!$A$30:$B$41,2,FALSE)</f>
        <v>Oktober</v>
      </c>
      <c r="I194" s="4">
        <v>408</v>
      </c>
      <c r="J194" s="4">
        <v>390</v>
      </c>
      <c r="K194" s="4">
        <f t="shared" si="27"/>
        <v>-18</v>
      </c>
      <c r="L194" s="27">
        <f t="shared" si="28"/>
        <v>-4.4117647058823533</v>
      </c>
      <c r="M194" s="52" t="str">
        <f t="shared" si="29"/>
        <v>Schwund</v>
      </c>
      <c r="N194" s="28">
        <f t="shared" si="30"/>
        <v>21.419999999999998</v>
      </c>
      <c r="O194" s="5">
        <v>3</v>
      </c>
      <c r="P194" s="4">
        <v>1</v>
      </c>
      <c r="Q194" s="28">
        <f t="shared" si="31"/>
        <v>5.3549999999999995</v>
      </c>
      <c r="R194" s="50">
        <f t="shared" si="32"/>
        <v>6.4259999999999993</v>
      </c>
      <c r="S194" s="2" t="str">
        <f t="shared" si="33"/>
        <v>Normal</v>
      </c>
      <c r="T194" s="4">
        <v>0</v>
      </c>
      <c r="U194" s="4" t="str">
        <f t="shared" si="34"/>
        <v>Ja - 20% Reduzierung</v>
      </c>
      <c r="V194" s="4">
        <f t="shared" si="35"/>
        <v>20</v>
      </c>
      <c r="W194" s="19">
        <f t="shared" si="36"/>
        <v>0.95</v>
      </c>
      <c r="X194" s="5">
        <v>33</v>
      </c>
      <c r="Y194" s="28">
        <f t="shared" si="37"/>
        <v>7.85</v>
      </c>
      <c r="Z194" s="31" t="s">
        <v>173</v>
      </c>
      <c r="AA194" t="str">
        <f t="shared" si="38"/>
        <v>Buchungsfehler Wareneingang</v>
      </c>
    </row>
    <row r="195" spans="1:27" x14ac:dyDescent="0.35">
      <c r="A195" s="32" t="s">
        <v>15</v>
      </c>
      <c r="B195" s="2" t="str">
        <f>VLOOKUP(A195,Stammdaten!$A$3:$B$7,2,FALSE)</f>
        <v>Filiale Süd</v>
      </c>
      <c r="C195" s="3" t="str" cm="1">
        <f t="array" ref="C195">INDEX(Stammdaten!$A$11:$A$25,INT((ROW()-5)/12)+1 - INT((ROW()-5)/180)*15)</f>
        <v>A001</v>
      </c>
      <c r="D195" s="2" t="str">
        <f>VLOOKUP(C195,Stammdaten!$A$11:$B$25,2,FALSE)</f>
        <v>Vollmilch 1L</v>
      </c>
      <c r="E195" s="3" t="str">
        <f>VLOOKUP(C195,Stammdaten!$A$11:$C$25,3,FALSE)</f>
        <v>Milch</v>
      </c>
      <c r="F195" s="19">
        <f>VLOOKUP(C195,Stammdaten!$A$11:$D$25,4,FALSE)</f>
        <v>1.19</v>
      </c>
      <c r="G195" s="4">
        <f t="shared" si="26"/>
        <v>11</v>
      </c>
      <c r="H195" s="20" t="str">
        <f>VLOOKUP(G195,Stammdaten!$A$30:$B$41,2,FALSE)</f>
        <v>November</v>
      </c>
      <c r="I195" s="4">
        <v>418</v>
      </c>
      <c r="J195" s="4">
        <v>398</v>
      </c>
      <c r="K195" s="4">
        <f t="shared" si="27"/>
        <v>-20</v>
      </c>
      <c r="L195" s="27">
        <f t="shared" si="28"/>
        <v>-4.7846889952153111</v>
      </c>
      <c r="M195" s="52" t="str">
        <f t="shared" si="29"/>
        <v>Schwund</v>
      </c>
      <c r="N195" s="28">
        <f t="shared" si="30"/>
        <v>23.799999999999997</v>
      </c>
      <c r="O195" s="5">
        <v>6</v>
      </c>
      <c r="P195" s="4">
        <v>3</v>
      </c>
      <c r="Q195" s="28">
        <f t="shared" si="31"/>
        <v>5.9499999999999993</v>
      </c>
      <c r="R195" s="50">
        <f t="shared" si="32"/>
        <v>7.1399999999999988</v>
      </c>
      <c r="S195" s="2" t="str">
        <f t="shared" si="33"/>
        <v>Black Friday</v>
      </c>
      <c r="T195" s="4">
        <v>0</v>
      </c>
      <c r="U195" s="4" t="str">
        <f t="shared" si="34"/>
        <v>Nein</v>
      </c>
      <c r="V195" s="4">
        <f t="shared" si="35"/>
        <v>0</v>
      </c>
      <c r="W195" s="19">
        <f t="shared" si="36"/>
        <v>1.19</v>
      </c>
      <c r="X195" s="5">
        <v>0</v>
      </c>
      <c r="Y195" s="28">
        <f t="shared" si="37"/>
        <v>0</v>
      </c>
      <c r="Z195" s="31" t="s">
        <v>172</v>
      </c>
      <c r="AA195" t="str">
        <f t="shared" si="38"/>
        <v>Prozessfehler</v>
      </c>
    </row>
    <row r="196" spans="1:27" x14ac:dyDescent="0.35">
      <c r="A196" s="32" t="s">
        <v>15</v>
      </c>
      <c r="B196" s="2" t="str">
        <f>VLOOKUP(A196,Stammdaten!$A$3:$B$7,2,FALSE)</f>
        <v>Filiale Süd</v>
      </c>
      <c r="C196" s="3" t="str" cm="1">
        <f t="array" ref="C196">INDEX(Stammdaten!$A$11:$A$25,INT((ROW()-5)/12)+1 - INT((ROW()-5)/180)*15)</f>
        <v>A001</v>
      </c>
      <c r="D196" s="2" t="str">
        <f>VLOOKUP(C196,Stammdaten!$A$11:$B$25,2,FALSE)</f>
        <v>Vollmilch 1L</v>
      </c>
      <c r="E196" s="3" t="str">
        <f>VLOOKUP(C196,Stammdaten!$A$11:$C$25,3,FALSE)</f>
        <v>Milch</v>
      </c>
      <c r="F196" s="19">
        <f>VLOOKUP(C196,Stammdaten!$A$11:$D$25,4,FALSE)</f>
        <v>1.19</v>
      </c>
      <c r="G196" s="4">
        <f t="shared" si="26"/>
        <v>12</v>
      </c>
      <c r="H196" s="20" t="str">
        <f>VLOOKUP(G196,Stammdaten!$A$30:$B$41,2,FALSE)</f>
        <v>Dezember</v>
      </c>
      <c r="I196" s="4">
        <v>577</v>
      </c>
      <c r="J196" s="4">
        <v>579</v>
      </c>
      <c r="K196" s="4">
        <f t="shared" si="27"/>
        <v>2</v>
      </c>
      <c r="L196" s="27">
        <f t="shared" si="28"/>
        <v>0.34662045060658575</v>
      </c>
      <c r="M196" s="52" t="str">
        <f t="shared" si="29"/>
        <v>Überbestand</v>
      </c>
      <c r="N196" s="28">
        <f t="shared" si="30"/>
        <v>2.38</v>
      </c>
      <c r="O196" s="5">
        <v>1</v>
      </c>
      <c r="P196" s="4">
        <v>0</v>
      </c>
      <c r="Q196" s="28">
        <f t="shared" si="31"/>
        <v>0</v>
      </c>
      <c r="R196" s="50">
        <f t="shared" si="32"/>
        <v>0</v>
      </c>
      <c r="S196" s="2" t="str">
        <f t="shared" si="33"/>
        <v>Weihnachten/Silvester</v>
      </c>
      <c r="T196" s="4">
        <v>2</v>
      </c>
      <c r="U196" s="4" t="str">
        <f t="shared" si="34"/>
        <v>Ja - 20% Reduzierung</v>
      </c>
      <c r="V196" s="4">
        <f t="shared" si="35"/>
        <v>20</v>
      </c>
      <c r="W196" s="19">
        <f t="shared" si="36"/>
        <v>0.95</v>
      </c>
      <c r="X196" s="5">
        <v>52</v>
      </c>
      <c r="Y196" s="28">
        <f t="shared" si="37"/>
        <v>12.38</v>
      </c>
      <c r="Z196" s="31" t="s">
        <v>173</v>
      </c>
      <c r="AA196" t="str">
        <f t="shared" si="38"/>
        <v>Kassenfehler (Überbestand)</v>
      </c>
    </row>
    <row r="197" spans="1:27" x14ac:dyDescent="0.35">
      <c r="A197" s="32" t="s">
        <v>15</v>
      </c>
      <c r="B197" s="2" t="str">
        <f>VLOOKUP(A197,Stammdaten!$A$3:$B$7,2,FALSE)</f>
        <v>Filiale Süd</v>
      </c>
      <c r="C197" s="3" t="str" cm="1">
        <f t="array" ref="C197">INDEX(Stammdaten!$A$11:$A$25,INT((ROW()-5)/12)+1 - INT((ROW()-5)/180)*15)</f>
        <v>A002</v>
      </c>
      <c r="D197" s="2" t="str">
        <f>VLOOKUP(C197,Stammdaten!$A$11:$B$25,2,FALSE)</f>
        <v>Fettarme Milch 1L</v>
      </c>
      <c r="E197" s="3" t="str">
        <f>VLOOKUP(C197,Stammdaten!$A$11:$C$25,3,FALSE)</f>
        <v>Milch</v>
      </c>
      <c r="F197" s="19">
        <f>VLOOKUP(C197,Stammdaten!$A$11:$D$25,4,FALSE)</f>
        <v>1.0900000000000001</v>
      </c>
      <c r="G197" s="4">
        <f t="shared" si="26"/>
        <v>1</v>
      </c>
      <c r="H197" s="20" t="str">
        <f>VLOOKUP(G197,Stammdaten!$A$30:$B$41,2,FALSE)</f>
        <v>Januar</v>
      </c>
      <c r="I197" s="4">
        <v>327</v>
      </c>
      <c r="J197" s="4">
        <v>330</v>
      </c>
      <c r="K197" s="4">
        <f t="shared" si="27"/>
        <v>3</v>
      </c>
      <c r="L197" s="27">
        <f t="shared" si="28"/>
        <v>0.91743119266055051</v>
      </c>
      <c r="M197" s="52" t="str">
        <f t="shared" si="29"/>
        <v>Überbestand</v>
      </c>
      <c r="N197" s="28">
        <f t="shared" si="30"/>
        <v>3.2700000000000005</v>
      </c>
      <c r="O197" s="5">
        <v>0</v>
      </c>
      <c r="P197" s="4">
        <v>2</v>
      </c>
      <c r="Q197" s="28">
        <f t="shared" si="31"/>
        <v>0</v>
      </c>
      <c r="R197" s="50">
        <f t="shared" si="32"/>
        <v>0</v>
      </c>
      <c r="S197" s="2" t="str">
        <f t="shared" si="33"/>
        <v>Normal</v>
      </c>
      <c r="T197" s="4">
        <v>3</v>
      </c>
      <c r="U197" s="4" t="str">
        <f t="shared" si="34"/>
        <v>Abschreibung</v>
      </c>
      <c r="V197" s="4">
        <f t="shared" si="35"/>
        <v>100</v>
      </c>
      <c r="W197" s="19">
        <f t="shared" si="36"/>
        <v>0</v>
      </c>
      <c r="X197" s="5">
        <v>3</v>
      </c>
      <c r="Y197" s="28">
        <f t="shared" si="37"/>
        <v>3.27</v>
      </c>
      <c r="Z197" s="31" t="s">
        <v>173</v>
      </c>
      <c r="AA197" t="str">
        <f t="shared" si="38"/>
        <v>Verderb - Abgelaufen</v>
      </c>
    </row>
    <row r="198" spans="1:27" x14ac:dyDescent="0.35">
      <c r="A198" s="32" t="s">
        <v>15</v>
      </c>
      <c r="B198" s="2" t="str">
        <f>VLOOKUP(A198,Stammdaten!$A$3:$B$7,2,FALSE)</f>
        <v>Filiale Süd</v>
      </c>
      <c r="C198" s="3" t="str" cm="1">
        <f t="array" ref="C198">INDEX(Stammdaten!$A$11:$A$25,INT((ROW()-5)/12)+1 - INT((ROW()-5)/180)*15)</f>
        <v>A002</v>
      </c>
      <c r="D198" s="2" t="str">
        <f>VLOOKUP(C198,Stammdaten!$A$11:$B$25,2,FALSE)</f>
        <v>Fettarme Milch 1L</v>
      </c>
      <c r="E198" s="3" t="str">
        <f>VLOOKUP(C198,Stammdaten!$A$11:$C$25,3,FALSE)</f>
        <v>Milch</v>
      </c>
      <c r="F198" s="19">
        <f>VLOOKUP(C198,Stammdaten!$A$11:$D$25,4,FALSE)</f>
        <v>1.0900000000000001</v>
      </c>
      <c r="G198" s="4">
        <f t="shared" ref="G198:G261" si="39">MOD(ROW()-5,12)+1</f>
        <v>2</v>
      </c>
      <c r="H198" s="20" t="str">
        <f>VLOOKUP(G198,Stammdaten!$A$30:$B$41,2,FALSE)</f>
        <v>Februar</v>
      </c>
      <c r="I198" s="4">
        <v>303</v>
      </c>
      <c r="J198" s="4">
        <v>293</v>
      </c>
      <c r="K198" s="4">
        <f t="shared" ref="K198:K261" si="40">J198-I198</f>
        <v>-10</v>
      </c>
      <c r="L198" s="27">
        <f t="shared" ref="L198:L261" si="41">IF(I198=0,0,(K198)/I198*100)</f>
        <v>-3.3003300330032999</v>
      </c>
      <c r="M198" s="52" t="str">
        <f t="shared" ref="M198:M261" si="42">IF(K198=0,"Perfekt",IF(K198&lt;0,"Schwund","Überbestand"))</f>
        <v>Schwund</v>
      </c>
      <c r="N198" s="28">
        <f t="shared" ref="N198:N261" si="43">ABS(K198)*F198</f>
        <v>10.9</v>
      </c>
      <c r="O198" s="5">
        <v>6</v>
      </c>
      <c r="P198" s="4">
        <v>0</v>
      </c>
      <c r="Q198" s="28">
        <f t="shared" ref="Q198:Q261" si="44">IF(K198&lt;0,ABS(N198)*0.25,0)</f>
        <v>2.7250000000000001</v>
      </c>
      <c r="R198" s="50">
        <f t="shared" ref="R198:R261" si="45">IF(K198&lt;0,ABS(N198)*0.3,0)</f>
        <v>3.27</v>
      </c>
      <c r="S198" s="2" t="str">
        <f t="shared" ref="S198:S261" si="46">IF(G198=4,"Ostern",IF(G198=12,"Weihnachten/Silvester",IF(G198=11,"Black Friday",IF(G198=2,"Karneval","Normal"))))</f>
        <v>Karneval</v>
      </c>
      <c r="T198" s="4">
        <v>0</v>
      </c>
      <c r="U198" s="4" t="str">
        <f t="shared" ref="U198:U261" si="47">IF(O198&lt;=0,"Abschreibung",IF(O198&lt;=3,"Ja - 20% Reduzierung","Nein"))</f>
        <v>Nein</v>
      </c>
      <c r="V198" s="4">
        <f t="shared" ref="V198:V261" si="48">IF(O198&lt;=0,100,IF(O198&lt;=3,20,0))</f>
        <v>0</v>
      </c>
      <c r="W198" s="19">
        <f t="shared" ref="W198:W261" si="49">IF(V198=100,0,ROUND(F198*(1-V198/100),2))</f>
        <v>1.0900000000000001</v>
      </c>
      <c r="X198" s="5">
        <v>0</v>
      </c>
      <c r="Y198" s="28">
        <f t="shared" ref="Y198:Y261" si="50">ROUND(X198*F198*(V198/100),2)</f>
        <v>0</v>
      </c>
      <c r="Z198" s="31" t="s">
        <v>172</v>
      </c>
      <c r="AA198" t="str">
        <f t="shared" ref="AA198:AA261" si="51">IF(O198&lt;=0,"Verderb - Abgelaufen",IF(AND(O198&lt;=3,Z198&lt;&gt;"Korrekt",Z198&lt;&gt;"Kein MHD - Prozess"),"MHD - Prozessfehler",IF(K198&gt;0,"Kassenfehler (Überbestand)",IF(AND(ABS(L198)&gt;3,A198="F005"),"Diebstahlrisiko",IF(AND(ABS(L198)&gt;2,P198&lt;2),"Buchungsfehler Wareneingang",IF(ABS(L198)&gt;2,"Prozessfehler","Normal/Gering"))))))</f>
        <v>Buchungsfehler Wareneingang</v>
      </c>
    </row>
    <row r="199" spans="1:27" x14ac:dyDescent="0.35">
      <c r="A199" s="32" t="s">
        <v>15</v>
      </c>
      <c r="B199" s="2" t="str">
        <f>VLOOKUP(A199,Stammdaten!$A$3:$B$7,2,FALSE)</f>
        <v>Filiale Süd</v>
      </c>
      <c r="C199" s="3" t="str" cm="1">
        <f t="array" ref="C199">INDEX(Stammdaten!$A$11:$A$25,INT((ROW()-5)/12)+1 - INT((ROW()-5)/180)*15)</f>
        <v>A002</v>
      </c>
      <c r="D199" s="2" t="str">
        <f>VLOOKUP(C199,Stammdaten!$A$11:$B$25,2,FALSE)</f>
        <v>Fettarme Milch 1L</v>
      </c>
      <c r="E199" s="3" t="str">
        <f>VLOOKUP(C199,Stammdaten!$A$11:$C$25,3,FALSE)</f>
        <v>Milch</v>
      </c>
      <c r="F199" s="19">
        <f>VLOOKUP(C199,Stammdaten!$A$11:$D$25,4,FALSE)</f>
        <v>1.0900000000000001</v>
      </c>
      <c r="G199" s="4">
        <f t="shared" si="39"/>
        <v>3</v>
      </c>
      <c r="H199" s="20" t="str">
        <f>VLOOKUP(G199,Stammdaten!$A$30:$B$41,2,FALSE)</f>
        <v>März</v>
      </c>
      <c r="I199" s="4">
        <v>367</v>
      </c>
      <c r="J199" s="4">
        <v>353</v>
      </c>
      <c r="K199" s="4">
        <f t="shared" si="40"/>
        <v>-14</v>
      </c>
      <c r="L199" s="27">
        <f t="shared" si="41"/>
        <v>-3.8147138964577656</v>
      </c>
      <c r="M199" s="52" t="str">
        <f t="shared" si="42"/>
        <v>Schwund</v>
      </c>
      <c r="N199" s="28">
        <f t="shared" si="43"/>
        <v>15.260000000000002</v>
      </c>
      <c r="O199" s="5">
        <v>3</v>
      </c>
      <c r="P199" s="4">
        <v>2</v>
      </c>
      <c r="Q199" s="28">
        <f t="shared" si="44"/>
        <v>3.8150000000000004</v>
      </c>
      <c r="R199" s="50">
        <f t="shared" si="45"/>
        <v>4.5780000000000003</v>
      </c>
      <c r="S199" s="2" t="str">
        <f t="shared" si="46"/>
        <v>Normal</v>
      </c>
      <c r="T199" s="4">
        <v>0</v>
      </c>
      <c r="U199" s="4" t="str">
        <f t="shared" si="47"/>
        <v>Ja - 20% Reduzierung</v>
      </c>
      <c r="V199" s="4">
        <f t="shared" si="48"/>
        <v>20</v>
      </c>
      <c r="W199" s="19">
        <f t="shared" si="49"/>
        <v>0.87</v>
      </c>
      <c r="X199" s="5">
        <v>51</v>
      </c>
      <c r="Y199" s="28">
        <f t="shared" si="50"/>
        <v>11.12</v>
      </c>
      <c r="Z199" s="31" t="s">
        <v>173</v>
      </c>
      <c r="AA199" t="str">
        <f t="shared" si="51"/>
        <v>Prozessfehler</v>
      </c>
    </row>
    <row r="200" spans="1:27" x14ac:dyDescent="0.35">
      <c r="A200" s="32" t="s">
        <v>15</v>
      </c>
      <c r="B200" s="2" t="str">
        <f>VLOOKUP(A200,Stammdaten!$A$3:$B$7,2,FALSE)</f>
        <v>Filiale Süd</v>
      </c>
      <c r="C200" s="3" t="str" cm="1">
        <f t="array" ref="C200">INDEX(Stammdaten!$A$11:$A$25,INT((ROW()-5)/12)+1 - INT((ROW()-5)/180)*15)</f>
        <v>A002</v>
      </c>
      <c r="D200" s="2" t="str">
        <f>VLOOKUP(C200,Stammdaten!$A$11:$B$25,2,FALSE)</f>
        <v>Fettarme Milch 1L</v>
      </c>
      <c r="E200" s="3" t="str">
        <f>VLOOKUP(C200,Stammdaten!$A$11:$C$25,3,FALSE)</f>
        <v>Milch</v>
      </c>
      <c r="F200" s="19">
        <f>VLOOKUP(C200,Stammdaten!$A$11:$D$25,4,FALSE)</f>
        <v>1.0900000000000001</v>
      </c>
      <c r="G200" s="4">
        <f t="shared" si="39"/>
        <v>4</v>
      </c>
      <c r="H200" s="20" t="str">
        <f>VLOOKUP(G200,Stammdaten!$A$30:$B$41,2,FALSE)</f>
        <v>April</v>
      </c>
      <c r="I200" s="4">
        <v>464</v>
      </c>
      <c r="J200" s="4">
        <v>438</v>
      </c>
      <c r="K200" s="4">
        <f t="shared" si="40"/>
        <v>-26</v>
      </c>
      <c r="L200" s="27">
        <f t="shared" si="41"/>
        <v>-5.6034482758620694</v>
      </c>
      <c r="M200" s="52" t="str">
        <f t="shared" si="42"/>
        <v>Schwund</v>
      </c>
      <c r="N200" s="28">
        <f t="shared" si="43"/>
        <v>28.340000000000003</v>
      </c>
      <c r="O200" s="5">
        <v>3</v>
      </c>
      <c r="P200" s="4">
        <v>0</v>
      </c>
      <c r="Q200" s="28">
        <f t="shared" si="44"/>
        <v>7.0850000000000009</v>
      </c>
      <c r="R200" s="50">
        <f t="shared" si="45"/>
        <v>8.5020000000000007</v>
      </c>
      <c r="S200" s="2" t="str">
        <f t="shared" si="46"/>
        <v>Ostern</v>
      </c>
      <c r="T200" s="4">
        <v>0</v>
      </c>
      <c r="U200" s="4" t="str">
        <f t="shared" si="47"/>
        <v>Ja - 20% Reduzierung</v>
      </c>
      <c r="V200" s="4">
        <f t="shared" si="48"/>
        <v>20</v>
      </c>
      <c r="W200" s="19">
        <f t="shared" si="49"/>
        <v>0.87</v>
      </c>
      <c r="X200" s="5">
        <v>46</v>
      </c>
      <c r="Y200" s="28">
        <f t="shared" si="50"/>
        <v>10.029999999999999</v>
      </c>
      <c r="Z200" s="31" t="s">
        <v>173</v>
      </c>
      <c r="AA200" t="str">
        <f t="shared" si="51"/>
        <v>Buchungsfehler Wareneingang</v>
      </c>
    </row>
    <row r="201" spans="1:27" x14ac:dyDescent="0.35">
      <c r="A201" s="32" t="s">
        <v>15</v>
      </c>
      <c r="B201" s="2" t="str">
        <f>VLOOKUP(A201,Stammdaten!$A$3:$B$7,2,FALSE)</f>
        <v>Filiale Süd</v>
      </c>
      <c r="C201" s="3" t="str" cm="1">
        <f t="array" ref="C201">INDEX(Stammdaten!$A$11:$A$25,INT((ROW()-5)/12)+1 - INT((ROW()-5)/180)*15)</f>
        <v>A002</v>
      </c>
      <c r="D201" s="2" t="str">
        <f>VLOOKUP(C201,Stammdaten!$A$11:$B$25,2,FALSE)</f>
        <v>Fettarme Milch 1L</v>
      </c>
      <c r="E201" s="3" t="str">
        <f>VLOOKUP(C201,Stammdaten!$A$11:$C$25,3,FALSE)</f>
        <v>Milch</v>
      </c>
      <c r="F201" s="19">
        <f>VLOOKUP(C201,Stammdaten!$A$11:$D$25,4,FALSE)</f>
        <v>1.0900000000000001</v>
      </c>
      <c r="G201" s="4">
        <f t="shared" si="39"/>
        <v>5</v>
      </c>
      <c r="H201" s="20" t="str">
        <f>VLOOKUP(G201,Stammdaten!$A$30:$B$41,2,FALSE)</f>
        <v>Mai</v>
      </c>
      <c r="I201" s="4">
        <v>342</v>
      </c>
      <c r="J201" s="4">
        <v>329</v>
      </c>
      <c r="K201" s="4">
        <f t="shared" si="40"/>
        <v>-13</v>
      </c>
      <c r="L201" s="27">
        <f t="shared" si="41"/>
        <v>-3.8011695906432745</v>
      </c>
      <c r="M201" s="52" t="str">
        <f t="shared" si="42"/>
        <v>Schwund</v>
      </c>
      <c r="N201" s="28">
        <f t="shared" si="43"/>
        <v>14.170000000000002</v>
      </c>
      <c r="O201" s="5">
        <v>7</v>
      </c>
      <c r="P201" s="4">
        <v>0</v>
      </c>
      <c r="Q201" s="28">
        <f t="shared" si="44"/>
        <v>3.5425000000000004</v>
      </c>
      <c r="R201" s="50">
        <f t="shared" si="45"/>
        <v>4.2510000000000003</v>
      </c>
      <c r="S201" s="2" t="str">
        <f t="shared" si="46"/>
        <v>Normal</v>
      </c>
      <c r="T201" s="4">
        <v>0</v>
      </c>
      <c r="U201" s="4" t="str">
        <f t="shared" si="47"/>
        <v>Nein</v>
      </c>
      <c r="V201" s="4">
        <f t="shared" si="48"/>
        <v>0</v>
      </c>
      <c r="W201" s="19">
        <f t="shared" si="49"/>
        <v>1.0900000000000001</v>
      </c>
      <c r="X201" s="5">
        <v>0</v>
      </c>
      <c r="Y201" s="28">
        <f t="shared" si="50"/>
        <v>0</v>
      </c>
      <c r="Z201" s="31" t="s">
        <v>172</v>
      </c>
      <c r="AA201" t="str">
        <f t="shared" si="51"/>
        <v>Buchungsfehler Wareneingang</v>
      </c>
    </row>
    <row r="202" spans="1:27" x14ac:dyDescent="0.35">
      <c r="A202" s="32" t="s">
        <v>15</v>
      </c>
      <c r="B202" s="2" t="str">
        <f>VLOOKUP(A202,Stammdaten!$A$3:$B$7,2,FALSE)</f>
        <v>Filiale Süd</v>
      </c>
      <c r="C202" s="3" t="str" cm="1">
        <f t="array" ref="C202">INDEX(Stammdaten!$A$11:$A$25,INT((ROW()-5)/12)+1 - INT((ROW()-5)/180)*15)</f>
        <v>A002</v>
      </c>
      <c r="D202" s="2" t="str">
        <f>VLOOKUP(C202,Stammdaten!$A$11:$B$25,2,FALSE)</f>
        <v>Fettarme Milch 1L</v>
      </c>
      <c r="E202" s="3" t="str">
        <f>VLOOKUP(C202,Stammdaten!$A$11:$C$25,3,FALSE)</f>
        <v>Milch</v>
      </c>
      <c r="F202" s="19">
        <f>VLOOKUP(C202,Stammdaten!$A$11:$D$25,4,FALSE)</f>
        <v>1.0900000000000001</v>
      </c>
      <c r="G202" s="4">
        <f t="shared" si="39"/>
        <v>6</v>
      </c>
      <c r="H202" s="20" t="str">
        <f>VLOOKUP(G202,Stammdaten!$A$30:$B$41,2,FALSE)</f>
        <v>Juni</v>
      </c>
      <c r="I202" s="4">
        <v>392</v>
      </c>
      <c r="J202" s="4">
        <v>372</v>
      </c>
      <c r="K202" s="4">
        <f t="shared" si="40"/>
        <v>-20</v>
      </c>
      <c r="L202" s="27">
        <f t="shared" si="41"/>
        <v>-5.1020408163265305</v>
      </c>
      <c r="M202" s="52" t="str">
        <f t="shared" si="42"/>
        <v>Schwund</v>
      </c>
      <c r="N202" s="28">
        <f t="shared" si="43"/>
        <v>21.8</v>
      </c>
      <c r="O202" s="5">
        <v>5</v>
      </c>
      <c r="P202" s="4">
        <v>3</v>
      </c>
      <c r="Q202" s="28">
        <f t="shared" si="44"/>
        <v>5.45</v>
      </c>
      <c r="R202" s="50">
        <f t="shared" si="45"/>
        <v>6.54</v>
      </c>
      <c r="S202" s="2" t="str">
        <f t="shared" si="46"/>
        <v>Normal</v>
      </c>
      <c r="T202" s="4">
        <v>0</v>
      </c>
      <c r="U202" s="4" t="str">
        <f t="shared" si="47"/>
        <v>Nein</v>
      </c>
      <c r="V202" s="4">
        <f t="shared" si="48"/>
        <v>0</v>
      </c>
      <c r="W202" s="19">
        <f t="shared" si="49"/>
        <v>1.0900000000000001</v>
      </c>
      <c r="X202" s="5">
        <v>0</v>
      </c>
      <c r="Y202" s="28">
        <f t="shared" si="50"/>
        <v>0</v>
      </c>
      <c r="Z202" s="31" t="s">
        <v>172</v>
      </c>
      <c r="AA202" t="str">
        <f t="shared" si="51"/>
        <v>Prozessfehler</v>
      </c>
    </row>
    <row r="203" spans="1:27" x14ac:dyDescent="0.35">
      <c r="A203" s="32" t="s">
        <v>15</v>
      </c>
      <c r="B203" s="2" t="str">
        <f>VLOOKUP(A203,Stammdaten!$A$3:$B$7,2,FALSE)</f>
        <v>Filiale Süd</v>
      </c>
      <c r="C203" s="3" t="str" cm="1">
        <f t="array" ref="C203">INDEX(Stammdaten!$A$11:$A$25,INT((ROW()-5)/12)+1 - INT((ROW()-5)/180)*15)</f>
        <v>A002</v>
      </c>
      <c r="D203" s="2" t="str">
        <f>VLOOKUP(C203,Stammdaten!$A$11:$B$25,2,FALSE)</f>
        <v>Fettarme Milch 1L</v>
      </c>
      <c r="E203" s="3" t="str">
        <f>VLOOKUP(C203,Stammdaten!$A$11:$C$25,3,FALSE)</f>
        <v>Milch</v>
      </c>
      <c r="F203" s="19">
        <f>VLOOKUP(C203,Stammdaten!$A$11:$D$25,4,FALSE)</f>
        <v>1.0900000000000001</v>
      </c>
      <c r="G203" s="4">
        <f t="shared" si="39"/>
        <v>7</v>
      </c>
      <c r="H203" s="20" t="str">
        <f>VLOOKUP(G203,Stammdaten!$A$30:$B$41,2,FALSE)</f>
        <v>Juli</v>
      </c>
      <c r="I203" s="4">
        <v>419</v>
      </c>
      <c r="J203" s="4">
        <v>402</v>
      </c>
      <c r="K203" s="4">
        <f t="shared" si="40"/>
        <v>-17</v>
      </c>
      <c r="L203" s="27">
        <f t="shared" si="41"/>
        <v>-4.0572792362768499</v>
      </c>
      <c r="M203" s="52" t="str">
        <f t="shared" si="42"/>
        <v>Schwund</v>
      </c>
      <c r="N203" s="28">
        <f t="shared" si="43"/>
        <v>18.53</v>
      </c>
      <c r="O203" s="5">
        <v>6</v>
      </c>
      <c r="P203" s="4">
        <v>2</v>
      </c>
      <c r="Q203" s="28">
        <f t="shared" si="44"/>
        <v>4.6325000000000003</v>
      </c>
      <c r="R203" s="50">
        <f t="shared" si="45"/>
        <v>5.5590000000000002</v>
      </c>
      <c r="S203" s="2" t="str">
        <f t="shared" si="46"/>
        <v>Normal</v>
      </c>
      <c r="T203" s="4">
        <v>0</v>
      </c>
      <c r="U203" s="4" t="str">
        <f t="shared" si="47"/>
        <v>Nein</v>
      </c>
      <c r="V203" s="4">
        <f t="shared" si="48"/>
        <v>0</v>
      </c>
      <c r="W203" s="19">
        <f t="shared" si="49"/>
        <v>1.0900000000000001</v>
      </c>
      <c r="X203" s="5">
        <v>0</v>
      </c>
      <c r="Y203" s="28">
        <f t="shared" si="50"/>
        <v>0</v>
      </c>
      <c r="Z203" s="31" t="s">
        <v>172</v>
      </c>
      <c r="AA203" t="str">
        <f t="shared" si="51"/>
        <v>Prozessfehler</v>
      </c>
    </row>
    <row r="204" spans="1:27" x14ac:dyDescent="0.35">
      <c r="A204" s="32" t="s">
        <v>15</v>
      </c>
      <c r="B204" s="2" t="str">
        <f>VLOOKUP(A204,Stammdaten!$A$3:$B$7,2,FALSE)</f>
        <v>Filiale Süd</v>
      </c>
      <c r="C204" s="3" t="str" cm="1">
        <f t="array" ref="C204">INDEX(Stammdaten!$A$11:$A$25,INT((ROW()-5)/12)+1 - INT((ROW()-5)/180)*15)</f>
        <v>A002</v>
      </c>
      <c r="D204" s="2" t="str">
        <f>VLOOKUP(C204,Stammdaten!$A$11:$B$25,2,FALSE)</f>
        <v>Fettarme Milch 1L</v>
      </c>
      <c r="E204" s="3" t="str">
        <f>VLOOKUP(C204,Stammdaten!$A$11:$C$25,3,FALSE)</f>
        <v>Milch</v>
      </c>
      <c r="F204" s="19">
        <f>VLOOKUP(C204,Stammdaten!$A$11:$D$25,4,FALSE)</f>
        <v>1.0900000000000001</v>
      </c>
      <c r="G204" s="4">
        <f t="shared" si="39"/>
        <v>8</v>
      </c>
      <c r="H204" s="20" t="str">
        <f>VLOOKUP(G204,Stammdaten!$A$30:$B$41,2,FALSE)</f>
        <v>August</v>
      </c>
      <c r="I204" s="4">
        <v>410</v>
      </c>
      <c r="J204" s="4">
        <v>392</v>
      </c>
      <c r="K204" s="4">
        <f t="shared" si="40"/>
        <v>-18</v>
      </c>
      <c r="L204" s="27">
        <f t="shared" si="41"/>
        <v>-4.3902439024390238</v>
      </c>
      <c r="M204" s="52" t="str">
        <f t="shared" si="42"/>
        <v>Schwund</v>
      </c>
      <c r="N204" s="28">
        <f t="shared" si="43"/>
        <v>19.62</v>
      </c>
      <c r="O204" s="5">
        <v>2</v>
      </c>
      <c r="P204" s="4">
        <v>2</v>
      </c>
      <c r="Q204" s="28">
        <f t="shared" si="44"/>
        <v>4.9050000000000002</v>
      </c>
      <c r="R204" s="50">
        <f t="shared" si="45"/>
        <v>5.8860000000000001</v>
      </c>
      <c r="S204" s="2" t="str">
        <f t="shared" si="46"/>
        <v>Normal</v>
      </c>
      <c r="T204" s="4">
        <v>0</v>
      </c>
      <c r="U204" s="4" t="str">
        <f t="shared" si="47"/>
        <v>Ja - 20% Reduzierung</v>
      </c>
      <c r="V204" s="4">
        <f t="shared" si="48"/>
        <v>20</v>
      </c>
      <c r="W204" s="19">
        <f t="shared" si="49"/>
        <v>0.87</v>
      </c>
      <c r="X204" s="5">
        <v>41</v>
      </c>
      <c r="Y204" s="28">
        <f t="shared" si="50"/>
        <v>8.94</v>
      </c>
      <c r="Z204" s="31" t="s">
        <v>173</v>
      </c>
      <c r="AA204" t="str">
        <f t="shared" si="51"/>
        <v>Prozessfehler</v>
      </c>
    </row>
    <row r="205" spans="1:27" x14ac:dyDescent="0.35">
      <c r="A205" s="32" t="s">
        <v>15</v>
      </c>
      <c r="B205" s="2" t="str">
        <f>VLOOKUP(A205,Stammdaten!$A$3:$B$7,2,FALSE)</f>
        <v>Filiale Süd</v>
      </c>
      <c r="C205" s="3" t="str" cm="1">
        <f t="array" ref="C205">INDEX(Stammdaten!$A$11:$A$25,INT((ROW()-5)/12)+1 - INT((ROW()-5)/180)*15)</f>
        <v>A002</v>
      </c>
      <c r="D205" s="2" t="str">
        <f>VLOOKUP(C205,Stammdaten!$A$11:$B$25,2,FALSE)</f>
        <v>Fettarme Milch 1L</v>
      </c>
      <c r="E205" s="3" t="str">
        <f>VLOOKUP(C205,Stammdaten!$A$11:$C$25,3,FALSE)</f>
        <v>Milch</v>
      </c>
      <c r="F205" s="19">
        <f>VLOOKUP(C205,Stammdaten!$A$11:$D$25,4,FALSE)</f>
        <v>1.0900000000000001</v>
      </c>
      <c r="G205" s="4">
        <f t="shared" si="39"/>
        <v>9</v>
      </c>
      <c r="H205" s="20" t="str">
        <f>VLOOKUP(G205,Stammdaten!$A$30:$B$41,2,FALSE)</f>
        <v>September</v>
      </c>
      <c r="I205" s="4">
        <v>335</v>
      </c>
      <c r="J205" s="4">
        <v>322</v>
      </c>
      <c r="K205" s="4">
        <f t="shared" si="40"/>
        <v>-13</v>
      </c>
      <c r="L205" s="27">
        <f t="shared" si="41"/>
        <v>-3.8805970149253728</v>
      </c>
      <c r="M205" s="52" t="str">
        <f t="shared" si="42"/>
        <v>Schwund</v>
      </c>
      <c r="N205" s="28">
        <f t="shared" si="43"/>
        <v>14.170000000000002</v>
      </c>
      <c r="O205" s="5">
        <v>5</v>
      </c>
      <c r="P205" s="4">
        <v>0</v>
      </c>
      <c r="Q205" s="28">
        <f t="shared" si="44"/>
        <v>3.5425000000000004</v>
      </c>
      <c r="R205" s="50">
        <f t="shared" si="45"/>
        <v>4.2510000000000003</v>
      </c>
      <c r="S205" s="2" t="str">
        <f t="shared" si="46"/>
        <v>Normal</v>
      </c>
      <c r="T205" s="4">
        <v>0</v>
      </c>
      <c r="U205" s="4" t="str">
        <f t="shared" si="47"/>
        <v>Nein</v>
      </c>
      <c r="V205" s="4">
        <f t="shared" si="48"/>
        <v>0</v>
      </c>
      <c r="W205" s="19">
        <f t="shared" si="49"/>
        <v>1.0900000000000001</v>
      </c>
      <c r="X205" s="5">
        <v>0</v>
      </c>
      <c r="Y205" s="28">
        <f t="shared" si="50"/>
        <v>0</v>
      </c>
      <c r="Z205" s="31" t="s">
        <v>172</v>
      </c>
      <c r="AA205" t="str">
        <f t="shared" si="51"/>
        <v>Buchungsfehler Wareneingang</v>
      </c>
    </row>
    <row r="206" spans="1:27" x14ac:dyDescent="0.35">
      <c r="A206" s="32" t="s">
        <v>15</v>
      </c>
      <c r="B206" s="2" t="str">
        <f>VLOOKUP(A206,Stammdaten!$A$3:$B$7,2,FALSE)</f>
        <v>Filiale Süd</v>
      </c>
      <c r="C206" s="3" t="str" cm="1">
        <f t="array" ref="C206">INDEX(Stammdaten!$A$11:$A$25,INT((ROW()-5)/12)+1 - INT((ROW()-5)/180)*15)</f>
        <v>A002</v>
      </c>
      <c r="D206" s="2" t="str">
        <f>VLOOKUP(C206,Stammdaten!$A$11:$B$25,2,FALSE)</f>
        <v>Fettarme Milch 1L</v>
      </c>
      <c r="E206" s="3" t="str">
        <f>VLOOKUP(C206,Stammdaten!$A$11:$C$25,3,FALSE)</f>
        <v>Milch</v>
      </c>
      <c r="F206" s="19">
        <f>VLOOKUP(C206,Stammdaten!$A$11:$D$25,4,FALSE)</f>
        <v>1.0900000000000001</v>
      </c>
      <c r="G206" s="4">
        <f t="shared" si="39"/>
        <v>10</v>
      </c>
      <c r="H206" s="20" t="str">
        <f>VLOOKUP(G206,Stammdaten!$A$30:$B$41,2,FALSE)</f>
        <v>Oktober</v>
      </c>
      <c r="I206" s="4">
        <v>353</v>
      </c>
      <c r="J206" s="4">
        <v>341</v>
      </c>
      <c r="K206" s="4">
        <f t="shared" si="40"/>
        <v>-12</v>
      </c>
      <c r="L206" s="27">
        <f t="shared" si="41"/>
        <v>-3.3994334277620402</v>
      </c>
      <c r="M206" s="52" t="str">
        <f t="shared" si="42"/>
        <v>Schwund</v>
      </c>
      <c r="N206" s="28">
        <f t="shared" si="43"/>
        <v>13.080000000000002</v>
      </c>
      <c r="O206" s="5">
        <v>1</v>
      </c>
      <c r="P206" s="4">
        <v>1</v>
      </c>
      <c r="Q206" s="28">
        <f t="shared" si="44"/>
        <v>3.2700000000000005</v>
      </c>
      <c r="R206" s="50">
        <f t="shared" si="45"/>
        <v>3.9240000000000004</v>
      </c>
      <c r="S206" s="2" t="str">
        <f t="shared" si="46"/>
        <v>Normal</v>
      </c>
      <c r="T206" s="4">
        <v>0</v>
      </c>
      <c r="U206" s="4" t="str">
        <f t="shared" si="47"/>
        <v>Ja - 20% Reduzierung</v>
      </c>
      <c r="V206" s="4">
        <f t="shared" si="48"/>
        <v>20</v>
      </c>
      <c r="W206" s="19">
        <f t="shared" si="49"/>
        <v>0.87</v>
      </c>
      <c r="X206" s="5">
        <v>35</v>
      </c>
      <c r="Y206" s="28">
        <f t="shared" si="50"/>
        <v>7.63</v>
      </c>
      <c r="Z206" s="31" t="s">
        <v>173</v>
      </c>
      <c r="AA206" t="str">
        <f t="shared" si="51"/>
        <v>Buchungsfehler Wareneingang</v>
      </c>
    </row>
    <row r="207" spans="1:27" x14ac:dyDescent="0.35">
      <c r="A207" s="32" t="s">
        <v>15</v>
      </c>
      <c r="B207" s="2" t="str">
        <f>VLOOKUP(A207,Stammdaten!$A$3:$B$7,2,FALSE)</f>
        <v>Filiale Süd</v>
      </c>
      <c r="C207" s="3" t="str" cm="1">
        <f t="array" ref="C207">INDEX(Stammdaten!$A$11:$A$25,INT((ROW()-5)/12)+1 - INT((ROW()-5)/180)*15)</f>
        <v>A002</v>
      </c>
      <c r="D207" s="2" t="str">
        <f>VLOOKUP(C207,Stammdaten!$A$11:$B$25,2,FALSE)</f>
        <v>Fettarme Milch 1L</v>
      </c>
      <c r="E207" s="3" t="str">
        <f>VLOOKUP(C207,Stammdaten!$A$11:$C$25,3,FALSE)</f>
        <v>Milch</v>
      </c>
      <c r="F207" s="19">
        <f>VLOOKUP(C207,Stammdaten!$A$11:$D$25,4,FALSE)</f>
        <v>1.0900000000000001</v>
      </c>
      <c r="G207" s="4">
        <f t="shared" si="39"/>
        <v>11</v>
      </c>
      <c r="H207" s="20" t="str">
        <f>VLOOKUP(G207,Stammdaten!$A$30:$B$41,2,FALSE)</f>
        <v>November</v>
      </c>
      <c r="I207" s="4">
        <v>384</v>
      </c>
      <c r="J207" s="4">
        <v>392</v>
      </c>
      <c r="K207" s="4">
        <f t="shared" si="40"/>
        <v>8</v>
      </c>
      <c r="L207" s="27">
        <f t="shared" si="41"/>
        <v>2.083333333333333</v>
      </c>
      <c r="M207" s="52" t="str">
        <f t="shared" si="42"/>
        <v>Überbestand</v>
      </c>
      <c r="N207" s="28">
        <f t="shared" si="43"/>
        <v>8.7200000000000006</v>
      </c>
      <c r="O207" s="5">
        <v>7</v>
      </c>
      <c r="P207" s="4">
        <v>1</v>
      </c>
      <c r="Q207" s="28">
        <f t="shared" si="44"/>
        <v>0</v>
      </c>
      <c r="R207" s="50">
        <f t="shared" si="45"/>
        <v>0</v>
      </c>
      <c r="S207" s="2" t="str">
        <f t="shared" si="46"/>
        <v>Black Friday</v>
      </c>
      <c r="T207" s="4">
        <v>8</v>
      </c>
      <c r="U207" s="4" t="str">
        <f t="shared" si="47"/>
        <v>Nein</v>
      </c>
      <c r="V207" s="4">
        <f t="shared" si="48"/>
        <v>0</v>
      </c>
      <c r="W207" s="19">
        <f t="shared" si="49"/>
        <v>1.0900000000000001</v>
      </c>
      <c r="X207" s="5">
        <v>0</v>
      </c>
      <c r="Y207" s="28">
        <f t="shared" si="50"/>
        <v>0</v>
      </c>
      <c r="Z207" s="31" t="s">
        <v>172</v>
      </c>
      <c r="AA207" t="str">
        <f t="shared" si="51"/>
        <v>Kassenfehler (Überbestand)</v>
      </c>
    </row>
    <row r="208" spans="1:27" x14ac:dyDescent="0.35">
      <c r="A208" s="32" t="s">
        <v>15</v>
      </c>
      <c r="B208" s="2" t="str">
        <f>VLOOKUP(A208,Stammdaten!$A$3:$B$7,2,FALSE)</f>
        <v>Filiale Süd</v>
      </c>
      <c r="C208" s="3" t="str" cm="1">
        <f t="array" ref="C208">INDEX(Stammdaten!$A$11:$A$25,INT((ROW()-5)/12)+1 - INT((ROW()-5)/180)*15)</f>
        <v>A002</v>
      </c>
      <c r="D208" s="2" t="str">
        <f>VLOOKUP(C208,Stammdaten!$A$11:$B$25,2,FALSE)</f>
        <v>Fettarme Milch 1L</v>
      </c>
      <c r="E208" s="3" t="str">
        <f>VLOOKUP(C208,Stammdaten!$A$11:$C$25,3,FALSE)</f>
        <v>Milch</v>
      </c>
      <c r="F208" s="19">
        <f>VLOOKUP(C208,Stammdaten!$A$11:$D$25,4,FALSE)</f>
        <v>1.0900000000000001</v>
      </c>
      <c r="G208" s="4">
        <f t="shared" si="39"/>
        <v>12</v>
      </c>
      <c r="H208" s="20" t="str">
        <f>VLOOKUP(G208,Stammdaten!$A$30:$B$41,2,FALSE)</f>
        <v>Dezember</v>
      </c>
      <c r="I208" s="4">
        <v>499</v>
      </c>
      <c r="J208" s="4">
        <v>470</v>
      </c>
      <c r="K208" s="4">
        <f t="shared" si="40"/>
        <v>-29</v>
      </c>
      <c r="L208" s="27">
        <f t="shared" si="41"/>
        <v>-5.811623246492986</v>
      </c>
      <c r="M208" s="52" t="str">
        <f t="shared" si="42"/>
        <v>Schwund</v>
      </c>
      <c r="N208" s="28">
        <f t="shared" si="43"/>
        <v>31.610000000000003</v>
      </c>
      <c r="O208" s="5">
        <v>1</v>
      </c>
      <c r="P208" s="4">
        <v>0</v>
      </c>
      <c r="Q208" s="28">
        <f t="shared" si="44"/>
        <v>7.9025000000000007</v>
      </c>
      <c r="R208" s="50">
        <f t="shared" si="45"/>
        <v>9.4830000000000005</v>
      </c>
      <c r="S208" s="2" t="str">
        <f t="shared" si="46"/>
        <v>Weihnachten/Silvester</v>
      </c>
      <c r="T208" s="4">
        <v>0</v>
      </c>
      <c r="U208" s="4" t="str">
        <f t="shared" si="47"/>
        <v>Ja - 20% Reduzierung</v>
      </c>
      <c r="V208" s="4">
        <f t="shared" si="48"/>
        <v>20</v>
      </c>
      <c r="W208" s="19">
        <f t="shared" si="49"/>
        <v>0.87</v>
      </c>
      <c r="X208" s="5">
        <v>70</v>
      </c>
      <c r="Y208" s="28">
        <f t="shared" si="50"/>
        <v>15.26</v>
      </c>
      <c r="Z208" s="31" t="s">
        <v>173</v>
      </c>
      <c r="AA208" t="str">
        <f t="shared" si="51"/>
        <v>Buchungsfehler Wareneingang</v>
      </c>
    </row>
    <row r="209" spans="1:27" x14ac:dyDescent="0.35">
      <c r="A209" s="32" t="s">
        <v>15</v>
      </c>
      <c r="B209" s="2" t="str">
        <f>VLOOKUP(A209,Stammdaten!$A$3:$B$7,2,FALSE)</f>
        <v>Filiale Süd</v>
      </c>
      <c r="C209" s="3" t="str" cm="1">
        <f t="array" ref="C209">INDEX(Stammdaten!$A$11:$A$25,INT((ROW()-5)/12)+1 - INT((ROW()-5)/180)*15)</f>
        <v>A003</v>
      </c>
      <c r="D209" s="2" t="str">
        <f>VLOOKUP(C209,Stammdaten!$A$11:$B$25,2,FALSE)</f>
        <v>Bio-Milch 1L</v>
      </c>
      <c r="E209" s="3" t="str">
        <f>VLOOKUP(C209,Stammdaten!$A$11:$C$25,3,FALSE)</f>
        <v>Milch</v>
      </c>
      <c r="F209" s="19">
        <f>VLOOKUP(C209,Stammdaten!$A$11:$D$25,4,FALSE)</f>
        <v>1.59</v>
      </c>
      <c r="G209" s="4">
        <f t="shared" si="39"/>
        <v>1</v>
      </c>
      <c r="H209" s="20" t="str">
        <f>VLOOKUP(G209,Stammdaten!$A$30:$B$41,2,FALSE)</f>
        <v>Januar</v>
      </c>
      <c r="I209" s="4">
        <v>138</v>
      </c>
      <c r="J209" s="4">
        <v>139</v>
      </c>
      <c r="K209" s="4">
        <f t="shared" si="40"/>
        <v>1</v>
      </c>
      <c r="L209" s="27">
        <f t="shared" si="41"/>
        <v>0.72463768115942029</v>
      </c>
      <c r="M209" s="52" t="str">
        <f t="shared" si="42"/>
        <v>Überbestand</v>
      </c>
      <c r="N209" s="28">
        <f t="shared" si="43"/>
        <v>1.59</v>
      </c>
      <c r="O209" s="5">
        <v>1</v>
      </c>
      <c r="P209" s="4">
        <v>3</v>
      </c>
      <c r="Q209" s="28">
        <f t="shared" si="44"/>
        <v>0</v>
      </c>
      <c r="R209" s="50">
        <f t="shared" si="45"/>
        <v>0</v>
      </c>
      <c r="S209" s="2" t="str">
        <f t="shared" si="46"/>
        <v>Normal</v>
      </c>
      <c r="T209" s="4">
        <v>1</v>
      </c>
      <c r="U209" s="4" t="str">
        <f t="shared" si="47"/>
        <v>Ja - 20% Reduzierung</v>
      </c>
      <c r="V209" s="4">
        <f t="shared" si="48"/>
        <v>20</v>
      </c>
      <c r="W209" s="19">
        <f t="shared" si="49"/>
        <v>1.27</v>
      </c>
      <c r="X209" s="5">
        <v>17</v>
      </c>
      <c r="Y209" s="28">
        <f t="shared" si="50"/>
        <v>5.41</v>
      </c>
      <c r="Z209" s="31" t="s">
        <v>173</v>
      </c>
      <c r="AA209" t="str">
        <f t="shared" si="51"/>
        <v>Kassenfehler (Überbestand)</v>
      </c>
    </row>
    <row r="210" spans="1:27" x14ac:dyDescent="0.35">
      <c r="A210" s="32" t="s">
        <v>15</v>
      </c>
      <c r="B210" s="2" t="str">
        <f>VLOOKUP(A210,Stammdaten!$A$3:$B$7,2,FALSE)</f>
        <v>Filiale Süd</v>
      </c>
      <c r="C210" s="3" t="str" cm="1">
        <f t="array" ref="C210">INDEX(Stammdaten!$A$11:$A$25,INT((ROW()-5)/12)+1 - INT((ROW()-5)/180)*15)</f>
        <v>A003</v>
      </c>
      <c r="D210" s="2" t="str">
        <f>VLOOKUP(C210,Stammdaten!$A$11:$B$25,2,FALSE)</f>
        <v>Bio-Milch 1L</v>
      </c>
      <c r="E210" s="3" t="str">
        <f>VLOOKUP(C210,Stammdaten!$A$11:$C$25,3,FALSE)</f>
        <v>Milch</v>
      </c>
      <c r="F210" s="19">
        <f>VLOOKUP(C210,Stammdaten!$A$11:$D$25,4,FALSE)</f>
        <v>1.59</v>
      </c>
      <c r="G210" s="4">
        <f t="shared" si="39"/>
        <v>2</v>
      </c>
      <c r="H210" s="20" t="str">
        <f>VLOOKUP(G210,Stammdaten!$A$30:$B$41,2,FALSE)</f>
        <v>Februar</v>
      </c>
      <c r="I210" s="4">
        <v>131</v>
      </c>
      <c r="J210" s="4">
        <v>127</v>
      </c>
      <c r="K210" s="4">
        <f t="shared" si="40"/>
        <v>-4</v>
      </c>
      <c r="L210" s="27">
        <f t="shared" si="41"/>
        <v>-3.0534351145038165</v>
      </c>
      <c r="M210" s="52" t="str">
        <f t="shared" si="42"/>
        <v>Schwund</v>
      </c>
      <c r="N210" s="28">
        <f t="shared" si="43"/>
        <v>6.36</v>
      </c>
      <c r="O210" s="5">
        <v>3</v>
      </c>
      <c r="P210" s="4">
        <v>1</v>
      </c>
      <c r="Q210" s="28">
        <f t="shared" si="44"/>
        <v>1.59</v>
      </c>
      <c r="R210" s="50">
        <f t="shared" si="45"/>
        <v>1.9079999999999999</v>
      </c>
      <c r="S210" s="2" t="str">
        <f t="shared" si="46"/>
        <v>Karneval</v>
      </c>
      <c r="T210" s="4">
        <v>0</v>
      </c>
      <c r="U210" s="4" t="str">
        <f t="shared" si="47"/>
        <v>Ja - 20% Reduzierung</v>
      </c>
      <c r="V210" s="4">
        <f t="shared" si="48"/>
        <v>20</v>
      </c>
      <c r="W210" s="19">
        <f t="shared" si="49"/>
        <v>1.27</v>
      </c>
      <c r="X210" s="5">
        <v>14</v>
      </c>
      <c r="Y210" s="28">
        <f t="shared" si="50"/>
        <v>4.45</v>
      </c>
      <c r="Z210" s="31" t="s">
        <v>173</v>
      </c>
      <c r="AA210" t="str">
        <f t="shared" si="51"/>
        <v>Buchungsfehler Wareneingang</v>
      </c>
    </row>
    <row r="211" spans="1:27" x14ac:dyDescent="0.35">
      <c r="A211" s="32" t="s">
        <v>15</v>
      </c>
      <c r="B211" s="2" t="str">
        <f>VLOOKUP(A211,Stammdaten!$A$3:$B$7,2,FALSE)</f>
        <v>Filiale Süd</v>
      </c>
      <c r="C211" s="3" t="str" cm="1">
        <f t="array" ref="C211">INDEX(Stammdaten!$A$11:$A$25,INT((ROW()-5)/12)+1 - INT((ROW()-5)/180)*15)</f>
        <v>A003</v>
      </c>
      <c r="D211" s="2" t="str">
        <f>VLOOKUP(C211,Stammdaten!$A$11:$B$25,2,FALSE)</f>
        <v>Bio-Milch 1L</v>
      </c>
      <c r="E211" s="3" t="str">
        <f>VLOOKUP(C211,Stammdaten!$A$11:$C$25,3,FALSE)</f>
        <v>Milch</v>
      </c>
      <c r="F211" s="19">
        <f>VLOOKUP(C211,Stammdaten!$A$11:$D$25,4,FALSE)</f>
        <v>1.59</v>
      </c>
      <c r="G211" s="4">
        <f t="shared" si="39"/>
        <v>3</v>
      </c>
      <c r="H211" s="20" t="str">
        <f>VLOOKUP(G211,Stammdaten!$A$30:$B$41,2,FALSE)</f>
        <v>März</v>
      </c>
      <c r="I211" s="4">
        <v>166</v>
      </c>
      <c r="J211" s="4">
        <v>160</v>
      </c>
      <c r="K211" s="4">
        <f t="shared" si="40"/>
        <v>-6</v>
      </c>
      <c r="L211" s="27">
        <f t="shared" si="41"/>
        <v>-3.6144578313253009</v>
      </c>
      <c r="M211" s="52" t="str">
        <f t="shared" si="42"/>
        <v>Schwund</v>
      </c>
      <c r="N211" s="28">
        <f t="shared" si="43"/>
        <v>9.5400000000000009</v>
      </c>
      <c r="O211" s="5">
        <v>0</v>
      </c>
      <c r="P211" s="4">
        <v>2</v>
      </c>
      <c r="Q211" s="28">
        <f t="shared" si="44"/>
        <v>2.3850000000000002</v>
      </c>
      <c r="R211" s="50">
        <f t="shared" si="45"/>
        <v>2.8620000000000001</v>
      </c>
      <c r="S211" s="2" t="str">
        <f t="shared" si="46"/>
        <v>Normal</v>
      </c>
      <c r="T211" s="4">
        <v>0</v>
      </c>
      <c r="U211" s="4" t="str">
        <f t="shared" si="47"/>
        <v>Abschreibung</v>
      </c>
      <c r="V211" s="4">
        <f t="shared" si="48"/>
        <v>100</v>
      </c>
      <c r="W211" s="19">
        <f t="shared" si="49"/>
        <v>0</v>
      </c>
      <c r="X211" s="5">
        <v>2</v>
      </c>
      <c r="Y211" s="28">
        <f t="shared" si="50"/>
        <v>3.18</v>
      </c>
      <c r="Z211" s="31" t="s">
        <v>173</v>
      </c>
      <c r="AA211" t="str">
        <f t="shared" si="51"/>
        <v>Verderb - Abgelaufen</v>
      </c>
    </row>
    <row r="212" spans="1:27" x14ac:dyDescent="0.35">
      <c r="A212" s="32" t="s">
        <v>15</v>
      </c>
      <c r="B212" s="2" t="str">
        <f>VLOOKUP(A212,Stammdaten!$A$3:$B$7,2,FALSE)</f>
        <v>Filiale Süd</v>
      </c>
      <c r="C212" s="3" t="str" cm="1">
        <f t="array" ref="C212">INDEX(Stammdaten!$A$11:$A$25,INT((ROW()-5)/12)+1 - INT((ROW()-5)/180)*15)</f>
        <v>A003</v>
      </c>
      <c r="D212" s="2" t="str">
        <f>VLOOKUP(C212,Stammdaten!$A$11:$B$25,2,FALSE)</f>
        <v>Bio-Milch 1L</v>
      </c>
      <c r="E212" s="3" t="str">
        <f>VLOOKUP(C212,Stammdaten!$A$11:$C$25,3,FALSE)</f>
        <v>Milch</v>
      </c>
      <c r="F212" s="19">
        <f>VLOOKUP(C212,Stammdaten!$A$11:$D$25,4,FALSE)</f>
        <v>1.59</v>
      </c>
      <c r="G212" s="4">
        <f t="shared" si="39"/>
        <v>4</v>
      </c>
      <c r="H212" s="20" t="str">
        <f>VLOOKUP(G212,Stammdaten!$A$30:$B$41,2,FALSE)</f>
        <v>April</v>
      </c>
      <c r="I212" s="4">
        <v>204</v>
      </c>
      <c r="J212" s="4">
        <v>197</v>
      </c>
      <c r="K212" s="4">
        <f t="shared" si="40"/>
        <v>-7</v>
      </c>
      <c r="L212" s="27">
        <f t="shared" si="41"/>
        <v>-3.4313725490196081</v>
      </c>
      <c r="M212" s="52" t="str">
        <f t="shared" si="42"/>
        <v>Schwund</v>
      </c>
      <c r="N212" s="28">
        <f t="shared" si="43"/>
        <v>11.13</v>
      </c>
      <c r="O212" s="5">
        <v>6</v>
      </c>
      <c r="P212" s="4">
        <v>3</v>
      </c>
      <c r="Q212" s="28">
        <f t="shared" si="44"/>
        <v>2.7825000000000002</v>
      </c>
      <c r="R212" s="50">
        <f t="shared" si="45"/>
        <v>3.339</v>
      </c>
      <c r="S212" s="2" t="str">
        <f t="shared" si="46"/>
        <v>Ostern</v>
      </c>
      <c r="T212" s="4">
        <v>0</v>
      </c>
      <c r="U212" s="4" t="str">
        <f t="shared" si="47"/>
        <v>Nein</v>
      </c>
      <c r="V212" s="4">
        <f t="shared" si="48"/>
        <v>0</v>
      </c>
      <c r="W212" s="19">
        <f t="shared" si="49"/>
        <v>1.59</v>
      </c>
      <c r="X212" s="5">
        <v>0</v>
      </c>
      <c r="Y212" s="28">
        <f t="shared" si="50"/>
        <v>0</v>
      </c>
      <c r="Z212" s="31" t="s">
        <v>172</v>
      </c>
      <c r="AA212" t="str">
        <f t="shared" si="51"/>
        <v>Prozessfehler</v>
      </c>
    </row>
    <row r="213" spans="1:27" x14ac:dyDescent="0.35">
      <c r="A213" s="32" t="s">
        <v>15</v>
      </c>
      <c r="B213" s="2" t="str">
        <f>VLOOKUP(A213,Stammdaten!$A$3:$B$7,2,FALSE)</f>
        <v>Filiale Süd</v>
      </c>
      <c r="C213" s="3" t="str" cm="1">
        <f t="array" ref="C213">INDEX(Stammdaten!$A$11:$A$25,INT((ROW()-5)/12)+1 - INT((ROW()-5)/180)*15)</f>
        <v>A003</v>
      </c>
      <c r="D213" s="2" t="str">
        <f>VLOOKUP(C213,Stammdaten!$A$11:$B$25,2,FALSE)</f>
        <v>Bio-Milch 1L</v>
      </c>
      <c r="E213" s="3" t="str">
        <f>VLOOKUP(C213,Stammdaten!$A$11:$C$25,3,FALSE)</f>
        <v>Milch</v>
      </c>
      <c r="F213" s="19">
        <f>VLOOKUP(C213,Stammdaten!$A$11:$D$25,4,FALSE)</f>
        <v>1.59</v>
      </c>
      <c r="G213" s="4">
        <f t="shared" si="39"/>
        <v>5</v>
      </c>
      <c r="H213" s="20" t="str">
        <f>VLOOKUP(G213,Stammdaten!$A$30:$B$41,2,FALSE)</f>
        <v>Mai</v>
      </c>
      <c r="I213" s="4">
        <v>155</v>
      </c>
      <c r="J213" s="4">
        <v>148</v>
      </c>
      <c r="K213" s="4">
        <f t="shared" si="40"/>
        <v>-7</v>
      </c>
      <c r="L213" s="27">
        <f t="shared" si="41"/>
        <v>-4.5161290322580641</v>
      </c>
      <c r="M213" s="52" t="str">
        <f t="shared" si="42"/>
        <v>Schwund</v>
      </c>
      <c r="N213" s="28">
        <f t="shared" si="43"/>
        <v>11.13</v>
      </c>
      <c r="O213" s="5">
        <v>4</v>
      </c>
      <c r="P213" s="4">
        <v>2</v>
      </c>
      <c r="Q213" s="28">
        <f t="shared" si="44"/>
        <v>2.7825000000000002</v>
      </c>
      <c r="R213" s="50">
        <f t="shared" si="45"/>
        <v>3.339</v>
      </c>
      <c r="S213" s="2" t="str">
        <f t="shared" si="46"/>
        <v>Normal</v>
      </c>
      <c r="T213" s="4">
        <v>0</v>
      </c>
      <c r="U213" s="4" t="str">
        <f t="shared" si="47"/>
        <v>Nein</v>
      </c>
      <c r="V213" s="4">
        <f t="shared" si="48"/>
        <v>0</v>
      </c>
      <c r="W213" s="19">
        <f t="shared" si="49"/>
        <v>1.59</v>
      </c>
      <c r="X213" s="5">
        <v>0</v>
      </c>
      <c r="Y213" s="28">
        <f t="shared" si="50"/>
        <v>0</v>
      </c>
      <c r="Z213" s="31" t="s">
        <v>172</v>
      </c>
      <c r="AA213" t="str">
        <f t="shared" si="51"/>
        <v>Prozessfehler</v>
      </c>
    </row>
    <row r="214" spans="1:27" x14ac:dyDescent="0.35">
      <c r="A214" s="32" t="s">
        <v>15</v>
      </c>
      <c r="B214" s="2" t="str">
        <f>VLOOKUP(A214,Stammdaten!$A$3:$B$7,2,FALSE)</f>
        <v>Filiale Süd</v>
      </c>
      <c r="C214" s="3" t="str" cm="1">
        <f t="array" ref="C214">INDEX(Stammdaten!$A$11:$A$25,INT((ROW()-5)/12)+1 - INT((ROW()-5)/180)*15)</f>
        <v>A003</v>
      </c>
      <c r="D214" s="2" t="str">
        <f>VLOOKUP(C214,Stammdaten!$A$11:$B$25,2,FALSE)</f>
        <v>Bio-Milch 1L</v>
      </c>
      <c r="E214" s="3" t="str">
        <f>VLOOKUP(C214,Stammdaten!$A$11:$C$25,3,FALSE)</f>
        <v>Milch</v>
      </c>
      <c r="F214" s="19">
        <f>VLOOKUP(C214,Stammdaten!$A$11:$D$25,4,FALSE)</f>
        <v>1.59</v>
      </c>
      <c r="G214" s="4">
        <f t="shared" si="39"/>
        <v>6</v>
      </c>
      <c r="H214" s="20" t="str">
        <f>VLOOKUP(G214,Stammdaten!$A$30:$B$41,2,FALSE)</f>
        <v>Juni</v>
      </c>
      <c r="I214" s="4">
        <v>174</v>
      </c>
      <c r="J214" s="4">
        <v>165</v>
      </c>
      <c r="K214" s="4">
        <f t="shared" si="40"/>
        <v>-9</v>
      </c>
      <c r="L214" s="27">
        <f t="shared" si="41"/>
        <v>-5.1724137931034484</v>
      </c>
      <c r="M214" s="52" t="str">
        <f t="shared" si="42"/>
        <v>Schwund</v>
      </c>
      <c r="N214" s="28">
        <f t="shared" si="43"/>
        <v>14.31</v>
      </c>
      <c r="O214" s="5">
        <v>4</v>
      </c>
      <c r="P214" s="4">
        <v>2</v>
      </c>
      <c r="Q214" s="28">
        <f t="shared" si="44"/>
        <v>3.5775000000000001</v>
      </c>
      <c r="R214" s="50">
        <f t="shared" si="45"/>
        <v>4.2930000000000001</v>
      </c>
      <c r="S214" s="2" t="str">
        <f t="shared" si="46"/>
        <v>Normal</v>
      </c>
      <c r="T214" s="4">
        <v>0</v>
      </c>
      <c r="U214" s="4" t="str">
        <f t="shared" si="47"/>
        <v>Nein</v>
      </c>
      <c r="V214" s="4">
        <f t="shared" si="48"/>
        <v>0</v>
      </c>
      <c r="W214" s="19">
        <f t="shared" si="49"/>
        <v>1.59</v>
      </c>
      <c r="X214" s="5">
        <v>0</v>
      </c>
      <c r="Y214" s="28">
        <f t="shared" si="50"/>
        <v>0</v>
      </c>
      <c r="Z214" s="31" t="s">
        <v>172</v>
      </c>
      <c r="AA214" t="str">
        <f t="shared" si="51"/>
        <v>Prozessfehler</v>
      </c>
    </row>
    <row r="215" spans="1:27" x14ac:dyDescent="0.35">
      <c r="A215" s="32" t="s">
        <v>15</v>
      </c>
      <c r="B215" s="2" t="str">
        <f>VLOOKUP(A215,Stammdaten!$A$3:$B$7,2,FALSE)</f>
        <v>Filiale Süd</v>
      </c>
      <c r="C215" s="3" t="str" cm="1">
        <f t="array" ref="C215">INDEX(Stammdaten!$A$11:$A$25,INT((ROW()-5)/12)+1 - INT((ROW()-5)/180)*15)</f>
        <v>A003</v>
      </c>
      <c r="D215" s="2" t="str">
        <f>VLOOKUP(C215,Stammdaten!$A$11:$B$25,2,FALSE)</f>
        <v>Bio-Milch 1L</v>
      </c>
      <c r="E215" s="3" t="str">
        <f>VLOOKUP(C215,Stammdaten!$A$11:$C$25,3,FALSE)</f>
        <v>Milch</v>
      </c>
      <c r="F215" s="19">
        <f>VLOOKUP(C215,Stammdaten!$A$11:$D$25,4,FALSE)</f>
        <v>1.59</v>
      </c>
      <c r="G215" s="4">
        <f t="shared" si="39"/>
        <v>7</v>
      </c>
      <c r="H215" s="20" t="str">
        <f>VLOOKUP(G215,Stammdaten!$A$30:$B$41,2,FALSE)</f>
        <v>Juli</v>
      </c>
      <c r="I215" s="4">
        <v>200</v>
      </c>
      <c r="J215" s="4">
        <v>193</v>
      </c>
      <c r="K215" s="4">
        <f t="shared" si="40"/>
        <v>-7</v>
      </c>
      <c r="L215" s="27">
        <f t="shared" si="41"/>
        <v>-3.5000000000000004</v>
      </c>
      <c r="M215" s="52" t="str">
        <f t="shared" si="42"/>
        <v>Schwund</v>
      </c>
      <c r="N215" s="28">
        <f t="shared" si="43"/>
        <v>11.13</v>
      </c>
      <c r="O215" s="5">
        <v>7</v>
      </c>
      <c r="P215" s="4">
        <v>1</v>
      </c>
      <c r="Q215" s="28">
        <f t="shared" si="44"/>
        <v>2.7825000000000002</v>
      </c>
      <c r="R215" s="50">
        <f t="shared" si="45"/>
        <v>3.339</v>
      </c>
      <c r="S215" s="2" t="str">
        <f t="shared" si="46"/>
        <v>Normal</v>
      </c>
      <c r="T215" s="4">
        <v>0</v>
      </c>
      <c r="U215" s="4" t="str">
        <f t="shared" si="47"/>
        <v>Nein</v>
      </c>
      <c r="V215" s="4">
        <f t="shared" si="48"/>
        <v>0</v>
      </c>
      <c r="W215" s="19">
        <f t="shared" si="49"/>
        <v>1.59</v>
      </c>
      <c r="X215" s="5">
        <v>0</v>
      </c>
      <c r="Y215" s="28">
        <f t="shared" si="50"/>
        <v>0</v>
      </c>
      <c r="Z215" s="31" t="s">
        <v>172</v>
      </c>
      <c r="AA215" t="str">
        <f t="shared" si="51"/>
        <v>Buchungsfehler Wareneingang</v>
      </c>
    </row>
    <row r="216" spans="1:27" x14ac:dyDescent="0.35">
      <c r="A216" s="32" t="s">
        <v>15</v>
      </c>
      <c r="B216" s="2" t="str">
        <f>VLOOKUP(A216,Stammdaten!$A$3:$B$7,2,FALSE)</f>
        <v>Filiale Süd</v>
      </c>
      <c r="C216" s="3" t="str" cm="1">
        <f t="array" ref="C216">INDEX(Stammdaten!$A$11:$A$25,INT((ROW()-5)/12)+1 - INT((ROW()-5)/180)*15)</f>
        <v>A003</v>
      </c>
      <c r="D216" s="2" t="str">
        <f>VLOOKUP(C216,Stammdaten!$A$11:$B$25,2,FALSE)</f>
        <v>Bio-Milch 1L</v>
      </c>
      <c r="E216" s="3" t="str">
        <f>VLOOKUP(C216,Stammdaten!$A$11:$C$25,3,FALSE)</f>
        <v>Milch</v>
      </c>
      <c r="F216" s="19">
        <f>VLOOKUP(C216,Stammdaten!$A$11:$D$25,4,FALSE)</f>
        <v>1.59</v>
      </c>
      <c r="G216" s="4">
        <f t="shared" si="39"/>
        <v>8</v>
      </c>
      <c r="H216" s="20" t="str">
        <f>VLOOKUP(G216,Stammdaten!$A$30:$B$41,2,FALSE)</f>
        <v>August</v>
      </c>
      <c r="I216" s="4">
        <v>177</v>
      </c>
      <c r="J216" s="4">
        <v>185</v>
      </c>
      <c r="K216" s="4">
        <f t="shared" si="40"/>
        <v>8</v>
      </c>
      <c r="L216" s="27">
        <f t="shared" si="41"/>
        <v>4.5197740112994351</v>
      </c>
      <c r="M216" s="52" t="str">
        <f t="shared" si="42"/>
        <v>Überbestand</v>
      </c>
      <c r="N216" s="28">
        <f t="shared" si="43"/>
        <v>12.72</v>
      </c>
      <c r="O216" s="5">
        <v>5</v>
      </c>
      <c r="P216" s="4">
        <v>0</v>
      </c>
      <c r="Q216" s="28">
        <f t="shared" si="44"/>
        <v>0</v>
      </c>
      <c r="R216" s="50">
        <f t="shared" si="45"/>
        <v>0</v>
      </c>
      <c r="S216" s="2" t="str">
        <f t="shared" si="46"/>
        <v>Normal</v>
      </c>
      <c r="T216" s="4">
        <v>8</v>
      </c>
      <c r="U216" s="4" t="str">
        <f t="shared" si="47"/>
        <v>Nein</v>
      </c>
      <c r="V216" s="4">
        <f t="shared" si="48"/>
        <v>0</v>
      </c>
      <c r="W216" s="19">
        <f t="shared" si="49"/>
        <v>1.59</v>
      </c>
      <c r="X216" s="5">
        <v>0</v>
      </c>
      <c r="Y216" s="28">
        <f t="shared" si="50"/>
        <v>0</v>
      </c>
      <c r="Z216" s="31" t="s">
        <v>172</v>
      </c>
      <c r="AA216" t="str">
        <f t="shared" si="51"/>
        <v>Kassenfehler (Überbestand)</v>
      </c>
    </row>
    <row r="217" spans="1:27" x14ac:dyDescent="0.35">
      <c r="A217" s="32" t="s">
        <v>15</v>
      </c>
      <c r="B217" s="2" t="str">
        <f>VLOOKUP(A217,Stammdaten!$A$3:$B$7,2,FALSE)</f>
        <v>Filiale Süd</v>
      </c>
      <c r="C217" s="3" t="str" cm="1">
        <f t="array" ref="C217">INDEX(Stammdaten!$A$11:$A$25,INT((ROW()-5)/12)+1 - INT((ROW()-5)/180)*15)</f>
        <v>A003</v>
      </c>
      <c r="D217" s="2" t="str">
        <f>VLOOKUP(C217,Stammdaten!$A$11:$B$25,2,FALSE)</f>
        <v>Bio-Milch 1L</v>
      </c>
      <c r="E217" s="3" t="str">
        <f>VLOOKUP(C217,Stammdaten!$A$11:$C$25,3,FALSE)</f>
        <v>Milch</v>
      </c>
      <c r="F217" s="19">
        <f>VLOOKUP(C217,Stammdaten!$A$11:$D$25,4,FALSE)</f>
        <v>1.59</v>
      </c>
      <c r="G217" s="4">
        <f t="shared" si="39"/>
        <v>9</v>
      </c>
      <c r="H217" s="20" t="str">
        <f>VLOOKUP(G217,Stammdaten!$A$30:$B$41,2,FALSE)</f>
        <v>September</v>
      </c>
      <c r="I217" s="4">
        <v>157</v>
      </c>
      <c r="J217" s="4">
        <v>157</v>
      </c>
      <c r="K217" s="4">
        <f t="shared" si="40"/>
        <v>0</v>
      </c>
      <c r="L217" s="27">
        <f t="shared" si="41"/>
        <v>0</v>
      </c>
      <c r="M217" s="52" t="str">
        <f t="shared" si="42"/>
        <v>Perfekt</v>
      </c>
      <c r="N217" s="28">
        <f t="shared" si="43"/>
        <v>0</v>
      </c>
      <c r="O217" s="5">
        <v>5</v>
      </c>
      <c r="P217" s="4">
        <v>3</v>
      </c>
      <c r="Q217" s="28">
        <f t="shared" si="44"/>
        <v>0</v>
      </c>
      <c r="R217" s="50">
        <f t="shared" si="45"/>
        <v>0</v>
      </c>
      <c r="S217" s="2" t="str">
        <f t="shared" si="46"/>
        <v>Normal</v>
      </c>
      <c r="T217" s="4">
        <v>0</v>
      </c>
      <c r="U217" s="4" t="str">
        <f t="shared" si="47"/>
        <v>Nein</v>
      </c>
      <c r="V217" s="4">
        <f t="shared" si="48"/>
        <v>0</v>
      </c>
      <c r="W217" s="19">
        <f t="shared" si="49"/>
        <v>1.59</v>
      </c>
      <c r="X217" s="5">
        <v>0</v>
      </c>
      <c r="Y217" s="28">
        <f t="shared" si="50"/>
        <v>0</v>
      </c>
      <c r="Z217" s="31" t="s">
        <v>172</v>
      </c>
      <c r="AA217" t="str">
        <f t="shared" si="51"/>
        <v>Normal/Gering</v>
      </c>
    </row>
    <row r="218" spans="1:27" x14ac:dyDescent="0.35">
      <c r="A218" s="32" t="s">
        <v>15</v>
      </c>
      <c r="B218" s="2" t="str">
        <f>VLOOKUP(A218,Stammdaten!$A$3:$B$7,2,FALSE)</f>
        <v>Filiale Süd</v>
      </c>
      <c r="C218" s="3" t="str" cm="1">
        <f t="array" ref="C218">INDEX(Stammdaten!$A$11:$A$25,INT((ROW()-5)/12)+1 - INT((ROW()-5)/180)*15)</f>
        <v>A003</v>
      </c>
      <c r="D218" s="2" t="str">
        <f>VLOOKUP(C218,Stammdaten!$A$11:$B$25,2,FALSE)</f>
        <v>Bio-Milch 1L</v>
      </c>
      <c r="E218" s="3" t="str">
        <f>VLOOKUP(C218,Stammdaten!$A$11:$C$25,3,FALSE)</f>
        <v>Milch</v>
      </c>
      <c r="F218" s="19">
        <f>VLOOKUP(C218,Stammdaten!$A$11:$D$25,4,FALSE)</f>
        <v>1.59</v>
      </c>
      <c r="G218" s="4">
        <f t="shared" si="39"/>
        <v>10</v>
      </c>
      <c r="H218" s="20" t="str">
        <f>VLOOKUP(G218,Stammdaten!$A$30:$B$41,2,FALSE)</f>
        <v>Oktober</v>
      </c>
      <c r="I218" s="4">
        <v>155</v>
      </c>
      <c r="J218" s="4">
        <v>149</v>
      </c>
      <c r="K218" s="4">
        <f t="shared" si="40"/>
        <v>-6</v>
      </c>
      <c r="L218" s="27">
        <f t="shared" si="41"/>
        <v>-3.870967741935484</v>
      </c>
      <c r="M218" s="52" t="str">
        <f t="shared" si="42"/>
        <v>Schwund</v>
      </c>
      <c r="N218" s="28">
        <f t="shared" si="43"/>
        <v>9.5400000000000009</v>
      </c>
      <c r="O218" s="5">
        <v>3</v>
      </c>
      <c r="P218" s="4">
        <v>2</v>
      </c>
      <c r="Q218" s="28">
        <f t="shared" si="44"/>
        <v>2.3850000000000002</v>
      </c>
      <c r="R218" s="50">
        <f t="shared" si="45"/>
        <v>2.8620000000000001</v>
      </c>
      <c r="S218" s="2" t="str">
        <f t="shared" si="46"/>
        <v>Normal</v>
      </c>
      <c r="T218" s="4">
        <v>0</v>
      </c>
      <c r="U218" s="4" t="str">
        <f t="shared" si="47"/>
        <v>Ja - 20% Reduzierung</v>
      </c>
      <c r="V218" s="4">
        <f t="shared" si="48"/>
        <v>20</v>
      </c>
      <c r="W218" s="19">
        <f t="shared" si="49"/>
        <v>1.27</v>
      </c>
      <c r="X218" s="5">
        <v>9</v>
      </c>
      <c r="Y218" s="28">
        <f t="shared" si="50"/>
        <v>2.86</v>
      </c>
      <c r="Z218" s="31" t="s">
        <v>173</v>
      </c>
      <c r="AA218" t="str">
        <f t="shared" si="51"/>
        <v>Prozessfehler</v>
      </c>
    </row>
    <row r="219" spans="1:27" x14ac:dyDescent="0.35">
      <c r="A219" s="32" t="s">
        <v>15</v>
      </c>
      <c r="B219" s="2" t="str">
        <f>VLOOKUP(A219,Stammdaten!$A$3:$B$7,2,FALSE)</f>
        <v>Filiale Süd</v>
      </c>
      <c r="C219" s="3" t="str" cm="1">
        <f t="array" ref="C219">INDEX(Stammdaten!$A$11:$A$25,INT((ROW()-5)/12)+1 - INT((ROW()-5)/180)*15)</f>
        <v>A003</v>
      </c>
      <c r="D219" s="2" t="str">
        <f>VLOOKUP(C219,Stammdaten!$A$11:$B$25,2,FALSE)</f>
        <v>Bio-Milch 1L</v>
      </c>
      <c r="E219" s="3" t="str">
        <f>VLOOKUP(C219,Stammdaten!$A$11:$C$25,3,FALSE)</f>
        <v>Milch</v>
      </c>
      <c r="F219" s="19">
        <f>VLOOKUP(C219,Stammdaten!$A$11:$D$25,4,FALSE)</f>
        <v>1.59</v>
      </c>
      <c r="G219" s="4">
        <f t="shared" si="39"/>
        <v>11</v>
      </c>
      <c r="H219" s="20" t="str">
        <f>VLOOKUP(G219,Stammdaten!$A$30:$B$41,2,FALSE)</f>
        <v>November</v>
      </c>
      <c r="I219" s="4">
        <v>180</v>
      </c>
      <c r="J219" s="4">
        <v>188</v>
      </c>
      <c r="K219" s="4">
        <f t="shared" si="40"/>
        <v>8</v>
      </c>
      <c r="L219" s="27">
        <f t="shared" si="41"/>
        <v>4.4444444444444446</v>
      </c>
      <c r="M219" s="52" t="str">
        <f t="shared" si="42"/>
        <v>Überbestand</v>
      </c>
      <c r="N219" s="28">
        <f t="shared" si="43"/>
        <v>12.72</v>
      </c>
      <c r="O219" s="5">
        <v>4</v>
      </c>
      <c r="P219" s="4">
        <v>0</v>
      </c>
      <c r="Q219" s="28">
        <f t="shared" si="44"/>
        <v>0</v>
      </c>
      <c r="R219" s="50">
        <f t="shared" si="45"/>
        <v>0</v>
      </c>
      <c r="S219" s="2" t="str">
        <f t="shared" si="46"/>
        <v>Black Friday</v>
      </c>
      <c r="T219" s="4">
        <v>8</v>
      </c>
      <c r="U219" s="4" t="str">
        <f t="shared" si="47"/>
        <v>Nein</v>
      </c>
      <c r="V219" s="4">
        <f t="shared" si="48"/>
        <v>0</v>
      </c>
      <c r="W219" s="19">
        <f t="shared" si="49"/>
        <v>1.59</v>
      </c>
      <c r="X219" s="5">
        <v>0</v>
      </c>
      <c r="Y219" s="28">
        <f t="shared" si="50"/>
        <v>0</v>
      </c>
      <c r="Z219" s="31" t="s">
        <v>172</v>
      </c>
      <c r="AA219" t="str">
        <f t="shared" si="51"/>
        <v>Kassenfehler (Überbestand)</v>
      </c>
    </row>
    <row r="220" spans="1:27" x14ac:dyDescent="0.35">
      <c r="A220" s="32" t="s">
        <v>15</v>
      </c>
      <c r="B220" s="2" t="str">
        <f>VLOOKUP(A220,Stammdaten!$A$3:$B$7,2,FALSE)</f>
        <v>Filiale Süd</v>
      </c>
      <c r="C220" s="3" t="str" cm="1">
        <f t="array" ref="C220">INDEX(Stammdaten!$A$11:$A$25,INT((ROW()-5)/12)+1 - INT((ROW()-5)/180)*15)</f>
        <v>A003</v>
      </c>
      <c r="D220" s="2" t="str">
        <f>VLOOKUP(C220,Stammdaten!$A$11:$B$25,2,FALSE)</f>
        <v>Bio-Milch 1L</v>
      </c>
      <c r="E220" s="3" t="str">
        <f>VLOOKUP(C220,Stammdaten!$A$11:$C$25,3,FALSE)</f>
        <v>Milch</v>
      </c>
      <c r="F220" s="19">
        <f>VLOOKUP(C220,Stammdaten!$A$11:$D$25,4,FALSE)</f>
        <v>1.59</v>
      </c>
      <c r="G220" s="4">
        <f t="shared" si="39"/>
        <v>12</v>
      </c>
      <c r="H220" s="20" t="str">
        <f>VLOOKUP(G220,Stammdaten!$A$30:$B$41,2,FALSE)</f>
        <v>Dezember</v>
      </c>
      <c r="I220" s="4">
        <v>217</v>
      </c>
      <c r="J220" s="4">
        <v>222</v>
      </c>
      <c r="K220" s="4">
        <f t="shared" si="40"/>
        <v>5</v>
      </c>
      <c r="L220" s="27">
        <f t="shared" si="41"/>
        <v>2.3041474654377883</v>
      </c>
      <c r="M220" s="52" t="str">
        <f t="shared" si="42"/>
        <v>Überbestand</v>
      </c>
      <c r="N220" s="28">
        <f t="shared" si="43"/>
        <v>7.95</v>
      </c>
      <c r="O220" s="5">
        <v>7</v>
      </c>
      <c r="P220" s="4">
        <v>1</v>
      </c>
      <c r="Q220" s="28">
        <f t="shared" si="44"/>
        <v>0</v>
      </c>
      <c r="R220" s="50">
        <f t="shared" si="45"/>
        <v>0</v>
      </c>
      <c r="S220" s="2" t="str">
        <f t="shared" si="46"/>
        <v>Weihnachten/Silvester</v>
      </c>
      <c r="T220" s="4">
        <v>5</v>
      </c>
      <c r="U220" s="4" t="str">
        <f t="shared" si="47"/>
        <v>Nein</v>
      </c>
      <c r="V220" s="4">
        <f t="shared" si="48"/>
        <v>0</v>
      </c>
      <c r="W220" s="19">
        <f t="shared" si="49"/>
        <v>1.59</v>
      </c>
      <c r="X220" s="5">
        <v>0</v>
      </c>
      <c r="Y220" s="28">
        <f t="shared" si="50"/>
        <v>0</v>
      </c>
      <c r="Z220" s="31" t="s">
        <v>172</v>
      </c>
      <c r="AA220" t="str">
        <f t="shared" si="51"/>
        <v>Kassenfehler (Überbestand)</v>
      </c>
    </row>
    <row r="221" spans="1:27" x14ac:dyDescent="0.35">
      <c r="A221" s="32" t="s">
        <v>15</v>
      </c>
      <c r="B221" s="2" t="str">
        <f>VLOOKUP(A221,Stammdaten!$A$3:$B$7,2,FALSE)</f>
        <v>Filiale Süd</v>
      </c>
      <c r="C221" s="3" t="str" cm="1">
        <f t="array" ref="C221">INDEX(Stammdaten!$A$11:$A$25,INT((ROW()-5)/12)+1 - INT((ROW()-5)/180)*15)</f>
        <v>A004</v>
      </c>
      <c r="D221" s="2" t="str">
        <f>VLOOKUP(C221,Stammdaten!$A$11:$B$25,2,FALSE)</f>
        <v>Butter 250g</v>
      </c>
      <c r="E221" s="3" t="str">
        <f>VLOOKUP(C221,Stammdaten!$A$11:$C$25,3,FALSE)</f>
        <v>Butter</v>
      </c>
      <c r="F221" s="19">
        <f>VLOOKUP(C221,Stammdaten!$A$11:$D$25,4,FALSE)</f>
        <v>2.29</v>
      </c>
      <c r="G221" s="4">
        <f t="shared" si="39"/>
        <v>1</v>
      </c>
      <c r="H221" s="20" t="str">
        <f>VLOOKUP(G221,Stammdaten!$A$30:$B$41,2,FALSE)</f>
        <v>Januar</v>
      </c>
      <c r="I221" s="4">
        <v>291</v>
      </c>
      <c r="J221" s="4">
        <v>286</v>
      </c>
      <c r="K221" s="4">
        <f t="shared" si="40"/>
        <v>-5</v>
      </c>
      <c r="L221" s="27">
        <f t="shared" si="41"/>
        <v>-1.7182130584192441</v>
      </c>
      <c r="M221" s="52" t="str">
        <f t="shared" si="42"/>
        <v>Schwund</v>
      </c>
      <c r="N221" s="28">
        <f t="shared" si="43"/>
        <v>11.45</v>
      </c>
      <c r="O221" s="5">
        <v>18</v>
      </c>
      <c r="P221" s="4">
        <v>7</v>
      </c>
      <c r="Q221" s="28">
        <f t="shared" si="44"/>
        <v>2.8624999999999998</v>
      </c>
      <c r="R221" s="50">
        <f t="shared" si="45"/>
        <v>3.4349999999999996</v>
      </c>
      <c r="S221" s="2" t="str">
        <f t="shared" si="46"/>
        <v>Normal</v>
      </c>
      <c r="T221" s="4">
        <v>0</v>
      </c>
      <c r="U221" s="4" t="str">
        <f t="shared" si="47"/>
        <v>Nein</v>
      </c>
      <c r="V221" s="4">
        <f t="shared" si="48"/>
        <v>0</v>
      </c>
      <c r="W221" s="19">
        <f t="shared" si="49"/>
        <v>2.29</v>
      </c>
      <c r="X221" s="5">
        <v>0</v>
      </c>
      <c r="Y221" s="28">
        <f t="shared" si="50"/>
        <v>0</v>
      </c>
      <c r="Z221" s="31" t="s">
        <v>172</v>
      </c>
      <c r="AA221" t="str">
        <f t="shared" si="51"/>
        <v>Normal/Gering</v>
      </c>
    </row>
    <row r="222" spans="1:27" x14ac:dyDescent="0.35">
      <c r="A222" s="32" t="s">
        <v>15</v>
      </c>
      <c r="B222" s="2" t="str">
        <f>VLOOKUP(A222,Stammdaten!$A$3:$B$7,2,FALSE)</f>
        <v>Filiale Süd</v>
      </c>
      <c r="C222" s="3" t="str" cm="1">
        <f t="array" ref="C222">INDEX(Stammdaten!$A$11:$A$25,INT((ROW()-5)/12)+1 - INT((ROW()-5)/180)*15)</f>
        <v>A004</v>
      </c>
      <c r="D222" s="2" t="str">
        <f>VLOOKUP(C222,Stammdaten!$A$11:$B$25,2,FALSE)</f>
        <v>Butter 250g</v>
      </c>
      <c r="E222" s="3" t="str">
        <f>VLOOKUP(C222,Stammdaten!$A$11:$C$25,3,FALSE)</f>
        <v>Butter</v>
      </c>
      <c r="F222" s="19">
        <f>VLOOKUP(C222,Stammdaten!$A$11:$D$25,4,FALSE)</f>
        <v>2.29</v>
      </c>
      <c r="G222" s="4">
        <f t="shared" si="39"/>
        <v>2</v>
      </c>
      <c r="H222" s="20" t="str">
        <f>VLOOKUP(G222,Stammdaten!$A$30:$B$41,2,FALSE)</f>
        <v>Februar</v>
      </c>
      <c r="I222" s="4">
        <v>275</v>
      </c>
      <c r="J222" s="4">
        <v>273</v>
      </c>
      <c r="K222" s="4">
        <f t="shared" si="40"/>
        <v>-2</v>
      </c>
      <c r="L222" s="27">
        <f t="shared" si="41"/>
        <v>-0.72727272727272729</v>
      </c>
      <c r="M222" s="52" t="str">
        <f t="shared" si="42"/>
        <v>Schwund</v>
      </c>
      <c r="N222" s="28">
        <f t="shared" si="43"/>
        <v>4.58</v>
      </c>
      <c r="O222" s="5">
        <v>1</v>
      </c>
      <c r="P222" s="4">
        <v>0</v>
      </c>
      <c r="Q222" s="28">
        <f t="shared" si="44"/>
        <v>1.145</v>
      </c>
      <c r="R222" s="50">
        <f t="shared" si="45"/>
        <v>1.3739999999999999</v>
      </c>
      <c r="S222" s="2" t="str">
        <f t="shared" si="46"/>
        <v>Karneval</v>
      </c>
      <c r="T222" s="4">
        <v>0</v>
      </c>
      <c r="U222" s="4" t="str">
        <f t="shared" si="47"/>
        <v>Ja - 20% Reduzierung</v>
      </c>
      <c r="V222" s="4">
        <f t="shared" si="48"/>
        <v>20</v>
      </c>
      <c r="W222" s="19">
        <f t="shared" si="49"/>
        <v>1.83</v>
      </c>
      <c r="X222" s="5">
        <v>41</v>
      </c>
      <c r="Y222" s="28">
        <f t="shared" si="50"/>
        <v>18.78</v>
      </c>
      <c r="Z222" s="31" t="s">
        <v>173</v>
      </c>
      <c r="AA222" t="str">
        <f t="shared" si="51"/>
        <v>Normal/Gering</v>
      </c>
    </row>
    <row r="223" spans="1:27" x14ac:dyDescent="0.35">
      <c r="A223" s="32" t="s">
        <v>15</v>
      </c>
      <c r="B223" s="2" t="str">
        <f>VLOOKUP(A223,Stammdaten!$A$3:$B$7,2,FALSE)</f>
        <v>Filiale Süd</v>
      </c>
      <c r="C223" s="3" t="str" cm="1">
        <f t="array" ref="C223">INDEX(Stammdaten!$A$11:$A$25,INT((ROW()-5)/12)+1 - INT((ROW()-5)/180)*15)</f>
        <v>A004</v>
      </c>
      <c r="D223" s="2" t="str">
        <f>VLOOKUP(C223,Stammdaten!$A$11:$B$25,2,FALSE)</f>
        <v>Butter 250g</v>
      </c>
      <c r="E223" s="3" t="str">
        <f>VLOOKUP(C223,Stammdaten!$A$11:$C$25,3,FALSE)</f>
        <v>Butter</v>
      </c>
      <c r="F223" s="19">
        <f>VLOOKUP(C223,Stammdaten!$A$11:$D$25,4,FALSE)</f>
        <v>2.29</v>
      </c>
      <c r="G223" s="4">
        <f t="shared" si="39"/>
        <v>3</v>
      </c>
      <c r="H223" s="20" t="str">
        <f>VLOOKUP(G223,Stammdaten!$A$30:$B$41,2,FALSE)</f>
        <v>März</v>
      </c>
      <c r="I223" s="4">
        <v>343</v>
      </c>
      <c r="J223" s="4">
        <v>337</v>
      </c>
      <c r="K223" s="4">
        <f t="shared" si="40"/>
        <v>-6</v>
      </c>
      <c r="L223" s="27">
        <f t="shared" si="41"/>
        <v>-1.749271137026239</v>
      </c>
      <c r="M223" s="52" t="str">
        <f t="shared" si="42"/>
        <v>Schwund</v>
      </c>
      <c r="N223" s="28">
        <f t="shared" si="43"/>
        <v>13.74</v>
      </c>
      <c r="O223" s="5">
        <v>18</v>
      </c>
      <c r="P223" s="4">
        <v>3</v>
      </c>
      <c r="Q223" s="28">
        <f t="shared" si="44"/>
        <v>3.4350000000000001</v>
      </c>
      <c r="R223" s="50">
        <f t="shared" si="45"/>
        <v>4.1219999999999999</v>
      </c>
      <c r="S223" s="2" t="str">
        <f t="shared" si="46"/>
        <v>Normal</v>
      </c>
      <c r="T223" s="4">
        <v>0</v>
      </c>
      <c r="U223" s="4" t="str">
        <f t="shared" si="47"/>
        <v>Nein</v>
      </c>
      <c r="V223" s="4">
        <f t="shared" si="48"/>
        <v>0</v>
      </c>
      <c r="W223" s="19">
        <f t="shared" si="49"/>
        <v>2.29</v>
      </c>
      <c r="X223" s="5">
        <v>0</v>
      </c>
      <c r="Y223" s="28">
        <f t="shared" si="50"/>
        <v>0</v>
      </c>
      <c r="Z223" s="31" t="s">
        <v>172</v>
      </c>
      <c r="AA223" t="str">
        <f t="shared" si="51"/>
        <v>Normal/Gering</v>
      </c>
    </row>
    <row r="224" spans="1:27" x14ac:dyDescent="0.35">
      <c r="A224" s="32" t="s">
        <v>15</v>
      </c>
      <c r="B224" s="2" t="str">
        <f>VLOOKUP(A224,Stammdaten!$A$3:$B$7,2,FALSE)</f>
        <v>Filiale Süd</v>
      </c>
      <c r="C224" s="3" t="str" cm="1">
        <f t="array" ref="C224">INDEX(Stammdaten!$A$11:$A$25,INT((ROW()-5)/12)+1 - INT((ROW()-5)/180)*15)</f>
        <v>A004</v>
      </c>
      <c r="D224" s="2" t="str">
        <f>VLOOKUP(C224,Stammdaten!$A$11:$B$25,2,FALSE)</f>
        <v>Butter 250g</v>
      </c>
      <c r="E224" s="3" t="str">
        <f>VLOOKUP(C224,Stammdaten!$A$11:$C$25,3,FALSE)</f>
        <v>Butter</v>
      </c>
      <c r="F224" s="19">
        <f>VLOOKUP(C224,Stammdaten!$A$11:$D$25,4,FALSE)</f>
        <v>2.29</v>
      </c>
      <c r="G224" s="4">
        <f t="shared" si="39"/>
        <v>4</v>
      </c>
      <c r="H224" s="20" t="str">
        <f>VLOOKUP(G224,Stammdaten!$A$30:$B$41,2,FALSE)</f>
        <v>April</v>
      </c>
      <c r="I224" s="4">
        <v>388</v>
      </c>
      <c r="J224" s="4">
        <v>383</v>
      </c>
      <c r="K224" s="4">
        <f t="shared" si="40"/>
        <v>-5</v>
      </c>
      <c r="L224" s="27">
        <f t="shared" si="41"/>
        <v>-1.2886597938144329</v>
      </c>
      <c r="M224" s="52" t="str">
        <f t="shared" si="42"/>
        <v>Schwund</v>
      </c>
      <c r="N224" s="28">
        <f t="shared" si="43"/>
        <v>11.45</v>
      </c>
      <c r="O224" s="5">
        <v>24</v>
      </c>
      <c r="P224" s="4">
        <v>2</v>
      </c>
      <c r="Q224" s="28">
        <f t="shared" si="44"/>
        <v>2.8624999999999998</v>
      </c>
      <c r="R224" s="50">
        <f t="shared" si="45"/>
        <v>3.4349999999999996</v>
      </c>
      <c r="S224" s="2" t="str">
        <f t="shared" si="46"/>
        <v>Ostern</v>
      </c>
      <c r="T224" s="4">
        <v>0</v>
      </c>
      <c r="U224" s="4" t="str">
        <f t="shared" si="47"/>
        <v>Nein</v>
      </c>
      <c r="V224" s="4">
        <f t="shared" si="48"/>
        <v>0</v>
      </c>
      <c r="W224" s="19">
        <f t="shared" si="49"/>
        <v>2.29</v>
      </c>
      <c r="X224" s="5">
        <v>0</v>
      </c>
      <c r="Y224" s="28">
        <f t="shared" si="50"/>
        <v>0</v>
      </c>
      <c r="Z224" s="31" t="s">
        <v>172</v>
      </c>
      <c r="AA224" t="str">
        <f t="shared" si="51"/>
        <v>Normal/Gering</v>
      </c>
    </row>
    <row r="225" spans="1:27" x14ac:dyDescent="0.35">
      <c r="A225" s="32" t="s">
        <v>15</v>
      </c>
      <c r="B225" s="2" t="str">
        <f>VLOOKUP(A225,Stammdaten!$A$3:$B$7,2,FALSE)</f>
        <v>Filiale Süd</v>
      </c>
      <c r="C225" s="3" t="str" cm="1">
        <f t="array" ref="C225">INDEX(Stammdaten!$A$11:$A$25,INT((ROW()-5)/12)+1 - INT((ROW()-5)/180)*15)</f>
        <v>A004</v>
      </c>
      <c r="D225" s="2" t="str">
        <f>VLOOKUP(C225,Stammdaten!$A$11:$B$25,2,FALSE)</f>
        <v>Butter 250g</v>
      </c>
      <c r="E225" s="3" t="str">
        <f>VLOOKUP(C225,Stammdaten!$A$11:$C$25,3,FALSE)</f>
        <v>Butter</v>
      </c>
      <c r="F225" s="19">
        <f>VLOOKUP(C225,Stammdaten!$A$11:$D$25,4,FALSE)</f>
        <v>2.29</v>
      </c>
      <c r="G225" s="4">
        <f t="shared" si="39"/>
        <v>5</v>
      </c>
      <c r="H225" s="20" t="str">
        <f>VLOOKUP(G225,Stammdaten!$A$30:$B$41,2,FALSE)</f>
        <v>Mai</v>
      </c>
      <c r="I225" s="4">
        <v>330</v>
      </c>
      <c r="J225" s="4">
        <v>328</v>
      </c>
      <c r="K225" s="4">
        <f t="shared" si="40"/>
        <v>-2</v>
      </c>
      <c r="L225" s="27">
        <f t="shared" si="41"/>
        <v>-0.60606060606060608</v>
      </c>
      <c r="M225" s="52" t="str">
        <f t="shared" si="42"/>
        <v>Schwund</v>
      </c>
      <c r="N225" s="28">
        <f t="shared" si="43"/>
        <v>4.58</v>
      </c>
      <c r="O225" s="5">
        <v>17</v>
      </c>
      <c r="P225" s="4">
        <v>2</v>
      </c>
      <c r="Q225" s="28">
        <f t="shared" si="44"/>
        <v>1.145</v>
      </c>
      <c r="R225" s="50">
        <f t="shared" si="45"/>
        <v>1.3739999999999999</v>
      </c>
      <c r="S225" s="2" t="str">
        <f t="shared" si="46"/>
        <v>Normal</v>
      </c>
      <c r="T225" s="4">
        <v>0</v>
      </c>
      <c r="U225" s="4" t="str">
        <f t="shared" si="47"/>
        <v>Nein</v>
      </c>
      <c r="V225" s="4">
        <f t="shared" si="48"/>
        <v>0</v>
      </c>
      <c r="W225" s="19">
        <f t="shared" si="49"/>
        <v>2.29</v>
      </c>
      <c r="X225" s="5">
        <v>0</v>
      </c>
      <c r="Y225" s="28">
        <f t="shared" si="50"/>
        <v>0</v>
      </c>
      <c r="Z225" s="31" t="s">
        <v>172</v>
      </c>
      <c r="AA225" t="str">
        <f t="shared" si="51"/>
        <v>Normal/Gering</v>
      </c>
    </row>
    <row r="226" spans="1:27" x14ac:dyDescent="0.35">
      <c r="A226" s="32" t="s">
        <v>15</v>
      </c>
      <c r="B226" s="2" t="str">
        <f>VLOOKUP(A226,Stammdaten!$A$3:$B$7,2,FALSE)</f>
        <v>Filiale Süd</v>
      </c>
      <c r="C226" s="3" t="str" cm="1">
        <f t="array" ref="C226">INDEX(Stammdaten!$A$11:$A$25,INT((ROW()-5)/12)+1 - INT((ROW()-5)/180)*15)</f>
        <v>A004</v>
      </c>
      <c r="D226" s="2" t="str">
        <f>VLOOKUP(C226,Stammdaten!$A$11:$B$25,2,FALSE)</f>
        <v>Butter 250g</v>
      </c>
      <c r="E226" s="3" t="str">
        <f>VLOOKUP(C226,Stammdaten!$A$11:$C$25,3,FALSE)</f>
        <v>Butter</v>
      </c>
      <c r="F226" s="19">
        <f>VLOOKUP(C226,Stammdaten!$A$11:$D$25,4,FALSE)</f>
        <v>2.29</v>
      </c>
      <c r="G226" s="4">
        <f t="shared" si="39"/>
        <v>6</v>
      </c>
      <c r="H226" s="20" t="str">
        <f>VLOOKUP(G226,Stammdaten!$A$30:$B$41,2,FALSE)</f>
        <v>Juni</v>
      </c>
      <c r="I226" s="4">
        <v>338</v>
      </c>
      <c r="J226" s="4">
        <v>333</v>
      </c>
      <c r="K226" s="4">
        <f t="shared" si="40"/>
        <v>-5</v>
      </c>
      <c r="L226" s="27">
        <f t="shared" si="41"/>
        <v>-1.4792899408284024</v>
      </c>
      <c r="M226" s="52" t="str">
        <f t="shared" si="42"/>
        <v>Schwund</v>
      </c>
      <c r="N226" s="28">
        <f t="shared" si="43"/>
        <v>11.45</v>
      </c>
      <c r="O226" s="5">
        <v>21</v>
      </c>
      <c r="P226" s="4">
        <v>10</v>
      </c>
      <c r="Q226" s="28">
        <f t="shared" si="44"/>
        <v>2.8624999999999998</v>
      </c>
      <c r="R226" s="50">
        <f t="shared" si="45"/>
        <v>3.4349999999999996</v>
      </c>
      <c r="S226" s="2" t="str">
        <f t="shared" si="46"/>
        <v>Normal</v>
      </c>
      <c r="T226" s="4">
        <v>0</v>
      </c>
      <c r="U226" s="4" t="str">
        <f t="shared" si="47"/>
        <v>Nein</v>
      </c>
      <c r="V226" s="4">
        <f t="shared" si="48"/>
        <v>0</v>
      </c>
      <c r="W226" s="19">
        <f t="shared" si="49"/>
        <v>2.29</v>
      </c>
      <c r="X226" s="5">
        <v>0</v>
      </c>
      <c r="Y226" s="28">
        <f t="shared" si="50"/>
        <v>0</v>
      </c>
      <c r="Z226" s="31" t="s">
        <v>172</v>
      </c>
      <c r="AA226" t="str">
        <f t="shared" si="51"/>
        <v>Normal/Gering</v>
      </c>
    </row>
    <row r="227" spans="1:27" x14ac:dyDescent="0.35">
      <c r="A227" s="32" t="s">
        <v>15</v>
      </c>
      <c r="B227" s="2" t="str">
        <f>VLOOKUP(A227,Stammdaten!$A$3:$B$7,2,FALSE)</f>
        <v>Filiale Süd</v>
      </c>
      <c r="C227" s="3" t="str" cm="1">
        <f t="array" ref="C227">INDEX(Stammdaten!$A$11:$A$25,INT((ROW()-5)/12)+1 - INT((ROW()-5)/180)*15)</f>
        <v>A004</v>
      </c>
      <c r="D227" s="2" t="str">
        <f>VLOOKUP(C227,Stammdaten!$A$11:$B$25,2,FALSE)</f>
        <v>Butter 250g</v>
      </c>
      <c r="E227" s="3" t="str">
        <f>VLOOKUP(C227,Stammdaten!$A$11:$C$25,3,FALSE)</f>
        <v>Butter</v>
      </c>
      <c r="F227" s="19">
        <f>VLOOKUP(C227,Stammdaten!$A$11:$D$25,4,FALSE)</f>
        <v>2.29</v>
      </c>
      <c r="G227" s="4">
        <f t="shared" si="39"/>
        <v>7</v>
      </c>
      <c r="H227" s="20" t="str">
        <f>VLOOKUP(G227,Stammdaten!$A$30:$B$41,2,FALSE)</f>
        <v>Juli</v>
      </c>
      <c r="I227" s="4">
        <v>396</v>
      </c>
      <c r="J227" s="4">
        <v>396</v>
      </c>
      <c r="K227" s="4">
        <f t="shared" si="40"/>
        <v>0</v>
      </c>
      <c r="L227" s="27">
        <f t="shared" si="41"/>
        <v>0</v>
      </c>
      <c r="M227" s="52" t="str">
        <f t="shared" si="42"/>
        <v>Perfekt</v>
      </c>
      <c r="N227" s="28">
        <f t="shared" si="43"/>
        <v>0</v>
      </c>
      <c r="O227" s="5">
        <v>10</v>
      </c>
      <c r="P227" s="4">
        <v>0</v>
      </c>
      <c r="Q227" s="28">
        <f t="shared" si="44"/>
        <v>0</v>
      </c>
      <c r="R227" s="50">
        <f t="shared" si="45"/>
        <v>0</v>
      </c>
      <c r="S227" s="2" t="str">
        <f t="shared" si="46"/>
        <v>Normal</v>
      </c>
      <c r="T227" s="4">
        <v>0</v>
      </c>
      <c r="U227" s="4" t="str">
        <f t="shared" si="47"/>
        <v>Nein</v>
      </c>
      <c r="V227" s="4">
        <f t="shared" si="48"/>
        <v>0</v>
      </c>
      <c r="W227" s="19">
        <f t="shared" si="49"/>
        <v>2.29</v>
      </c>
      <c r="X227" s="5">
        <v>0</v>
      </c>
      <c r="Y227" s="28">
        <f t="shared" si="50"/>
        <v>0</v>
      </c>
      <c r="Z227" s="31" t="s">
        <v>172</v>
      </c>
      <c r="AA227" t="str">
        <f t="shared" si="51"/>
        <v>Normal/Gering</v>
      </c>
    </row>
    <row r="228" spans="1:27" x14ac:dyDescent="0.35">
      <c r="A228" s="32" t="s">
        <v>15</v>
      </c>
      <c r="B228" s="2" t="str">
        <f>VLOOKUP(A228,Stammdaten!$A$3:$B$7,2,FALSE)</f>
        <v>Filiale Süd</v>
      </c>
      <c r="C228" s="3" t="str" cm="1">
        <f t="array" ref="C228">INDEX(Stammdaten!$A$11:$A$25,INT((ROW()-5)/12)+1 - INT((ROW()-5)/180)*15)</f>
        <v>A004</v>
      </c>
      <c r="D228" s="2" t="str">
        <f>VLOOKUP(C228,Stammdaten!$A$11:$B$25,2,FALSE)</f>
        <v>Butter 250g</v>
      </c>
      <c r="E228" s="3" t="str">
        <f>VLOOKUP(C228,Stammdaten!$A$11:$C$25,3,FALSE)</f>
        <v>Butter</v>
      </c>
      <c r="F228" s="19">
        <f>VLOOKUP(C228,Stammdaten!$A$11:$D$25,4,FALSE)</f>
        <v>2.29</v>
      </c>
      <c r="G228" s="4">
        <f t="shared" si="39"/>
        <v>8</v>
      </c>
      <c r="H228" s="20" t="str">
        <f>VLOOKUP(G228,Stammdaten!$A$30:$B$41,2,FALSE)</f>
        <v>August</v>
      </c>
      <c r="I228" s="4">
        <v>368</v>
      </c>
      <c r="J228" s="4">
        <v>370</v>
      </c>
      <c r="K228" s="4">
        <f t="shared" si="40"/>
        <v>2</v>
      </c>
      <c r="L228" s="27">
        <f t="shared" si="41"/>
        <v>0.54347826086956519</v>
      </c>
      <c r="M228" s="52" t="str">
        <f t="shared" si="42"/>
        <v>Überbestand</v>
      </c>
      <c r="N228" s="28">
        <f t="shared" si="43"/>
        <v>4.58</v>
      </c>
      <c r="O228" s="5">
        <v>5</v>
      </c>
      <c r="P228" s="4">
        <v>8</v>
      </c>
      <c r="Q228" s="28">
        <f t="shared" si="44"/>
        <v>0</v>
      </c>
      <c r="R228" s="50">
        <f t="shared" si="45"/>
        <v>0</v>
      </c>
      <c r="S228" s="2" t="str">
        <f t="shared" si="46"/>
        <v>Normal</v>
      </c>
      <c r="T228" s="4">
        <v>2</v>
      </c>
      <c r="U228" s="4" t="str">
        <f t="shared" si="47"/>
        <v>Nein</v>
      </c>
      <c r="V228" s="4">
        <f t="shared" si="48"/>
        <v>0</v>
      </c>
      <c r="W228" s="19">
        <f t="shared" si="49"/>
        <v>2.29</v>
      </c>
      <c r="X228" s="5">
        <v>0</v>
      </c>
      <c r="Y228" s="28">
        <f t="shared" si="50"/>
        <v>0</v>
      </c>
      <c r="Z228" s="31" t="s">
        <v>172</v>
      </c>
      <c r="AA228" t="str">
        <f t="shared" si="51"/>
        <v>Kassenfehler (Überbestand)</v>
      </c>
    </row>
    <row r="229" spans="1:27" x14ac:dyDescent="0.35">
      <c r="A229" s="32" t="s">
        <v>15</v>
      </c>
      <c r="B229" s="2" t="str">
        <f>VLOOKUP(A229,Stammdaten!$A$3:$B$7,2,FALSE)</f>
        <v>Filiale Süd</v>
      </c>
      <c r="C229" s="3" t="str" cm="1">
        <f t="array" ref="C229">INDEX(Stammdaten!$A$11:$A$25,INT((ROW()-5)/12)+1 - INT((ROW()-5)/180)*15)</f>
        <v>A004</v>
      </c>
      <c r="D229" s="2" t="str">
        <f>VLOOKUP(C229,Stammdaten!$A$11:$B$25,2,FALSE)</f>
        <v>Butter 250g</v>
      </c>
      <c r="E229" s="3" t="str">
        <f>VLOOKUP(C229,Stammdaten!$A$11:$C$25,3,FALSE)</f>
        <v>Butter</v>
      </c>
      <c r="F229" s="19">
        <f>VLOOKUP(C229,Stammdaten!$A$11:$D$25,4,FALSE)</f>
        <v>2.29</v>
      </c>
      <c r="G229" s="4">
        <f t="shared" si="39"/>
        <v>9</v>
      </c>
      <c r="H229" s="20" t="str">
        <f>VLOOKUP(G229,Stammdaten!$A$30:$B$41,2,FALSE)</f>
        <v>September</v>
      </c>
      <c r="I229" s="4">
        <v>316</v>
      </c>
      <c r="J229" s="4">
        <v>311</v>
      </c>
      <c r="K229" s="4">
        <f t="shared" si="40"/>
        <v>-5</v>
      </c>
      <c r="L229" s="27">
        <f t="shared" si="41"/>
        <v>-1.5822784810126582</v>
      </c>
      <c r="M229" s="52" t="str">
        <f t="shared" si="42"/>
        <v>Schwund</v>
      </c>
      <c r="N229" s="28">
        <f t="shared" si="43"/>
        <v>11.45</v>
      </c>
      <c r="O229" s="5">
        <v>23</v>
      </c>
      <c r="P229" s="4">
        <v>5</v>
      </c>
      <c r="Q229" s="28">
        <f t="shared" si="44"/>
        <v>2.8624999999999998</v>
      </c>
      <c r="R229" s="50">
        <f t="shared" si="45"/>
        <v>3.4349999999999996</v>
      </c>
      <c r="S229" s="2" t="str">
        <f t="shared" si="46"/>
        <v>Normal</v>
      </c>
      <c r="T229" s="4">
        <v>0</v>
      </c>
      <c r="U229" s="4" t="str">
        <f t="shared" si="47"/>
        <v>Nein</v>
      </c>
      <c r="V229" s="4">
        <f t="shared" si="48"/>
        <v>0</v>
      </c>
      <c r="W229" s="19">
        <f t="shared" si="49"/>
        <v>2.29</v>
      </c>
      <c r="X229" s="5">
        <v>0</v>
      </c>
      <c r="Y229" s="28">
        <f t="shared" si="50"/>
        <v>0</v>
      </c>
      <c r="Z229" s="31" t="s">
        <v>172</v>
      </c>
      <c r="AA229" t="str">
        <f t="shared" si="51"/>
        <v>Normal/Gering</v>
      </c>
    </row>
    <row r="230" spans="1:27" x14ac:dyDescent="0.35">
      <c r="A230" s="32" t="s">
        <v>15</v>
      </c>
      <c r="B230" s="2" t="str">
        <f>VLOOKUP(A230,Stammdaten!$A$3:$B$7,2,FALSE)</f>
        <v>Filiale Süd</v>
      </c>
      <c r="C230" s="3" t="str" cm="1">
        <f t="array" ref="C230">INDEX(Stammdaten!$A$11:$A$25,INT((ROW()-5)/12)+1 - INT((ROW()-5)/180)*15)</f>
        <v>A004</v>
      </c>
      <c r="D230" s="2" t="str">
        <f>VLOOKUP(C230,Stammdaten!$A$11:$B$25,2,FALSE)</f>
        <v>Butter 250g</v>
      </c>
      <c r="E230" s="3" t="str">
        <f>VLOOKUP(C230,Stammdaten!$A$11:$C$25,3,FALSE)</f>
        <v>Butter</v>
      </c>
      <c r="F230" s="19">
        <f>VLOOKUP(C230,Stammdaten!$A$11:$D$25,4,FALSE)</f>
        <v>2.29</v>
      </c>
      <c r="G230" s="4">
        <f t="shared" si="39"/>
        <v>10</v>
      </c>
      <c r="H230" s="20" t="str">
        <f>VLOOKUP(G230,Stammdaten!$A$30:$B$41,2,FALSE)</f>
        <v>Oktober</v>
      </c>
      <c r="I230" s="4">
        <v>336</v>
      </c>
      <c r="J230" s="4">
        <v>340</v>
      </c>
      <c r="K230" s="4">
        <f t="shared" si="40"/>
        <v>4</v>
      </c>
      <c r="L230" s="27">
        <f t="shared" si="41"/>
        <v>1.1904761904761905</v>
      </c>
      <c r="M230" s="52" t="str">
        <f t="shared" si="42"/>
        <v>Überbestand</v>
      </c>
      <c r="N230" s="28">
        <f t="shared" si="43"/>
        <v>9.16</v>
      </c>
      <c r="O230" s="5">
        <v>28</v>
      </c>
      <c r="P230" s="4">
        <v>4</v>
      </c>
      <c r="Q230" s="28">
        <f t="shared" si="44"/>
        <v>0</v>
      </c>
      <c r="R230" s="50">
        <f t="shared" si="45"/>
        <v>0</v>
      </c>
      <c r="S230" s="2" t="str">
        <f t="shared" si="46"/>
        <v>Normal</v>
      </c>
      <c r="T230" s="4">
        <v>4</v>
      </c>
      <c r="U230" s="4" t="str">
        <f t="shared" si="47"/>
        <v>Nein</v>
      </c>
      <c r="V230" s="4">
        <f t="shared" si="48"/>
        <v>0</v>
      </c>
      <c r="W230" s="19">
        <f t="shared" si="49"/>
        <v>2.29</v>
      </c>
      <c r="X230" s="5">
        <v>0</v>
      </c>
      <c r="Y230" s="28">
        <f t="shared" si="50"/>
        <v>0</v>
      </c>
      <c r="Z230" s="31" t="s">
        <v>172</v>
      </c>
      <c r="AA230" t="str">
        <f t="shared" si="51"/>
        <v>Kassenfehler (Überbestand)</v>
      </c>
    </row>
    <row r="231" spans="1:27" x14ac:dyDescent="0.35">
      <c r="A231" s="32" t="s">
        <v>15</v>
      </c>
      <c r="B231" s="2" t="str">
        <f>VLOOKUP(A231,Stammdaten!$A$3:$B$7,2,FALSE)</f>
        <v>Filiale Süd</v>
      </c>
      <c r="C231" s="3" t="str" cm="1">
        <f t="array" ref="C231">INDEX(Stammdaten!$A$11:$A$25,INT((ROW()-5)/12)+1 - INT((ROW()-5)/180)*15)</f>
        <v>A004</v>
      </c>
      <c r="D231" s="2" t="str">
        <f>VLOOKUP(C231,Stammdaten!$A$11:$B$25,2,FALSE)</f>
        <v>Butter 250g</v>
      </c>
      <c r="E231" s="3" t="str">
        <f>VLOOKUP(C231,Stammdaten!$A$11:$C$25,3,FALSE)</f>
        <v>Butter</v>
      </c>
      <c r="F231" s="19">
        <f>VLOOKUP(C231,Stammdaten!$A$11:$D$25,4,FALSE)</f>
        <v>2.29</v>
      </c>
      <c r="G231" s="4">
        <f t="shared" si="39"/>
        <v>11</v>
      </c>
      <c r="H231" s="20" t="str">
        <f>VLOOKUP(G231,Stammdaten!$A$30:$B$41,2,FALSE)</f>
        <v>November</v>
      </c>
      <c r="I231" s="4">
        <v>352</v>
      </c>
      <c r="J231" s="4">
        <v>349</v>
      </c>
      <c r="K231" s="4">
        <f t="shared" si="40"/>
        <v>-3</v>
      </c>
      <c r="L231" s="27">
        <f t="shared" si="41"/>
        <v>-0.85227272727272718</v>
      </c>
      <c r="M231" s="52" t="str">
        <f t="shared" si="42"/>
        <v>Schwund</v>
      </c>
      <c r="N231" s="28">
        <f t="shared" si="43"/>
        <v>6.87</v>
      </c>
      <c r="O231" s="5">
        <v>22</v>
      </c>
      <c r="P231" s="4">
        <v>1</v>
      </c>
      <c r="Q231" s="28">
        <f t="shared" si="44"/>
        <v>1.7175</v>
      </c>
      <c r="R231" s="50">
        <f t="shared" si="45"/>
        <v>2.0609999999999999</v>
      </c>
      <c r="S231" s="2" t="str">
        <f t="shared" si="46"/>
        <v>Black Friday</v>
      </c>
      <c r="T231" s="4">
        <v>0</v>
      </c>
      <c r="U231" s="4" t="str">
        <f t="shared" si="47"/>
        <v>Nein</v>
      </c>
      <c r="V231" s="4">
        <f t="shared" si="48"/>
        <v>0</v>
      </c>
      <c r="W231" s="19">
        <f t="shared" si="49"/>
        <v>2.29</v>
      </c>
      <c r="X231" s="5">
        <v>0</v>
      </c>
      <c r="Y231" s="28">
        <f t="shared" si="50"/>
        <v>0</v>
      </c>
      <c r="Z231" s="31" t="s">
        <v>172</v>
      </c>
      <c r="AA231" t="str">
        <f t="shared" si="51"/>
        <v>Normal/Gering</v>
      </c>
    </row>
    <row r="232" spans="1:27" x14ac:dyDescent="0.35">
      <c r="A232" s="32" t="s">
        <v>15</v>
      </c>
      <c r="B232" s="2" t="str">
        <f>VLOOKUP(A232,Stammdaten!$A$3:$B$7,2,FALSE)</f>
        <v>Filiale Süd</v>
      </c>
      <c r="C232" s="3" t="str" cm="1">
        <f t="array" ref="C232">INDEX(Stammdaten!$A$11:$A$25,INT((ROW()-5)/12)+1 - INT((ROW()-5)/180)*15)</f>
        <v>A004</v>
      </c>
      <c r="D232" s="2" t="str">
        <f>VLOOKUP(C232,Stammdaten!$A$11:$B$25,2,FALSE)</f>
        <v>Butter 250g</v>
      </c>
      <c r="E232" s="3" t="str">
        <f>VLOOKUP(C232,Stammdaten!$A$11:$C$25,3,FALSE)</f>
        <v>Butter</v>
      </c>
      <c r="F232" s="19">
        <f>VLOOKUP(C232,Stammdaten!$A$11:$D$25,4,FALSE)</f>
        <v>2.29</v>
      </c>
      <c r="G232" s="4">
        <f t="shared" si="39"/>
        <v>12</v>
      </c>
      <c r="H232" s="20" t="str">
        <f>VLOOKUP(G232,Stammdaten!$A$30:$B$41,2,FALSE)</f>
        <v>Dezember</v>
      </c>
      <c r="I232" s="4">
        <v>466</v>
      </c>
      <c r="J232" s="4">
        <v>456</v>
      </c>
      <c r="K232" s="4">
        <f t="shared" si="40"/>
        <v>-10</v>
      </c>
      <c r="L232" s="27">
        <f t="shared" si="41"/>
        <v>-2.1459227467811157</v>
      </c>
      <c r="M232" s="52" t="str">
        <f t="shared" si="42"/>
        <v>Schwund</v>
      </c>
      <c r="N232" s="28">
        <f t="shared" si="43"/>
        <v>22.9</v>
      </c>
      <c r="O232" s="5">
        <v>23</v>
      </c>
      <c r="P232" s="4">
        <v>9</v>
      </c>
      <c r="Q232" s="28">
        <f t="shared" si="44"/>
        <v>5.7249999999999996</v>
      </c>
      <c r="R232" s="50">
        <f t="shared" si="45"/>
        <v>6.8699999999999992</v>
      </c>
      <c r="S232" s="2" t="str">
        <f t="shared" si="46"/>
        <v>Weihnachten/Silvester</v>
      </c>
      <c r="T232" s="4">
        <v>0</v>
      </c>
      <c r="U232" s="4" t="str">
        <f t="shared" si="47"/>
        <v>Nein</v>
      </c>
      <c r="V232" s="4">
        <f t="shared" si="48"/>
        <v>0</v>
      </c>
      <c r="W232" s="19">
        <f t="shared" si="49"/>
        <v>2.29</v>
      </c>
      <c r="X232" s="5">
        <v>0</v>
      </c>
      <c r="Y232" s="28">
        <f t="shared" si="50"/>
        <v>0</v>
      </c>
      <c r="Z232" s="31" t="s">
        <v>172</v>
      </c>
      <c r="AA232" t="str">
        <f t="shared" si="51"/>
        <v>Prozessfehler</v>
      </c>
    </row>
    <row r="233" spans="1:27" x14ac:dyDescent="0.35">
      <c r="A233" s="32" t="s">
        <v>15</v>
      </c>
      <c r="B233" s="2" t="str">
        <f>VLOOKUP(A233,Stammdaten!$A$3:$B$7,2,FALSE)</f>
        <v>Filiale Süd</v>
      </c>
      <c r="C233" s="3" t="str" cm="1">
        <f t="array" ref="C233">INDEX(Stammdaten!$A$11:$A$25,INT((ROW()-5)/12)+1 - INT((ROW()-5)/180)*15)</f>
        <v>A005</v>
      </c>
      <c r="D233" s="2" t="str">
        <f>VLOOKUP(C233,Stammdaten!$A$11:$B$25,2,FALSE)</f>
        <v>Gouda 200g</v>
      </c>
      <c r="E233" s="3" t="str">
        <f>VLOOKUP(C233,Stammdaten!$A$11:$C$25,3,FALSE)</f>
        <v>Käse</v>
      </c>
      <c r="F233" s="19">
        <f>VLOOKUP(C233,Stammdaten!$A$11:$D$25,4,FALSE)</f>
        <v>1.99</v>
      </c>
      <c r="G233" s="4">
        <f t="shared" si="39"/>
        <v>1</v>
      </c>
      <c r="H233" s="20" t="str">
        <f>VLOOKUP(G233,Stammdaten!$A$30:$B$41,2,FALSE)</f>
        <v>Januar</v>
      </c>
      <c r="I233" s="4">
        <v>222</v>
      </c>
      <c r="J233" s="4">
        <v>220</v>
      </c>
      <c r="K233" s="4">
        <f t="shared" si="40"/>
        <v>-2</v>
      </c>
      <c r="L233" s="27">
        <f t="shared" si="41"/>
        <v>-0.90090090090090091</v>
      </c>
      <c r="M233" s="52" t="str">
        <f t="shared" si="42"/>
        <v>Schwund</v>
      </c>
      <c r="N233" s="28">
        <f t="shared" si="43"/>
        <v>3.98</v>
      </c>
      <c r="O233" s="5">
        <v>10</v>
      </c>
      <c r="P233" s="4">
        <v>5</v>
      </c>
      <c r="Q233" s="28">
        <f t="shared" si="44"/>
        <v>0.995</v>
      </c>
      <c r="R233" s="50">
        <f t="shared" si="45"/>
        <v>1.194</v>
      </c>
      <c r="S233" s="2" t="str">
        <f t="shared" si="46"/>
        <v>Normal</v>
      </c>
      <c r="T233" s="4">
        <v>0</v>
      </c>
      <c r="U233" s="4" t="str">
        <f t="shared" si="47"/>
        <v>Nein</v>
      </c>
      <c r="V233" s="4">
        <f t="shared" si="48"/>
        <v>0</v>
      </c>
      <c r="W233" s="19">
        <f t="shared" si="49"/>
        <v>1.99</v>
      </c>
      <c r="X233" s="5">
        <v>0</v>
      </c>
      <c r="Y233" s="28">
        <f t="shared" si="50"/>
        <v>0</v>
      </c>
      <c r="Z233" s="31" t="s">
        <v>172</v>
      </c>
      <c r="AA233" t="str">
        <f t="shared" si="51"/>
        <v>Normal/Gering</v>
      </c>
    </row>
    <row r="234" spans="1:27" x14ac:dyDescent="0.35">
      <c r="A234" s="32" t="s">
        <v>15</v>
      </c>
      <c r="B234" s="2" t="str">
        <f>VLOOKUP(A234,Stammdaten!$A$3:$B$7,2,FALSE)</f>
        <v>Filiale Süd</v>
      </c>
      <c r="C234" s="3" t="str" cm="1">
        <f t="array" ref="C234">INDEX(Stammdaten!$A$11:$A$25,INT((ROW()-5)/12)+1 - INT((ROW()-5)/180)*15)</f>
        <v>A005</v>
      </c>
      <c r="D234" s="2" t="str">
        <f>VLOOKUP(C234,Stammdaten!$A$11:$B$25,2,FALSE)</f>
        <v>Gouda 200g</v>
      </c>
      <c r="E234" s="3" t="str">
        <f>VLOOKUP(C234,Stammdaten!$A$11:$C$25,3,FALSE)</f>
        <v>Käse</v>
      </c>
      <c r="F234" s="19">
        <f>VLOOKUP(C234,Stammdaten!$A$11:$D$25,4,FALSE)</f>
        <v>1.99</v>
      </c>
      <c r="G234" s="4">
        <f t="shared" si="39"/>
        <v>2</v>
      </c>
      <c r="H234" s="20" t="str">
        <f>VLOOKUP(G234,Stammdaten!$A$30:$B$41,2,FALSE)</f>
        <v>Februar</v>
      </c>
      <c r="I234" s="4">
        <v>212</v>
      </c>
      <c r="J234" s="4">
        <v>212</v>
      </c>
      <c r="K234" s="4">
        <f t="shared" si="40"/>
        <v>0</v>
      </c>
      <c r="L234" s="27">
        <f t="shared" si="41"/>
        <v>0</v>
      </c>
      <c r="M234" s="52" t="str">
        <f t="shared" si="42"/>
        <v>Perfekt</v>
      </c>
      <c r="N234" s="28">
        <f t="shared" si="43"/>
        <v>0</v>
      </c>
      <c r="O234" s="5">
        <v>15</v>
      </c>
      <c r="P234" s="4">
        <v>3</v>
      </c>
      <c r="Q234" s="28">
        <f t="shared" si="44"/>
        <v>0</v>
      </c>
      <c r="R234" s="50">
        <f t="shared" si="45"/>
        <v>0</v>
      </c>
      <c r="S234" s="2" t="str">
        <f t="shared" si="46"/>
        <v>Karneval</v>
      </c>
      <c r="T234" s="4">
        <v>0</v>
      </c>
      <c r="U234" s="4" t="str">
        <f t="shared" si="47"/>
        <v>Nein</v>
      </c>
      <c r="V234" s="4">
        <f t="shared" si="48"/>
        <v>0</v>
      </c>
      <c r="W234" s="19">
        <f t="shared" si="49"/>
        <v>1.99</v>
      </c>
      <c r="X234" s="5">
        <v>0</v>
      </c>
      <c r="Y234" s="28">
        <f t="shared" si="50"/>
        <v>0</v>
      </c>
      <c r="Z234" s="31" t="s">
        <v>172</v>
      </c>
      <c r="AA234" t="str">
        <f t="shared" si="51"/>
        <v>Normal/Gering</v>
      </c>
    </row>
    <row r="235" spans="1:27" x14ac:dyDescent="0.35">
      <c r="A235" s="32" t="s">
        <v>15</v>
      </c>
      <c r="B235" s="2" t="str">
        <f>VLOOKUP(A235,Stammdaten!$A$3:$B$7,2,FALSE)</f>
        <v>Filiale Süd</v>
      </c>
      <c r="C235" s="3" t="str" cm="1">
        <f t="array" ref="C235">INDEX(Stammdaten!$A$11:$A$25,INT((ROW()-5)/12)+1 - INT((ROW()-5)/180)*15)</f>
        <v>A005</v>
      </c>
      <c r="D235" s="2" t="str">
        <f>VLOOKUP(C235,Stammdaten!$A$11:$B$25,2,FALSE)</f>
        <v>Gouda 200g</v>
      </c>
      <c r="E235" s="3" t="str">
        <f>VLOOKUP(C235,Stammdaten!$A$11:$C$25,3,FALSE)</f>
        <v>Käse</v>
      </c>
      <c r="F235" s="19">
        <f>VLOOKUP(C235,Stammdaten!$A$11:$D$25,4,FALSE)</f>
        <v>1.99</v>
      </c>
      <c r="G235" s="4">
        <f t="shared" si="39"/>
        <v>3</v>
      </c>
      <c r="H235" s="20" t="str">
        <f>VLOOKUP(G235,Stammdaten!$A$30:$B$41,2,FALSE)</f>
        <v>März</v>
      </c>
      <c r="I235" s="4">
        <v>255</v>
      </c>
      <c r="J235" s="4">
        <v>249</v>
      </c>
      <c r="K235" s="4">
        <f t="shared" si="40"/>
        <v>-6</v>
      </c>
      <c r="L235" s="27">
        <f t="shared" si="41"/>
        <v>-2.3529411764705883</v>
      </c>
      <c r="M235" s="52" t="str">
        <f t="shared" si="42"/>
        <v>Schwund</v>
      </c>
      <c r="N235" s="28">
        <f t="shared" si="43"/>
        <v>11.94</v>
      </c>
      <c r="O235" s="5">
        <v>7</v>
      </c>
      <c r="P235" s="4">
        <v>3</v>
      </c>
      <c r="Q235" s="28">
        <f t="shared" si="44"/>
        <v>2.9849999999999999</v>
      </c>
      <c r="R235" s="50">
        <f t="shared" si="45"/>
        <v>3.5819999999999999</v>
      </c>
      <c r="S235" s="2" t="str">
        <f t="shared" si="46"/>
        <v>Normal</v>
      </c>
      <c r="T235" s="4">
        <v>0</v>
      </c>
      <c r="U235" s="4" t="str">
        <f t="shared" si="47"/>
        <v>Nein</v>
      </c>
      <c r="V235" s="4">
        <f t="shared" si="48"/>
        <v>0</v>
      </c>
      <c r="W235" s="19">
        <f t="shared" si="49"/>
        <v>1.99</v>
      </c>
      <c r="X235" s="5">
        <v>0</v>
      </c>
      <c r="Y235" s="28">
        <f t="shared" si="50"/>
        <v>0</v>
      </c>
      <c r="Z235" s="31" t="s">
        <v>172</v>
      </c>
      <c r="AA235" t="str">
        <f t="shared" si="51"/>
        <v>Prozessfehler</v>
      </c>
    </row>
    <row r="236" spans="1:27" x14ac:dyDescent="0.35">
      <c r="A236" s="32" t="s">
        <v>15</v>
      </c>
      <c r="B236" s="2" t="str">
        <f>VLOOKUP(A236,Stammdaten!$A$3:$B$7,2,FALSE)</f>
        <v>Filiale Süd</v>
      </c>
      <c r="C236" s="3" t="str" cm="1">
        <f t="array" ref="C236">INDEX(Stammdaten!$A$11:$A$25,INT((ROW()-5)/12)+1 - INT((ROW()-5)/180)*15)</f>
        <v>A005</v>
      </c>
      <c r="D236" s="2" t="str">
        <f>VLOOKUP(C236,Stammdaten!$A$11:$B$25,2,FALSE)</f>
        <v>Gouda 200g</v>
      </c>
      <c r="E236" s="3" t="str">
        <f>VLOOKUP(C236,Stammdaten!$A$11:$C$25,3,FALSE)</f>
        <v>Käse</v>
      </c>
      <c r="F236" s="19">
        <f>VLOOKUP(C236,Stammdaten!$A$11:$D$25,4,FALSE)</f>
        <v>1.99</v>
      </c>
      <c r="G236" s="4">
        <f t="shared" si="39"/>
        <v>4</v>
      </c>
      <c r="H236" s="20" t="str">
        <f>VLOOKUP(G236,Stammdaten!$A$30:$B$41,2,FALSE)</f>
        <v>April</v>
      </c>
      <c r="I236" s="4">
        <v>297</v>
      </c>
      <c r="J236" s="4">
        <v>289</v>
      </c>
      <c r="K236" s="4">
        <f t="shared" si="40"/>
        <v>-8</v>
      </c>
      <c r="L236" s="27">
        <f t="shared" si="41"/>
        <v>-2.6936026936026933</v>
      </c>
      <c r="M236" s="52" t="str">
        <f t="shared" si="42"/>
        <v>Schwund</v>
      </c>
      <c r="N236" s="28">
        <f t="shared" si="43"/>
        <v>15.92</v>
      </c>
      <c r="O236" s="5">
        <v>10</v>
      </c>
      <c r="P236" s="4">
        <v>7</v>
      </c>
      <c r="Q236" s="28">
        <f t="shared" si="44"/>
        <v>3.98</v>
      </c>
      <c r="R236" s="50">
        <f t="shared" si="45"/>
        <v>4.7759999999999998</v>
      </c>
      <c r="S236" s="2" t="str">
        <f t="shared" si="46"/>
        <v>Ostern</v>
      </c>
      <c r="T236" s="4">
        <v>0</v>
      </c>
      <c r="U236" s="4" t="str">
        <f t="shared" si="47"/>
        <v>Nein</v>
      </c>
      <c r="V236" s="4">
        <f t="shared" si="48"/>
        <v>0</v>
      </c>
      <c r="W236" s="19">
        <f t="shared" si="49"/>
        <v>1.99</v>
      </c>
      <c r="X236" s="5">
        <v>0</v>
      </c>
      <c r="Y236" s="28">
        <f t="shared" si="50"/>
        <v>0</v>
      </c>
      <c r="Z236" s="31" t="s">
        <v>172</v>
      </c>
      <c r="AA236" t="str">
        <f t="shared" si="51"/>
        <v>Prozessfehler</v>
      </c>
    </row>
    <row r="237" spans="1:27" x14ac:dyDescent="0.35">
      <c r="A237" s="32" t="s">
        <v>15</v>
      </c>
      <c r="B237" s="2" t="str">
        <f>VLOOKUP(A237,Stammdaten!$A$3:$B$7,2,FALSE)</f>
        <v>Filiale Süd</v>
      </c>
      <c r="C237" s="3" t="str" cm="1">
        <f t="array" ref="C237">INDEX(Stammdaten!$A$11:$A$25,INT((ROW()-5)/12)+1 - INT((ROW()-5)/180)*15)</f>
        <v>A005</v>
      </c>
      <c r="D237" s="2" t="str">
        <f>VLOOKUP(C237,Stammdaten!$A$11:$B$25,2,FALSE)</f>
        <v>Gouda 200g</v>
      </c>
      <c r="E237" s="3" t="str">
        <f>VLOOKUP(C237,Stammdaten!$A$11:$C$25,3,FALSE)</f>
        <v>Käse</v>
      </c>
      <c r="F237" s="19">
        <f>VLOOKUP(C237,Stammdaten!$A$11:$D$25,4,FALSE)</f>
        <v>1.99</v>
      </c>
      <c r="G237" s="4">
        <f t="shared" si="39"/>
        <v>5</v>
      </c>
      <c r="H237" s="20" t="str">
        <f>VLOOKUP(G237,Stammdaten!$A$30:$B$41,2,FALSE)</f>
        <v>Mai</v>
      </c>
      <c r="I237" s="4">
        <v>230</v>
      </c>
      <c r="J237" s="4">
        <v>225</v>
      </c>
      <c r="K237" s="4">
        <f t="shared" si="40"/>
        <v>-5</v>
      </c>
      <c r="L237" s="27">
        <f t="shared" si="41"/>
        <v>-2.1739130434782608</v>
      </c>
      <c r="M237" s="52" t="str">
        <f t="shared" si="42"/>
        <v>Schwund</v>
      </c>
      <c r="N237" s="28">
        <f t="shared" si="43"/>
        <v>9.9499999999999993</v>
      </c>
      <c r="O237" s="5">
        <v>13</v>
      </c>
      <c r="P237" s="4">
        <v>0</v>
      </c>
      <c r="Q237" s="28">
        <f t="shared" si="44"/>
        <v>2.4874999999999998</v>
      </c>
      <c r="R237" s="50">
        <f t="shared" si="45"/>
        <v>2.9849999999999999</v>
      </c>
      <c r="S237" s="2" t="str">
        <f t="shared" si="46"/>
        <v>Normal</v>
      </c>
      <c r="T237" s="4">
        <v>0</v>
      </c>
      <c r="U237" s="4" t="str">
        <f t="shared" si="47"/>
        <v>Nein</v>
      </c>
      <c r="V237" s="4">
        <f t="shared" si="48"/>
        <v>0</v>
      </c>
      <c r="W237" s="19">
        <f t="shared" si="49"/>
        <v>1.99</v>
      </c>
      <c r="X237" s="5">
        <v>0</v>
      </c>
      <c r="Y237" s="28">
        <f t="shared" si="50"/>
        <v>0</v>
      </c>
      <c r="Z237" s="31" t="s">
        <v>172</v>
      </c>
      <c r="AA237" t="str">
        <f t="shared" si="51"/>
        <v>Buchungsfehler Wareneingang</v>
      </c>
    </row>
    <row r="238" spans="1:27" x14ac:dyDescent="0.35">
      <c r="A238" s="32" t="s">
        <v>15</v>
      </c>
      <c r="B238" s="2" t="str">
        <f>VLOOKUP(A238,Stammdaten!$A$3:$B$7,2,FALSE)</f>
        <v>Filiale Süd</v>
      </c>
      <c r="C238" s="3" t="str" cm="1">
        <f t="array" ref="C238">INDEX(Stammdaten!$A$11:$A$25,INT((ROW()-5)/12)+1 - INT((ROW()-5)/180)*15)</f>
        <v>A005</v>
      </c>
      <c r="D238" s="2" t="str">
        <f>VLOOKUP(C238,Stammdaten!$A$11:$B$25,2,FALSE)</f>
        <v>Gouda 200g</v>
      </c>
      <c r="E238" s="3" t="str">
        <f>VLOOKUP(C238,Stammdaten!$A$11:$C$25,3,FALSE)</f>
        <v>Käse</v>
      </c>
      <c r="F238" s="19">
        <f>VLOOKUP(C238,Stammdaten!$A$11:$D$25,4,FALSE)</f>
        <v>1.99</v>
      </c>
      <c r="G238" s="4">
        <f t="shared" si="39"/>
        <v>6</v>
      </c>
      <c r="H238" s="20" t="str">
        <f>VLOOKUP(G238,Stammdaten!$A$30:$B$41,2,FALSE)</f>
        <v>Juni</v>
      </c>
      <c r="I238" s="4">
        <v>277</v>
      </c>
      <c r="J238" s="4">
        <v>272</v>
      </c>
      <c r="K238" s="4">
        <f t="shared" si="40"/>
        <v>-5</v>
      </c>
      <c r="L238" s="27">
        <f t="shared" si="41"/>
        <v>-1.8050541516245486</v>
      </c>
      <c r="M238" s="52" t="str">
        <f t="shared" si="42"/>
        <v>Schwund</v>
      </c>
      <c r="N238" s="28">
        <f t="shared" si="43"/>
        <v>9.9499999999999993</v>
      </c>
      <c r="O238" s="5">
        <v>17</v>
      </c>
      <c r="P238" s="4">
        <v>7</v>
      </c>
      <c r="Q238" s="28">
        <f t="shared" si="44"/>
        <v>2.4874999999999998</v>
      </c>
      <c r="R238" s="50">
        <f t="shared" si="45"/>
        <v>2.9849999999999999</v>
      </c>
      <c r="S238" s="2" t="str">
        <f t="shared" si="46"/>
        <v>Normal</v>
      </c>
      <c r="T238" s="4">
        <v>0</v>
      </c>
      <c r="U238" s="4" t="str">
        <f t="shared" si="47"/>
        <v>Nein</v>
      </c>
      <c r="V238" s="4">
        <f t="shared" si="48"/>
        <v>0</v>
      </c>
      <c r="W238" s="19">
        <f t="shared" si="49"/>
        <v>1.99</v>
      </c>
      <c r="X238" s="5">
        <v>0</v>
      </c>
      <c r="Y238" s="28">
        <f t="shared" si="50"/>
        <v>0</v>
      </c>
      <c r="Z238" s="31" t="s">
        <v>172</v>
      </c>
      <c r="AA238" t="str">
        <f t="shared" si="51"/>
        <v>Normal/Gering</v>
      </c>
    </row>
    <row r="239" spans="1:27" x14ac:dyDescent="0.35">
      <c r="A239" s="32" t="s">
        <v>15</v>
      </c>
      <c r="B239" s="2" t="str">
        <f>VLOOKUP(A239,Stammdaten!$A$3:$B$7,2,FALSE)</f>
        <v>Filiale Süd</v>
      </c>
      <c r="C239" s="3" t="str" cm="1">
        <f t="array" ref="C239">INDEX(Stammdaten!$A$11:$A$25,INT((ROW()-5)/12)+1 - INT((ROW()-5)/180)*15)</f>
        <v>A005</v>
      </c>
      <c r="D239" s="2" t="str">
        <f>VLOOKUP(C239,Stammdaten!$A$11:$B$25,2,FALSE)</f>
        <v>Gouda 200g</v>
      </c>
      <c r="E239" s="3" t="str">
        <f>VLOOKUP(C239,Stammdaten!$A$11:$C$25,3,FALSE)</f>
        <v>Käse</v>
      </c>
      <c r="F239" s="19">
        <f>VLOOKUP(C239,Stammdaten!$A$11:$D$25,4,FALSE)</f>
        <v>1.99</v>
      </c>
      <c r="G239" s="4">
        <f t="shared" si="39"/>
        <v>7</v>
      </c>
      <c r="H239" s="20" t="str">
        <f>VLOOKUP(G239,Stammdaten!$A$30:$B$41,2,FALSE)</f>
        <v>Juli</v>
      </c>
      <c r="I239" s="4">
        <v>300</v>
      </c>
      <c r="J239" s="4">
        <v>294</v>
      </c>
      <c r="K239" s="4">
        <f t="shared" si="40"/>
        <v>-6</v>
      </c>
      <c r="L239" s="27">
        <f t="shared" si="41"/>
        <v>-2</v>
      </c>
      <c r="M239" s="52" t="str">
        <f t="shared" si="42"/>
        <v>Schwund</v>
      </c>
      <c r="N239" s="28">
        <f t="shared" si="43"/>
        <v>11.94</v>
      </c>
      <c r="O239" s="5">
        <v>1</v>
      </c>
      <c r="P239" s="4">
        <v>7</v>
      </c>
      <c r="Q239" s="28">
        <f t="shared" si="44"/>
        <v>2.9849999999999999</v>
      </c>
      <c r="R239" s="50">
        <f t="shared" si="45"/>
        <v>3.5819999999999999</v>
      </c>
      <c r="S239" s="2" t="str">
        <f t="shared" si="46"/>
        <v>Normal</v>
      </c>
      <c r="T239" s="4">
        <v>0</v>
      </c>
      <c r="U239" s="4" t="str">
        <f t="shared" si="47"/>
        <v>Ja - 20% Reduzierung</v>
      </c>
      <c r="V239" s="4">
        <f t="shared" si="48"/>
        <v>20</v>
      </c>
      <c r="W239" s="19">
        <f t="shared" si="49"/>
        <v>1.59</v>
      </c>
      <c r="X239" s="5">
        <v>30</v>
      </c>
      <c r="Y239" s="28">
        <f t="shared" si="50"/>
        <v>11.94</v>
      </c>
      <c r="Z239" s="31" t="s">
        <v>173</v>
      </c>
      <c r="AA239" t="str">
        <f t="shared" si="51"/>
        <v>Normal/Gering</v>
      </c>
    </row>
    <row r="240" spans="1:27" x14ac:dyDescent="0.35">
      <c r="A240" s="32" t="s">
        <v>15</v>
      </c>
      <c r="B240" s="2" t="str">
        <f>VLOOKUP(A240,Stammdaten!$A$3:$B$7,2,FALSE)</f>
        <v>Filiale Süd</v>
      </c>
      <c r="C240" s="3" t="str" cm="1">
        <f t="array" ref="C240">INDEX(Stammdaten!$A$11:$A$25,INT((ROW()-5)/12)+1 - INT((ROW()-5)/180)*15)</f>
        <v>A005</v>
      </c>
      <c r="D240" s="2" t="str">
        <f>VLOOKUP(C240,Stammdaten!$A$11:$B$25,2,FALSE)</f>
        <v>Gouda 200g</v>
      </c>
      <c r="E240" s="3" t="str">
        <f>VLOOKUP(C240,Stammdaten!$A$11:$C$25,3,FALSE)</f>
        <v>Käse</v>
      </c>
      <c r="F240" s="19">
        <f>VLOOKUP(C240,Stammdaten!$A$11:$D$25,4,FALSE)</f>
        <v>1.99</v>
      </c>
      <c r="G240" s="4">
        <f t="shared" si="39"/>
        <v>8</v>
      </c>
      <c r="H240" s="20" t="str">
        <f>VLOOKUP(G240,Stammdaten!$A$30:$B$41,2,FALSE)</f>
        <v>August</v>
      </c>
      <c r="I240" s="4">
        <v>270</v>
      </c>
      <c r="J240" s="4">
        <v>270</v>
      </c>
      <c r="K240" s="4">
        <f t="shared" si="40"/>
        <v>0</v>
      </c>
      <c r="L240" s="27">
        <f t="shared" si="41"/>
        <v>0</v>
      </c>
      <c r="M240" s="52" t="str">
        <f t="shared" si="42"/>
        <v>Perfekt</v>
      </c>
      <c r="N240" s="28">
        <f t="shared" si="43"/>
        <v>0</v>
      </c>
      <c r="O240" s="5">
        <v>10</v>
      </c>
      <c r="P240" s="4">
        <v>3</v>
      </c>
      <c r="Q240" s="28">
        <f t="shared" si="44"/>
        <v>0</v>
      </c>
      <c r="R240" s="50">
        <f t="shared" si="45"/>
        <v>0</v>
      </c>
      <c r="S240" s="2" t="str">
        <f t="shared" si="46"/>
        <v>Normal</v>
      </c>
      <c r="T240" s="4">
        <v>0</v>
      </c>
      <c r="U240" s="4" t="str">
        <f t="shared" si="47"/>
        <v>Nein</v>
      </c>
      <c r="V240" s="4">
        <f t="shared" si="48"/>
        <v>0</v>
      </c>
      <c r="W240" s="19">
        <f t="shared" si="49"/>
        <v>1.99</v>
      </c>
      <c r="X240" s="5">
        <v>0</v>
      </c>
      <c r="Y240" s="28">
        <f t="shared" si="50"/>
        <v>0</v>
      </c>
      <c r="Z240" s="31" t="s">
        <v>172</v>
      </c>
      <c r="AA240" t="str">
        <f t="shared" si="51"/>
        <v>Normal/Gering</v>
      </c>
    </row>
    <row r="241" spans="1:27" x14ac:dyDescent="0.35">
      <c r="A241" s="32" t="s">
        <v>15</v>
      </c>
      <c r="B241" s="2" t="str">
        <f>VLOOKUP(A241,Stammdaten!$A$3:$B$7,2,FALSE)</f>
        <v>Filiale Süd</v>
      </c>
      <c r="C241" s="3" t="str" cm="1">
        <f t="array" ref="C241">INDEX(Stammdaten!$A$11:$A$25,INT((ROW()-5)/12)+1 - INT((ROW()-5)/180)*15)</f>
        <v>A005</v>
      </c>
      <c r="D241" s="2" t="str">
        <f>VLOOKUP(C241,Stammdaten!$A$11:$B$25,2,FALSE)</f>
        <v>Gouda 200g</v>
      </c>
      <c r="E241" s="3" t="str">
        <f>VLOOKUP(C241,Stammdaten!$A$11:$C$25,3,FALSE)</f>
        <v>Käse</v>
      </c>
      <c r="F241" s="19">
        <f>VLOOKUP(C241,Stammdaten!$A$11:$D$25,4,FALSE)</f>
        <v>1.99</v>
      </c>
      <c r="G241" s="4">
        <f t="shared" si="39"/>
        <v>9</v>
      </c>
      <c r="H241" s="20" t="str">
        <f>VLOOKUP(G241,Stammdaten!$A$30:$B$41,2,FALSE)</f>
        <v>September</v>
      </c>
      <c r="I241" s="4">
        <v>223</v>
      </c>
      <c r="J241" s="4">
        <v>224</v>
      </c>
      <c r="K241" s="4">
        <f t="shared" si="40"/>
        <v>1</v>
      </c>
      <c r="L241" s="27">
        <f t="shared" si="41"/>
        <v>0.44843049327354262</v>
      </c>
      <c r="M241" s="52" t="str">
        <f t="shared" si="42"/>
        <v>Überbestand</v>
      </c>
      <c r="N241" s="28">
        <f t="shared" si="43"/>
        <v>1.99</v>
      </c>
      <c r="O241" s="5">
        <v>16</v>
      </c>
      <c r="P241" s="4">
        <v>1</v>
      </c>
      <c r="Q241" s="28">
        <f t="shared" si="44"/>
        <v>0</v>
      </c>
      <c r="R241" s="50">
        <f t="shared" si="45"/>
        <v>0</v>
      </c>
      <c r="S241" s="2" t="str">
        <f t="shared" si="46"/>
        <v>Normal</v>
      </c>
      <c r="T241" s="4">
        <v>1</v>
      </c>
      <c r="U241" s="4" t="str">
        <f t="shared" si="47"/>
        <v>Nein</v>
      </c>
      <c r="V241" s="4">
        <f t="shared" si="48"/>
        <v>0</v>
      </c>
      <c r="W241" s="19">
        <f t="shared" si="49"/>
        <v>1.99</v>
      </c>
      <c r="X241" s="5">
        <v>0</v>
      </c>
      <c r="Y241" s="28">
        <f t="shared" si="50"/>
        <v>0</v>
      </c>
      <c r="Z241" s="31" t="s">
        <v>172</v>
      </c>
      <c r="AA241" t="str">
        <f t="shared" si="51"/>
        <v>Kassenfehler (Überbestand)</v>
      </c>
    </row>
    <row r="242" spans="1:27" x14ac:dyDescent="0.35">
      <c r="A242" s="32" t="s">
        <v>15</v>
      </c>
      <c r="B242" s="2" t="str">
        <f>VLOOKUP(A242,Stammdaten!$A$3:$B$7,2,FALSE)</f>
        <v>Filiale Süd</v>
      </c>
      <c r="C242" s="3" t="str" cm="1">
        <f t="array" ref="C242">INDEX(Stammdaten!$A$11:$A$25,INT((ROW()-5)/12)+1 - INT((ROW()-5)/180)*15)</f>
        <v>A005</v>
      </c>
      <c r="D242" s="2" t="str">
        <f>VLOOKUP(C242,Stammdaten!$A$11:$B$25,2,FALSE)</f>
        <v>Gouda 200g</v>
      </c>
      <c r="E242" s="3" t="str">
        <f>VLOOKUP(C242,Stammdaten!$A$11:$C$25,3,FALSE)</f>
        <v>Käse</v>
      </c>
      <c r="F242" s="19">
        <f>VLOOKUP(C242,Stammdaten!$A$11:$D$25,4,FALSE)</f>
        <v>1.99</v>
      </c>
      <c r="G242" s="4">
        <f t="shared" si="39"/>
        <v>10</v>
      </c>
      <c r="H242" s="20" t="str">
        <f>VLOOKUP(G242,Stammdaten!$A$30:$B$41,2,FALSE)</f>
        <v>Oktober</v>
      </c>
      <c r="I242" s="4">
        <v>242</v>
      </c>
      <c r="J242" s="4">
        <v>250</v>
      </c>
      <c r="K242" s="4">
        <f t="shared" si="40"/>
        <v>8</v>
      </c>
      <c r="L242" s="27">
        <f t="shared" si="41"/>
        <v>3.3057851239669422</v>
      </c>
      <c r="M242" s="52" t="str">
        <f t="shared" si="42"/>
        <v>Überbestand</v>
      </c>
      <c r="N242" s="28">
        <f t="shared" si="43"/>
        <v>15.92</v>
      </c>
      <c r="O242" s="5">
        <v>8</v>
      </c>
      <c r="P242" s="4">
        <v>4</v>
      </c>
      <c r="Q242" s="28">
        <f t="shared" si="44"/>
        <v>0</v>
      </c>
      <c r="R242" s="50">
        <f t="shared" si="45"/>
        <v>0</v>
      </c>
      <c r="S242" s="2" t="str">
        <f t="shared" si="46"/>
        <v>Normal</v>
      </c>
      <c r="T242" s="4">
        <v>8</v>
      </c>
      <c r="U242" s="4" t="str">
        <f t="shared" si="47"/>
        <v>Nein</v>
      </c>
      <c r="V242" s="4">
        <f t="shared" si="48"/>
        <v>0</v>
      </c>
      <c r="W242" s="19">
        <f t="shared" si="49"/>
        <v>1.99</v>
      </c>
      <c r="X242" s="5">
        <v>0</v>
      </c>
      <c r="Y242" s="28">
        <f t="shared" si="50"/>
        <v>0</v>
      </c>
      <c r="Z242" s="31" t="s">
        <v>172</v>
      </c>
      <c r="AA242" t="str">
        <f t="shared" si="51"/>
        <v>Kassenfehler (Überbestand)</v>
      </c>
    </row>
    <row r="243" spans="1:27" x14ac:dyDescent="0.35">
      <c r="A243" s="32" t="s">
        <v>15</v>
      </c>
      <c r="B243" s="2" t="str">
        <f>VLOOKUP(A243,Stammdaten!$A$3:$B$7,2,FALSE)</f>
        <v>Filiale Süd</v>
      </c>
      <c r="C243" s="3" t="str" cm="1">
        <f t="array" ref="C243">INDEX(Stammdaten!$A$11:$A$25,INT((ROW()-5)/12)+1 - INT((ROW()-5)/180)*15)</f>
        <v>A005</v>
      </c>
      <c r="D243" s="2" t="str">
        <f>VLOOKUP(C243,Stammdaten!$A$11:$B$25,2,FALSE)</f>
        <v>Gouda 200g</v>
      </c>
      <c r="E243" s="3" t="str">
        <f>VLOOKUP(C243,Stammdaten!$A$11:$C$25,3,FALSE)</f>
        <v>Käse</v>
      </c>
      <c r="F243" s="19">
        <f>VLOOKUP(C243,Stammdaten!$A$11:$D$25,4,FALSE)</f>
        <v>1.99</v>
      </c>
      <c r="G243" s="4">
        <f t="shared" si="39"/>
        <v>11</v>
      </c>
      <c r="H243" s="20" t="str">
        <f>VLOOKUP(G243,Stammdaten!$A$30:$B$41,2,FALSE)</f>
        <v>November</v>
      </c>
      <c r="I243" s="4">
        <v>253</v>
      </c>
      <c r="J243" s="4">
        <v>245</v>
      </c>
      <c r="K243" s="4">
        <f t="shared" si="40"/>
        <v>-8</v>
      </c>
      <c r="L243" s="27">
        <f t="shared" si="41"/>
        <v>-3.1620553359683794</v>
      </c>
      <c r="M243" s="52" t="str">
        <f t="shared" si="42"/>
        <v>Schwund</v>
      </c>
      <c r="N243" s="28">
        <f t="shared" si="43"/>
        <v>15.92</v>
      </c>
      <c r="O243" s="5">
        <v>4</v>
      </c>
      <c r="P243" s="4">
        <v>0</v>
      </c>
      <c r="Q243" s="28">
        <f t="shared" si="44"/>
        <v>3.98</v>
      </c>
      <c r="R243" s="50">
        <f t="shared" si="45"/>
        <v>4.7759999999999998</v>
      </c>
      <c r="S243" s="2" t="str">
        <f t="shared" si="46"/>
        <v>Black Friday</v>
      </c>
      <c r="T243" s="4">
        <v>0</v>
      </c>
      <c r="U243" s="4" t="str">
        <f t="shared" si="47"/>
        <v>Nein</v>
      </c>
      <c r="V243" s="4">
        <f t="shared" si="48"/>
        <v>0</v>
      </c>
      <c r="W243" s="19">
        <f t="shared" si="49"/>
        <v>1.99</v>
      </c>
      <c r="X243" s="5">
        <v>0</v>
      </c>
      <c r="Y243" s="28">
        <f t="shared" si="50"/>
        <v>0</v>
      </c>
      <c r="Z243" s="31" t="s">
        <v>172</v>
      </c>
      <c r="AA243" t="str">
        <f t="shared" si="51"/>
        <v>Buchungsfehler Wareneingang</v>
      </c>
    </row>
    <row r="244" spans="1:27" x14ac:dyDescent="0.35">
      <c r="A244" s="32" t="s">
        <v>15</v>
      </c>
      <c r="B244" s="2" t="str">
        <f>VLOOKUP(A244,Stammdaten!$A$3:$B$7,2,FALSE)</f>
        <v>Filiale Süd</v>
      </c>
      <c r="C244" s="3" t="str" cm="1">
        <f t="array" ref="C244">INDEX(Stammdaten!$A$11:$A$25,INT((ROW()-5)/12)+1 - INT((ROW()-5)/180)*15)</f>
        <v>A005</v>
      </c>
      <c r="D244" s="2" t="str">
        <f>VLOOKUP(C244,Stammdaten!$A$11:$B$25,2,FALSE)</f>
        <v>Gouda 200g</v>
      </c>
      <c r="E244" s="3" t="str">
        <f>VLOOKUP(C244,Stammdaten!$A$11:$C$25,3,FALSE)</f>
        <v>Käse</v>
      </c>
      <c r="F244" s="19">
        <f>VLOOKUP(C244,Stammdaten!$A$11:$D$25,4,FALSE)</f>
        <v>1.99</v>
      </c>
      <c r="G244" s="4">
        <f t="shared" si="39"/>
        <v>12</v>
      </c>
      <c r="H244" s="20" t="str">
        <f>VLOOKUP(G244,Stammdaten!$A$30:$B$41,2,FALSE)</f>
        <v>Dezember</v>
      </c>
      <c r="I244" s="4">
        <v>323</v>
      </c>
      <c r="J244" s="4">
        <v>324</v>
      </c>
      <c r="K244" s="4">
        <f t="shared" si="40"/>
        <v>1</v>
      </c>
      <c r="L244" s="27">
        <f t="shared" si="41"/>
        <v>0.30959752321981426</v>
      </c>
      <c r="M244" s="52" t="str">
        <f t="shared" si="42"/>
        <v>Überbestand</v>
      </c>
      <c r="N244" s="28">
        <f t="shared" si="43"/>
        <v>1.99</v>
      </c>
      <c r="O244" s="5">
        <v>8</v>
      </c>
      <c r="P244" s="4">
        <v>1</v>
      </c>
      <c r="Q244" s="28">
        <f t="shared" si="44"/>
        <v>0</v>
      </c>
      <c r="R244" s="50">
        <f t="shared" si="45"/>
        <v>0</v>
      </c>
      <c r="S244" s="2" t="str">
        <f t="shared" si="46"/>
        <v>Weihnachten/Silvester</v>
      </c>
      <c r="T244" s="4">
        <v>1</v>
      </c>
      <c r="U244" s="4" t="str">
        <f t="shared" si="47"/>
        <v>Nein</v>
      </c>
      <c r="V244" s="4">
        <f t="shared" si="48"/>
        <v>0</v>
      </c>
      <c r="W244" s="19">
        <f t="shared" si="49"/>
        <v>1.99</v>
      </c>
      <c r="X244" s="5">
        <v>0</v>
      </c>
      <c r="Y244" s="28">
        <f t="shared" si="50"/>
        <v>0</v>
      </c>
      <c r="Z244" s="31" t="s">
        <v>172</v>
      </c>
      <c r="AA244" t="str">
        <f t="shared" si="51"/>
        <v>Kassenfehler (Überbestand)</v>
      </c>
    </row>
    <row r="245" spans="1:27" x14ac:dyDescent="0.35">
      <c r="A245" s="32" t="s">
        <v>15</v>
      </c>
      <c r="B245" s="2" t="str">
        <f>VLOOKUP(A245,Stammdaten!$A$3:$B$7,2,FALSE)</f>
        <v>Filiale Süd</v>
      </c>
      <c r="C245" s="3" t="str" cm="1">
        <f t="array" ref="C245">INDEX(Stammdaten!$A$11:$A$25,INT((ROW()-5)/12)+1 - INT((ROW()-5)/180)*15)</f>
        <v>A006</v>
      </c>
      <c r="D245" s="2" t="str">
        <f>VLOOKUP(C245,Stammdaten!$A$11:$B$25,2,FALSE)</f>
        <v>Emmentaler 200g</v>
      </c>
      <c r="E245" s="3" t="str">
        <f>VLOOKUP(C245,Stammdaten!$A$11:$C$25,3,FALSE)</f>
        <v>Käse</v>
      </c>
      <c r="F245" s="19">
        <f>VLOOKUP(C245,Stammdaten!$A$11:$D$25,4,FALSE)</f>
        <v>2.4900000000000002</v>
      </c>
      <c r="G245" s="4">
        <f t="shared" si="39"/>
        <v>1</v>
      </c>
      <c r="H245" s="20" t="str">
        <f>VLOOKUP(G245,Stammdaten!$A$30:$B$41,2,FALSE)</f>
        <v>Januar</v>
      </c>
      <c r="I245" s="4">
        <v>180</v>
      </c>
      <c r="J245" s="4">
        <v>184</v>
      </c>
      <c r="K245" s="4">
        <f t="shared" si="40"/>
        <v>4</v>
      </c>
      <c r="L245" s="27">
        <f t="shared" si="41"/>
        <v>2.2222222222222223</v>
      </c>
      <c r="M245" s="52" t="str">
        <f t="shared" si="42"/>
        <v>Überbestand</v>
      </c>
      <c r="N245" s="28">
        <f t="shared" si="43"/>
        <v>9.9600000000000009</v>
      </c>
      <c r="O245" s="5">
        <v>1</v>
      </c>
      <c r="P245" s="4">
        <v>6</v>
      </c>
      <c r="Q245" s="28">
        <f t="shared" si="44"/>
        <v>0</v>
      </c>
      <c r="R245" s="50">
        <f t="shared" si="45"/>
        <v>0</v>
      </c>
      <c r="S245" s="2" t="str">
        <f t="shared" si="46"/>
        <v>Normal</v>
      </c>
      <c r="T245" s="4">
        <v>4</v>
      </c>
      <c r="U245" s="4" t="str">
        <f t="shared" si="47"/>
        <v>Ja - 20% Reduzierung</v>
      </c>
      <c r="V245" s="4">
        <f t="shared" si="48"/>
        <v>20</v>
      </c>
      <c r="W245" s="19">
        <f t="shared" si="49"/>
        <v>1.99</v>
      </c>
      <c r="X245" s="5">
        <v>25</v>
      </c>
      <c r="Y245" s="28">
        <f t="shared" si="50"/>
        <v>12.45</v>
      </c>
      <c r="Z245" s="31" t="s">
        <v>167</v>
      </c>
      <c r="AA245" t="str">
        <f t="shared" si="51"/>
        <v>MHD - Prozessfehler</v>
      </c>
    </row>
    <row r="246" spans="1:27" x14ac:dyDescent="0.35">
      <c r="A246" s="32" t="s">
        <v>15</v>
      </c>
      <c r="B246" s="2" t="str">
        <f>VLOOKUP(A246,Stammdaten!$A$3:$B$7,2,FALSE)</f>
        <v>Filiale Süd</v>
      </c>
      <c r="C246" s="3" t="str" cm="1">
        <f t="array" ref="C246">INDEX(Stammdaten!$A$11:$A$25,INT((ROW()-5)/12)+1 - INT((ROW()-5)/180)*15)</f>
        <v>A006</v>
      </c>
      <c r="D246" s="2" t="str">
        <f>VLOOKUP(C246,Stammdaten!$A$11:$B$25,2,FALSE)</f>
        <v>Emmentaler 200g</v>
      </c>
      <c r="E246" s="3" t="str">
        <f>VLOOKUP(C246,Stammdaten!$A$11:$C$25,3,FALSE)</f>
        <v>Käse</v>
      </c>
      <c r="F246" s="19">
        <f>VLOOKUP(C246,Stammdaten!$A$11:$D$25,4,FALSE)</f>
        <v>2.4900000000000002</v>
      </c>
      <c r="G246" s="4">
        <f t="shared" si="39"/>
        <v>2</v>
      </c>
      <c r="H246" s="20" t="str">
        <f>VLOOKUP(G246,Stammdaten!$A$30:$B$41,2,FALSE)</f>
        <v>Februar</v>
      </c>
      <c r="I246" s="4">
        <v>175</v>
      </c>
      <c r="J246" s="4">
        <v>171</v>
      </c>
      <c r="K246" s="4">
        <f t="shared" si="40"/>
        <v>-4</v>
      </c>
      <c r="L246" s="27">
        <f t="shared" si="41"/>
        <v>-2.2857142857142856</v>
      </c>
      <c r="M246" s="52" t="str">
        <f t="shared" si="42"/>
        <v>Schwund</v>
      </c>
      <c r="N246" s="28">
        <f t="shared" si="43"/>
        <v>9.9600000000000009</v>
      </c>
      <c r="O246" s="5">
        <v>11</v>
      </c>
      <c r="P246" s="4">
        <v>7</v>
      </c>
      <c r="Q246" s="28">
        <f t="shared" si="44"/>
        <v>2.4900000000000002</v>
      </c>
      <c r="R246" s="50">
        <f t="shared" si="45"/>
        <v>2.988</v>
      </c>
      <c r="S246" s="2" t="str">
        <f t="shared" si="46"/>
        <v>Karneval</v>
      </c>
      <c r="T246" s="4">
        <v>0</v>
      </c>
      <c r="U246" s="4" t="str">
        <f t="shared" si="47"/>
        <v>Nein</v>
      </c>
      <c r="V246" s="4">
        <f t="shared" si="48"/>
        <v>0</v>
      </c>
      <c r="W246" s="19">
        <f t="shared" si="49"/>
        <v>2.4900000000000002</v>
      </c>
      <c r="X246" s="5">
        <v>0</v>
      </c>
      <c r="Y246" s="28">
        <f t="shared" si="50"/>
        <v>0</v>
      </c>
      <c r="Z246" s="31" t="s">
        <v>172</v>
      </c>
      <c r="AA246" t="str">
        <f t="shared" si="51"/>
        <v>Prozessfehler</v>
      </c>
    </row>
    <row r="247" spans="1:27" x14ac:dyDescent="0.35">
      <c r="A247" s="32" t="s">
        <v>15</v>
      </c>
      <c r="B247" s="2" t="str">
        <f>VLOOKUP(A247,Stammdaten!$A$3:$B$7,2,FALSE)</f>
        <v>Filiale Süd</v>
      </c>
      <c r="C247" s="3" t="str" cm="1">
        <f t="array" ref="C247">INDEX(Stammdaten!$A$11:$A$25,INT((ROW()-5)/12)+1 - INT((ROW()-5)/180)*15)</f>
        <v>A006</v>
      </c>
      <c r="D247" s="2" t="str">
        <f>VLOOKUP(C247,Stammdaten!$A$11:$B$25,2,FALSE)</f>
        <v>Emmentaler 200g</v>
      </c>
      <c r="E247" s="3" t="str">
        <f>VLOOKUP(C247,Stammdaten!$A$11:$C$25,3,FALSE)</f>
        <v>Käse</v>
      </c>
      <c r="F247" s="19">
        <f>VLOOKUP(C247,Stammdaten!$A$11:$D$25,4,FALSE)</f>
        <v>2.4900000000000002</v>
      </c>
      <c r="G247" s="4">
        <f t="shared" si="39"/>
        <v>3</v>
      </c>
      <c r="H247" s="20" t="str">
        <f>VLOOKUP(G247,Stammdaten!$A$30:$B$41,2,FALSE)</f>
        <v>März</v>
      </c>
      <c r="I247" s="4">
        <v>204</v>
      </c>
      <c r="J247" s="4">
        <v>200</v>
      </c>
      <c r="K247" s="4">
        <f t="shared" si="40"/>
        <v>-4</v>
      </c>
      <c r="L247" s="27">
        <f t="shared" si="41"/>
        <v>-1.9607843137254901</v>
      </c>
      <c r="M247" s="52" t="str">
        <f t="shared" si="42"/>
        <v>Schwund</v>
      </c>
      <c r="N247" s="28">
        <f t="shared" si="43"/>
        <v>9.9600000000000009</v>
      </c>
      <c r="O247" s="5">
        <v>20</v>
      </c>
      <c r="P247" s="4">
        <v>4</v>
      </c>
      <c r="Q247" s="28">
        <f t="shared" si="44"/>
        <v>2.4900000000000002</v>
      </c>
      <c r="R247" s="50">
        <f t="shared" si="45"/>
        <v>2.988</v>
      </c>
      <c r="S247" s="2" t="str">
        <f t="shared" si="46"/>
        <v>Normal</v>
      </c>
      <c r="T247" s="4">
        <v>0</v>
      </c>
      <c r="U247" s="4" t="str">
        <f t="shared" si="47"/>
        <v>Nein</v>
      </c>
      <c r="V247" s="4">
        <f t="shared" si="48"/>
        <v>0</v>
      </c>
      <c r="W247" s="19">
        <f t="shared" si="49"/>
        <v>2.4900000000000002</v>
      </c>
      <c r="X247" s="5">
        <v>0</v>
      </c>
      <c r="Y247" s="28">
        <f t="shared" si="50"/>
        <v>0</v>
      </c>
      <c r="Z247" s="31" t="s">
        <v>172</v>
      </c>
      <c r="AA247" t="str">
        <f t="shared" si="51"/>
        <v>Normal/Gering</v>
      </c>
    </row>
    <row r="248" spans="1:27" x14ac:dyDescent="0.35">
      <c r="A248" s="32" t="s">
        <v>15</v>
      </c>
      <c r="B248" s="2" t="str">
        <f>VLOOKUP(A248,Stammdaten!$A$3:$B$7,2,FALSE)</f>
        <v>Filiale Süd</v>
      </c>
      <c r="C248" s="3" t="str" cm="1">
        <f t="array" ref="C248">INDEX(Stammdaten!$A$11:$A$25,INT((ROW()-5)/12)+1 - INT((ROW()-5)/180)*15)</f>
        <v>A006</v>
      </c>
      <c r="D248" s="2" t="str">
        <f>VLOOKUP(C248,Stammdaten!$A$11:$B$25,2,FALSE)</f>
        <v>Emmentaler 200g</v>
      </c>
      <c r="E248" s="3" t="str">
        <f>VLOOKUP(C248,Stammdaten!$A$11:$C$25,3,FALSE)</f>
        <v>Käse</v>
      </c>
      <c r="F248" s="19">
        <f>VLOOKUP(C248,Stammdaten!$A$11:$D$25,4,FALSE)</f>
        <v>2.4900000000000002</v>
      </c>
      <c r="G248" s="4">
        <f t="shared" si="39"/>
        <v>4</v>
      </c>
      <c r="H248" s="20" t="str">
        <f>VLOOKUP(G248,Stammdaten!$A$30:$B$41,2,FALSE)</f>
        <v>April</v>
      </c>
      <c r="I248" s="4">
        <v>243</v>
      </c>
      <c r="J248" s="4">
        <v>249</v>
      </c>
      <c r="K248" s="4">
        <f t="shared" si="40"/>
        <v>6</v>
      </c>
      <c r="L248" s="27">
        <f t="shared" si="41"/>
        <v>2.4691358024691357</v>
      </c>
      <c r="M248" s="52" t="str">
        <f t="shared" si="42"/>
        <v>Überbestand</v>
      </c>
      <c r="N248" s="28">
        <f t="shared" si="43"/>
        <v>14.940000000000001</v>
      </c>
      <c r="O248" s="5">
        <v>0</v>
      </c>
      <c r="P248" s="4">
        <v>5</v>
      </c>
      <c r="Q248" s="28">
        <f t="shared" si="44"/>
        <v>0</v>
      </c>
      <c r="R248" s="50">
        <f t="shared" si="45"/>
        <v>0</v>
      </c>
      <c r="S248" s="2" t="str">
        <f t="shared" si="46"/>
        <v>Ostern</v>
      </c>
      <c r="T248" s="4">
        <v>6</v>
      </c>
      <c r="U248" s="4" t="str">
        <f t="shared" si="47"/>
        <v>Abschreibung</v>
      </c>
      <c r="V248" s="4">
        <f t="shared" si="48"/>
        <v>100</v>
      </c>
      <c r="W248" s="19">
        <f t="shared" si="49"/>
        <v>0</v>
      </c>
      <c r="X248" s="5">
        <v>2</v>
      </c>
      <c r="Y248" s="28">
        <f t="shared" si="50"/>
        <v>4.9800000000000004</v>
      </c>
      <c r="Z248" s="31" t="s">
        <v>173</v>
      </c>
      <c r="AA248" t="str">
        <f t="shared" si="51"/>
        <v>Verderb - Abgelaufen</v>
      </c>
    </row>
    <row r="249" spans="1:27" x14ac:dyDescent="0.35">
      <c r="A249" s="32" t="s">
        <v>15</v>
      </c>
      <c r="B249" s="2" t="str">
        <f>VLOOKUP(A249,Stammdaten!$A$3:$B$7,2,FALSE)</f>
        <v>Filiale Süd</v>
      </c>
      <c r="C249" s="3" t="str" cm="1">
        <f t="array" ref="C249">INDEX(Stammdaten!$A$11:$A$25,INT((ROW()-5)/12)+1 - INT((ROW()-5)/180)*15)</f>
        <v>A006</v>
      </c>
      <c r="D249" s="2" t="str">
        <f>VLOOKUP(C249,Stammdaten!$A$11:$B$25,2,FALSE)</f>
        <v>Emmentaler 200g</v>
      </c>
      <c r="E249" s="3" t="str">
        <f>VLOOKUP(C249,Stammdaten!$A$11:$C$25,3,FALSE)</f>
        <v>Käse</v>
      </c>
      <c r="F249" s="19">
        <f>VLOOKUP(C249,Stammdaten!$A$11:$D$25,4,FALSE)</f>
        <v>2.4900000000000002</v>
      </c>
      <c r="G249" s="4">
        <f t="shared" si="39"/>
        <v>5</v>
      </c>
      <c r="H249" s="20" t="str">
        <f>VLOOKUP(G249,Stammdaten!$A$30:$B$41,2,FALSE)</f>
        <v>Mai</v>
      </c>
      <c r="I249" s="4">
        <v>194</v>
      </c>
      <c r="J249" s="4">
        <v>191</v>
      </c>
      <c r="K249" s="4">
        <f t="shared" si="40"/>
        <v>-3</v>
      </c>
      <c r="L249" s="27">
        <f t="shared" si="41"/>
        <v>-1.5463917525773196</v>
      </c>
      <c r="M249" s="52" t="str">
        <f t="shared" si="42"/>
        <v>Schwund</v>
      </c>
      <c r="N249" s="28">
        <f t="shared" si="43"/>
        <v>7.4700000000000006</v>
      </c>
      <c r="O249" s="5">
        <v>19</v>
      </c>
      <c r="P249" s="4">
        <v>2</v>
      </c>
      <c r="Q249" s="28">
        <f t="shared" si="44"/>
        <v>1.8675000000000002</v>
      </c>
      <c r="R249" s="50">
        <f t="shared" si="45"/>
        <v>2.2410000000000001</v>
      </c>
      <c r="S249" s="2" t="str">
        <f t="shared" si="46"/>
        <v>Normal</v>
      </c>
      <c r="T249" s="4">
        <v>0</v>
      </c>
      <c r="U249" s="4" t="str">
        <f t="shared" si="47"/>
        <v>Nein</v>
      </c>
      <c r="V249" s="4">
        <f t="shared" si="48"/>
        <v>0</v>
      </c>
      <c r="W249" s="19">
        <f t="shared" si="49"/>
        <v>2.4900000000000002</v>
      </c>
      <c r="X249" s="5">
        <v>0</v>
      </c>
      <c r="Y249" s="28">
        <f t="shared" si="50"/>
        <v>0</v>
      </c>
      <c r="Z249" s="31" t="s">
        <v>172</v>
      </c>
      <c r="AA249" t="str">
        <f t="shared" si="51"/>
        <v>Normal/Gering</v>
      </c>
    </row>
    <row r="250" spans="1:27" x14ac:dyDescent="0.35">
      <c r="A250" s="32" t="s">
        <v>15</v>
      </c>
      <c r="B250" s="2" t="str">
        <f>VLOOKUP(A250,Stammdaten!$A$3:$B$7,2,FALSE)</f>
        <v>Filiale Süd</v>
      </c>
      <c r="C250" s="3" t="str" cm="1">
        <f t="array" ref="C250">INDEX(Stammdaten!$A$11:$A$25,INT((ROW()-5)/12)+1 - INT((ROW()-5)/180)*15)</f>
        <v>A006</v>
      </c>
      <c r="D250" s="2" t="str">
        <f>VLOOKUP(C250,Stammdaten!$A$11:$B$25,2,FALSE)</f>
        <v>Emmentaler 200g</v>
      </c>
      <c r="E250" s="3" t="str">
        <f>VLOOKUP(C250,Stammdaten!$A$11:$C$25,3,FALSE)</f>
        <v>Käse</v>
      </c>
      <c r="F250" s="19">
        <f>VLOOKUP(C250,Stammdaten!$A$11:$D$25,4,FALSE)</f>
        <v>2.4900000000000002</v>
      </c>
      <c r="G250" s="4">
        <f t="shared" si="39"/>
        <v>6</v>
      </c>
      <c r="H250" s="20" t="str">
        <f>VLOOKUP(G250,Stammdaten!$A$30:$B$41,2,FALSE)</f>
        <v>Juni</v>
      </c>
      <c r="I250" s="4">
        <v>231</v>
      </c>
      <c r="J250" s="4">
        <v>236</v>
      </c>
      <c r="K250" s="4">
        <f t="shared" si="40"/>
        <v>5</v>
      </c>
      <c r="L250" s="27">
        <f t="shared" si="41"/>
        <v>2.1645021645021645</v>
      </c>
      <c r="M250" s="52" t="str">
        <f t="shared" si="42"/>
        <v>Überbestand</v>
      </c>
      <c r="N250" s="28">
        <f t="shared" si="43"/>
        <v>12.450000000000001</v>
      </c>
      <c r="O250" s="5">
        <v>21</v>
      </c>
      <c r="P250" s="4">
        <v>0</v>
      </c>
      <c r="Q250" s="28">
        <f t="shared" si="44"/>
        <v>0</v>
      </c>
      <c r="R250" s="50">
        <f t="shared" si="45"/>
        <v>0</v>
      </c>
      <c r="S250" s="2" t="str">
        <f t="shared" si="46"/>
        <v>Normal</v>
      </c>
      <c r="T250" s="4">
        <v>5</v>
      </c>
      <c r="U250" s="4" t="str">
        <f t="shared" si="47"/>
        <v>Nein</v>
      </c>
      <c r="V250" s="4">
        <f t="shared" si="48"/>
        <v>0</v>
      </c>
      <c r="W250" s="19">
        <f t="shared" si="49"/>
        <v>2.4900000000000002</v>
      </c>
      <c r="X250" s="5">
        <v>0</v>
      </c>
      <c r="Y250" s="28">
        <f t="shared" si="50"/>
        <v>0</v>
      </c>
      <c r="Z250" s="31" t="s">
        <v>172</v>
      </c>
      <c r="AA250" t="str">
        <f t="shared" si="51"/>
        <v>Kassenfehler (Überbestand)</v>
      </c>
    </row>
    <row r="251" spans="1:27" x14ac:dyDescent="0.35">
      <c r="A251" s="32" t="s">
        <v>15</v>
      </c>
      <c r="B251" s="2" t="str">
        <f>VLOOKUP(A251,Stammdaten!$A$3:$B$7,2,FALSE)</f>
        <v>Filiale Süd</v>
      </c>
      <c r="C251" s="3" t="str" cm="1">
        <f t="array" ref="C251">INDEX(Stammdaten!$A$11:$A$25,INT((ROW()-5)/12)+1 - INT((ROW()-5)/180)*15)</f>
        <v>A006</v>
      </c>
      <c r="D251" s="2" t="str">
        <f>VLOOKUP(C251,Stammdaten!$A$11:$B$25,2,FALSE)</f>
        <v>Emmentaler 200g</v>
      </c>
      <c r="E251" s="3" t="str">
        <f>VLOOKUP(C251,Stammdaten!$A$11:$C$25,3,FALSE)</f>
        <v>Käse</v>
      </c>
      <c r="F251" s="19">
        <f>VLOOKUP(C251,Stammdaten!$A$11:$D$25,4,FALSE)</f>
        <v>2.4900000000000002</v>
      </c>
      <c r="G251" s="4">
        <f t="shared" si="39"/>
        <v>7</v>
      </c>
      <c r="H251" s="20" t="str">
        <f>VLOOKUP(G251,Stammdaten!$A$30:$B$41,2,FALSE)</f>
        <v>Juli</v>
      </c>
      <c r="I251" s="4">
        <v>233</v>
      </c>
      <c r="J251" s="4">
        <v>229</v>
      </c>
      <c r="K251" s="4">
        <f t="shared" si="40"/>
        <v>-4</v>
      </c>
      <c r="L251" s="27">
        <f t="shared" si="41"/>
        <v>-1.7167381974248928</v>
      </c>
      <c r="M251" s="52" t="str">
        <f t="shared" si="42"/>
        <v>Schwund</v>
      </c>
      <c r="N251" s="28">
        <f t="shared" si="43"/>
        <v>9.9600000000000009</v>
      </c>
      <c r="O251" s="5">
        <v>0</v>
      </c>
      <c r="P251" s="4">
        <v>5</v>
      </c>
      <c r="Q251" s="28">
        <f t="shared" si="44"/>
        <v>2.4900000000000002</v>
      </c>
      <c r="R251" s="50">
        <f t="shared" si="45"/>
        <v>2.988</v>
      </c>
      <c r="S251" s="2" t="str">
        <f t="shared" si="46"/>
        <v>Normal</v>
      </c>
      <c r="T251" s="4">
        <v>0</v>
      </c>
      <c r="U251" s="4" t="str">
        <f t="shared" si="47"/>
        <v>Abschreibung</v>
      </c>
      <c r="V251" s="4">
        <f t="shared" si="48"/>
        <v>100</v>
      </c>
      <c r="W251" s="19">
        <f t="shared" si="49"/>
        <v>0</v>
      </c>
      <c r="X251" s="5">
        <v>2</v>
      </c>
      <c r="Y251" s="28">
        <f t="shared" si="50"/>
        <v>4.9800000000000004</v>
      </c>
      <c r="Z251" s="31" t="s">
        <v>173</v>
      </c>
      <c r="AA251" t="str">
        <f t="shared" si="51"/>
        <v>Verderb - Abgelaufen</v>
      </c>
    </row>
    <row r="252" spans="1:27" x14ac:dyDescent="0.35">
      <c r="A252" s="32" t="s">
        <v>15</v>
      </c>
      <c r="B252" s="2" t="str">
        <f>VLOOKUP(A252,Stammdaten!$A$3:$B$7,2,FALSE)</f>
        <v>Filiale Süd</v>
      </c>
      <c r="C252" s="3" t="str" cm="1">
        <f t="array" ref="C252">INDEX(Stammdaten!$A$11:$A$25,INT((ROW()-5)/12)+1 - INT((ROW()-5)/180)*15)</f>
        <v>A006</v>
      </c>
      <c r="D252" s="2" t="str">
        <f>VLOOKUP(C252,Stammdaten!$A$11:$B$25,2,FALSE)</f>
        <v>Emmentaler 200g</v>
      </c>
      <c r="E252" s="3" t="str">
        <f>VLOOKUP(C252,Stammdaten!$A$11:$C$25,3,FALSE)</f>
        <v>Käse</v>
      </c>
      <c r="F252" s="19">
        <f>VLOOKUP(C252,Stammdaten!$A$11:$D$25,4,FALSE)</f>
        <v>2.4900000000000002</v>
      </c>
      <c r="G252" s="4">
        <f t="shared" si="39"/>
        <v>8</v>
      </c>
      <c r="H252" s="20" t="str">
        <f>VLOOKUP(G252,Stammdaten!$A$30:$B$41,2,FALSE)</f>
        <v>August</v>
      </c>
      <c r="I252" s="4">
        <v>230</v>
      </c>
      <c r="J252" s="4">
        <v>227</v>
      </c>
      <c r="K252" s="4">
        <f t="shared" si="40"/>
        <v>-3</v>
      </c>
      <c r="L252" s="27">
        <f t="shared" si="41"/>
        <v>-1.3043478260869565</v>
      </c>
      <c r="M252" s="52" t="str">
        <f t="shared" si="42"/>
        <v>Schwund</v>
      </c>
      <c r="N252" s="28">
        <f t="shared" si="43"/>
        <v>7.4700000000000006</v>
      </c>
      <c r="O252" s="5">
        <v>17</v>
      </c>
      <c r="P252" s="4">
        <v>7</v>
      </c>
      <c r="Q252" s="28">
        <f t="shared" si="44"/>
        <v>1.8675000000000002</v>
      </c>
      <c r="R252" s="50">
        <f t="shared" si="45"/>
        <v>2.2410000000000001</v>
      </c>
      <c r="S252" s="2" t="str">
        <f t="shared" si="46"/>
        <v>Normal</v>
      </c>
      <c r="T252" s="4">
        <v>0</v>
      </c>
      <c r="U252" s="4" t="str">
        <f t="shared" si="47"/>
        <v>Nein</v>
      </c>
      <c r="V252" s="4">
        <f t="shared" si="48"/>
        <v>0</v>
      </c>
      <c r="W252" s="19">
        <f t="shared" si="49"/>
        <v>2.4900000000000002</v>
      </c>
      <c r="X252" s="5">
        <v>0</v>
      </c>
      <c r="Y252" s="28">
        <f t="shared" si="50"/>
        <v>0</v>
      </c>
      <c r="Z252" s="31" t="s">
        <v>172</v>
      </c>
      <c r="AA252" t="str">
        <f t="shared" si="51"/>
        <v>Normal/Gering</v>
      </c>
    </row>
    <row r="253" spans="1:27" x14ac:dyDescent="0.35">
      <c r="A253" s="32" t="s">
        <v>15</v>
      </c>
      <c r="B253" s="2" t="str">
        <f>VLOOKUP(A253,Stammdaten!$A$3:$B$7,2,FALSE)</f>
        <v>Filiale Süd</v>
      </c>
      <c r="C253" s="3" t="str" cm="1">
        <f t="array" ref="C253">INDEX(Stammdaten!$A$11:$A$25,INT((ROW()-5)/12)+1 - INT((ROW()-5)/180)*15)</f>
        <v>A006</v>
      </c>
      <c r="D253" s="2" t="str">
        <f>VLOOKUP(C253,Stammdaten!$A$11:$B$25,2,FALSE)</f>
        <v>Emmentaler 200g</v>
      </c>
      <c r="E253" s="3" t="str">
        <f>VLOOKUP(C253,Stammdaten!$A$11:$C$25,3,FALSE)</f>
        <v>Käse</v>
      </c>
      <c r="F253" s="19">
        <f>VLOOKUP(C253,Stammdaten!$A$11:$D$25,4,FALSE)</f>
        <v>2.4900000000000002</v>
      </c>
      <c r="G253" s="4">
        <f t="shared" si="39"/>
        <v>9</v>
      </c>
      <c r="H253" s="20" t="str">
        <f>VLOOKUP(G253,Stammdaten!$A$30:$B$41,2,FALSE)</f>
        <v>September</v>
      </c>
      <c r="I253" s="4">
        <v>194</v>
      </c>
      <c r="J253" s="4">
        <v>189</v>
      </c>
      <c r="K253" s="4">
        <f t="shared" si="40"/>
        <v>-5</v>
      </c>
      <c r="L253" s="27">
        <f t="shared" si="41"/>
        <v>-2.5773195876288657</v>
      </c>
      <c r="M253" s="52" t="str">
        <f t="shared" si="42"/>
        <v>Schwund</v>
      </c>
      <c r="N253" s="28">
        <f t="shared" si="43"/>
        <v>12.450000000000001</v>
      </c>
      <c r="O253" s="5">
        <v>20</v>
      </c>
      <c r="P253" s="4">
        <v>4</v>
      </c>
      <c r="Q253" s="28">
        <f t="shared" si="44"/>
        <v>3.1125000000000003</v>
      </c>
      <c r="R253" s="50">
        <f t="shared" si="45"/>
        <v>3.7350000000000003</v>
      </c>
      <c r="S253" s="2" t="str">
        <f t="shared" si="46"/>
        <v>Normal</v>
      </c>
      <c r="T253" s="4">
        <v>0</v>
      </c>
      <c r="U253" s="4" t="str">
        <f t="shared" si="47"/>
        <v>Nein</v>
      </c>
      <c r="V253" s="4">
        <f t="shared" si="48"/>
        <v>0</v>
      </c>
      <c r="W253" s="19">
        <f t="shared" si="49"/>
        <v>2.4900000000000002</v>
      </c>
      <c r="X253" s="5">
        <v>0</v>
      </c>
      <c r="Y253" s="28">
        <f t="shared" si="50"/>
        <v>0</v>
      </c>
      <c r="Z253" s="31" t="s">
        <v>172</v>
      </c>
      <c r="AA253" t="str">
        <f t="shared" si="51"/>
        <v>Prozessfehler</v>
      </c>
    </row>
    <row r="254" spans="1:27" x14ac:dyDescent="0.35">
      <c r="A254" s="32" t="s">
        <v>15</v>
      </c>
      <c r="B254" s="2" t="str">
        <f>VLOOKUP(A254,Stammdaten!$A$3:$B$7,2,FALSE)</f>
        <v>Filiale Süd</v>
      </c>
      <c r="C254" s="3" t="str" cm="1">
        <f t="array" ref="C254">INDEX(Stammdaten!$A$11:$A$25,INT((ROW()-5)/12)+1 - INT((ROW()-5)/180)*15)</f>
        <v>A006</v>
      </c>
      <c r="D254" s="2" t="str">
        <f>VLOOKUP(C254,Stammdaten!$A$11:$B$25,2,FALSE)</f>
        <v>Emmentaler 200g</v>
      </c>
      <c r="E254" s="3" t="str">
        <f>VLOOKUP(C254,Stammdaten!$A$11:$C$25,3,FALSE)</f>
        <v>Käse</v>
      </c>
      <c r="F254" s="19">
        <f>VLOOKUP(C254,Stammdaten!$A$11:$D$25,4,FALSE)</f>
        <v>2.4900000000000002</v>
      </c>
      <c r="G254" s="4">
        <f t="shared" si="39"/>
        <v>10</v>
      </c>
      <c r="H254" s="20" t="str">
        <f>VLOOKUP(G254,Stammdaten!$A$30:$B$41,2,FALSE)</f>
        <v>Oktober</v>
      </c>
      <c r="I254" s="4">
        <v>208</v>
      </c>
      <c r="J254" s="4">
        <v>205</v>
      </c>
      <c r="K254" s="4">
        <f t="shared" si="40"/>
        <v>-3</v>
      </c>
      <c r="L254" s="27">
        <f t="shared" si="41"/>
        <v>-1.4423076923076923</v>
      </c>
      <c r="M254" s="52" t="str">
        <f t="shared" si="42"/>
        <v>Schwund</v>
      </c>
      <c r="N254" s="28">
        <f t="shared" si="43"/>
        <v>7.4700000000000006</v>
      </c>
      <c r="O254" s="5">
        <v>1</v>
      </c>
      <c r="P254" s="4">
        <v>5</v>
      </c>
      <c r="Q254" s="28">
        <f t="shared" si="44"/>
        <v>1.8675000000000002</v>
      </c>
      <c r="R254" s="50">
        <f t="shared" si="45"/>
        <v>2.2410000000000001</v>
      </c>
      <c r="S254" s="2" t="str">
        <f t="shared" si="46"/>
        <v>Normal</v>
      </c>
      <c r="T254" s="4">
        <v>0</v>
      </c>
      <c r="U254" s="4" t="str">
        <f t="shared" si="47"/>
        <v>Ja - 20% Reduzierung</v>
      </c>
      <c r="V254" s="4">
        <f t="shared" si="48"/>
        <v>20</v>
      </c>
      <c r="W254" s="19">
        <f t="shared" si="49"/>
        <v>1.99</v>
      </c>
      <c r="X254" s="5">
        <v>19</v>
      </c>
      <c r="Y254" s="28">
        <f t="shared" si="50"/>
        <v>9.4600000000000009</v>
      </c>
      <c r="Z254" s="31" t="s">
        <v>173</v>
      </c>
      <c r="AA254" t="str">
        <f t="shared" si="51"/>
        <v>Normal/Gering</v>
      </c>
    </row>
    <row r="255" spans="1:27" x14ac:dyDescent="0.35">
      <c r="A255" s="32" t="s">
        <v>15</v>
      </c>
      <c r="B255" s="2" t="str">
        <f>VLOOKUP(A255,Stammdaten!$A$3:$B$7,2,FALSE)</f>
        <v>Filiale Süd</v>
      </c>
      <c r="C255" s="3" t="str" cm="1">
        <f t="array" ref="C255">INDEX(Stammdaten!$A$11:$A$25,INT((ROW()-5)/12)+1 - INT((ROW()-5)/180)*15)</f>
        <v>A006</v>
      </c>
      <c r="D255" s="2" t="str">
        <f>VLOOKUP(C255,Stammdaten!$A$11:$B$25,2,FALSE)</f>
        <v>Emmentaler 200g</v>
      </c>
      <c r="E255" s="3" t="str">
        <f>VLOOKUP(C255,Stammdaten!$A$11:$C$25,3,FALSE)</f>
        <v>Käse</v>
      </c>
      <c r="F255" s="19">
        <f>VLOOKUP(C255,Stammdaten!$A$11:$D$25,4,FALSE)</f>
        <v>2.4900000000000002</v>
      </c>
      <c r="G255" s="4">
        <f t="shared" si="39"/>
        <v>11</v>
      </c>
      <c r="H255" s="20" t="str">
        <f>VLOOKUP(G255,Stammdaten!$A$30:$B$41,2,FALSE)</f>
        <v>November</v>
      </c>
      <c r="I255" s="4">
        <v>231</v>
      </c>
      <c r="J255" s="4">
        <v>227</v>
      </c>
      <c r="K255" s="4">
        <f t="shared" si="40"/>
        <v>-4</v>
      </c>
      <c r="L255" s="27">
        <f t="shared" si="41"/>
        <v>-1.7316017316017316</v>
      </c>
      <c r="M255" s="52" t="str">
        <f t="shared" si="42"/>
        <v>Schwund</v>
      </c>
      <c r="N255" s="28">
        <f t="shared" si="43"/>
        <v>9.9600000000000009</v>
      </c>
      <c r="O255" s="5">
        <v>5</v>
      </c>
      <c r="P255" s="4">
        <v>1</v>
      </c>
      <c r="Q255" s="28">
        <f t="shared" si="44"/>
        <v>2.4900000000000002</v>
      </c>
      <c r="R255" s="50">
        <f t="shared" si="45"/>
        <v>2.988</v>
      </c>
      <c r="S255" s="2" t="str">
        <f t="shared" si="46"/>
        <v>Black Friday</v>
      </c>
      <c r="T255" s="4">
        <v>0</v>
      </c>
      <c r="U255" s="4" t="str">
        <f t="shared" si="47"/>
        <v>Nein</v>
      </c>
      <c r="V255" s="4">
        <f t="shared" si="48"/>
        <v>0</v>
      </c>
      <c r="W255" s="19">
        <f t="shared" si="49"/>
        <v>2.4900000000000002</v>
      </c>
      <c r="X255" s="5">
        <v>0</v>
      </c>
      <c r="Y255" s="28">
        <f t="shared" si="50"/>
        <v>0</v>
      </c>
      <c r="Z255" s="31" t="s">
        <v>172</v>
      </c>
      <c r="AA255" t="str">
        <f t="shared" si="51"/>
        <v>Normal/Gering</v>
      </c>
    </row>
    <row r="256" spans="1:27" x14ac:dyDescent="0.35">
      <c r="A256" s="32" t="s">
        <v>15</v>
      </c>
      <c r="B256" s="2" t="str">
        <f>VLOOKUP(A256,Stammdaten!$A$3:$B$7,2,FALSE)</f>
        <v>Filiale Süd</v>
      </c>
      <c r="C256" s="3" t="str" cm="1">
        <f t="array" ref="C256">INDEX(Stammdaten!$A$11:$A$25,INT((ROW()-5)/12)+1 - INT((ROW()-5)/180)*15)</f>
        <v>A006</v>
      </c>
      <c r="D256" s="2" t="str">
        <f>VLOOKUP(C256,Stammdaten!$A$11:$B$25,2,FALSE)</f>
        <v>Emmentaler 200g</v>
      </c>
      <c r="E256" s="3" t="str">
        <f>VLOOKUP(C256,Stammdaten!$A$11:$C$25,3,FALSE)</f>
        <v>Käse</v>
      </c>
      <c r="F256" s="19">
        <f>VLOOKUP(C256,Stammdaten!$A$11:$D$25,4,FALSE)</f>
        <v>2.4900000000000002</v>
      </c>
      <c r="G256" s="4">
        <f t="shared" si="39"/>
        <v>12</v>
      </c>
      <c r="H256" s="20" t="str">
        <f>VLOOKUP(G256,Stammdaten!$A$30:$B$41,2,FALSE)</f>
        <v>Dezember</v>
      </c>
      <c r="I256" s="4">
        <v>274</v>
      </c>
      <c r="J256" s="4">
        <v>269</v>
      </c>
      <c r="K256" s="4">
        <f t="shared" si="40"/>
        <v>-5</v>
      </c>
      <c r="L256" s="27">
        <f t="shared" si="41"/>
        <v>-1.824817518248175</v>
      </c>
      <c r="M256" s="52" t="str">
        <f t="shared" si="42"/>
        <v>Schwund</v>
      </c>
      <c r="N256" s="28">
        <f t="shared" si="43"/>
        <v>12.450000000000001</v>
      </c>
      <c r="O256" s="5">
        <v>4</v>
      </c>
      <c r="P256" s="4">
        <v>7</v>
      </c>
      <c r="Q256" s="28">
        <f t="shared" si="44"/>
        <v>3.1125000000000003</v>
      </c>
      <c r="R256" s="50">
        <f t="shared" si="45"/>
        <v>3.7350000000000003</v>
      </c>
      <c r="S256" s="2" t="str">
        <f t="shared" si="46"/>
        <v>Weihnachten/Silvester</v>
      </c>
      <c r="T256" s="4">
        <v>0</v>
      </c>
      <c r="U256" s="4" t="str">
        <f t="shared" si="47"/>
        <v>Nein</v>
      </c>
      <c r="V256" s="4">
        <f t="shared" si="48"/>
        <v>0</v>
      </c>
      <c r="W256" s="19">
        <f t="shared" si="49"/>
        <v>2.4900000000000002</v>
      </c>
      <c r="X256" s="5">
        <v>0</v>
      </c>
      <c r="Y256" s="28">
        <f t="shared" si="50"/>
        <v>0</v>
      </c>
      <c r="Z256" s="31" t="s">
        <v>172</v>
      </c>
      <c r="AA256" t="str">
        <f t="shared" si="51"/>
        <v>Normal/Gering</v>
      </c>
    </row>
    <row r="257" spans="1:27" x14ac:dyDescent="0.35">
      <c r="A257" s="32" t="s">
        <v>15</v>
      </c>
      <c r="B257" s="2" t="str">
        <f>VLOOKUP(A257,Stammdaten!$A$3:$B$7,2,FALSE)</f>
        <v>Filiale Süd</v>
      </c>
      <c r="C257" s="3" t="str" cm="1">
        <f t="array" ref="C257">INDEX(Stammdaten!$A$11:$A$25,INT((ROW()-5)/12)+1 - INT((ROW()-5)/180)*15)</f>
        <v>A007</v>
      </c>
      <c r="D257" s="2" t="str">
        <f>VLOOKUP(C257,Stammdaten!$A$11:$B$25,2,FALSE)</f>
        <v>Naturjoghurt 500g</v>
      </c>
      <c r="E257" s="3" t="str">
        <f>VLOOKUP(C257,Stammdaten!$A$11:$C$25,3,FALSE)</f>
        <v>Joghurt</v>
      </c>
      <c r="F257" s="19">
        <f>VLOOKUP(C257,Stammdaten!$A$11:$D$25,4,FALSE)</f>
        <v>0.89</v>
      </c>
      <c r="G257" s="4">
        <f t="shared" si="39"/>
        <v>1</v>
      </c>
      <c r="H257" s="20" t="str">
        <f>VLOOKUP(G257,Stammdaten!$A$30:$B$41,2,FALSE)</f>
        <v>Januar</v>
      </c>
      <c r="I257" s="4">
        <v>388</v>
      </c>
      <c r="J257" s="4">
        <v>372</v>
      </c>
      <c r="K257" s="4">
        <f t="shared" si="40"/>
        <v>-16</v>
      </c>
      <c r="L257" s="27">
        <f t="shared" si="41"/>
        <v>-4.1237113402061851</v>
      </c>
      <c r="M257" s="52" t="str">
        <f t="shared" si="42"/>
        <v>Schwund</v>
      </c>
      <c r="N257" s="28">
        <f t="shared" si="43"/>
        <v>14.24</v>
      </c>
      <c r="O257" s="5">
        <v>3</v>
      </c>
      <c r="P257" s="4">
        <v>2</v>
      </c>
      <c r="Q257" s="28">
        <f t="shared" si="44"/>
        <v>3.56</v>
      </c>
      <c r="R257" s="50">
        <f t="shared" si="45"/>
        <v>4.2720000000000002</v>
      </c>
      <c r="S257" s="2" t="str">
        <f t="shared" si="46"/>
        <v>Normal</v>
      </c>
      <c r="T257" s="4">
        <v>0</v>
      </c>
      <c r="U257" s="4" t="str">
        <f t="shared" si="47"/>
        <v>Ja - 20% Reduzierung</v>
      </c>
      <c r="V257" s="4">
        <f t="shared" si="48"/>
        <v>20</v>
      </c>
      <c r="W257" s="19">
        <f t="shared" si="49"/>
        <v>0.71</v>
      </c>
      <c r="X257" s="5">
        <v>35</v>
      </c>
      <c r="Y257" s="28">
        <f t="shared" si="50"/>
        <v>6.23</v>
      </c>
      <c r="Z257" s="31" t="s">
        <v>164</v>
      </c>
      <c r="AA257" t="str">
        <f t="shared" si="51"/>
        <v>MHD - Prozessfehler</v>
      </c>
    </row>
    <row r="258" spans="1:27" x14ac:dyDescent="0.35">
      <c r="A258" s="32" t="s">
        <v>15</v>
      </c>
      <c r="B258" s="2" t="str">
        <f>VLOOKUP(A258,Stammdaten!$A$3:$B$7,2,FALSE)</f>
        <v>Filiale Süd</v>
      </c>
      <c r="C258" s="3" t="str" cm="1">
        <f t="array" ref="C258">INDEX(Stammdaten!$A$11:$A$25,INT((ROW()-5)/12)+1 - INT((ROW()-5)/180)*15)</f>
        <v>A007</v>
      </c>
      <c r="D258" s="2" t="str">
        <f>VLOOKUP(C258,Stammdaten!$A$11:$B$25,2,FALSE)</f>
        <v>Naturjoghurt 500g</v>
      </c>
      <c r="E258" s="3" t="str">
        <f>VLOOKUP(C258,Stammdaten!$A$11:$C$25,3,FALSE)</f>
        <v>Joghurt</v>
      </c>
      <c r="F258" s="19">
        <f>VLOOKUP(C258,Stammdaten!$A$11:$D$25,4,FALSE)</f>
        <v>0.89</v>
      </c>
      <c r="G258" s="4">
        <f t="shared" si="39"/>
        <v>2</v>
      </c>
      <c r="H258" s="20" t="str">
        <f>VLOOKUP(G258,Stammdaten!$A$30:$B$41,2,FALSE)</f>
        <v>Februar</v>
      </c>
      <c r="I258" s="4">
        <v>355</v>
      </c>
      <c r="J258" s="4">
        <v>345</v>
      </c>
      <c r="K258" s="4">
        <f t="shared" si="40"/>
        <v>-10</v>
      </c>
      <c r="L258" s="27">
        <f t="shared" si="41"/>
        <v>-2.8169014084507045</v>
      </c>
      <c r="M258" s="52" t="str">
        <f t="shared" si="42"/>
        <v>Schwund</v>
      </c>
      <c r="N258" s="28">
        <f t="shared" si="43"/>
        <v>8.9</v>
      </c>
      <c r="O258" s="5">
        <v>0</v>
      </c>
      <c r="P258" s="4">
        <v>5</v>
      </c>
      <c r="Q258" s="28">
        <f t="shared" si="44"/>
        <v>2.2250000000000001</v>
      </c>
      <c r="R258" s="50">
        <f t="shared" si="45"/>
        <v>2.67</v>
      </c>
      <c r="S258" s="2" t="str">
        <f t="shared" si="46"/>
        <v>Karneval</v>
      </c>
      <c r="T258" s="4">
        <v>0</v>
      </c>
      <c r="U258" s="4" t="str">
        <f t="shared" si="47"/>
        <v>Abschreibung</v>
      </c>
      <c r="V258" s="4">
        <f t="shared" si="48"/>
        <v>100</v>
      </c>
      <c r="W258" s="19">
        <f t="shared" si="49"/>
        <v>0</v>
      </c>
      <c r="X258" s="5">
        <v>4</v>
      </c>
      <c r="Y258" s="28">
        <f t="shared" si="50"/>
        <v>3.56</v>
      </c>
      <c r="Z258" s="31" t="s">
        <v>173</v>
      </c>
      <c r="AA258" t="str">
        <f t="shared" si="51"/>
        <v>Verderb - Abgelaufen</v>
      </c>
    </row>
    <row r="259" spans="1:27" x14ac:dyDescent="0.35">
      <c r="A259" s="32" t="s">
        <v>15</v>
      </c>
      <c r="B259" s="2" t="str">
        <f>VLOOKUP(A259,Stammdaten!$A$3:$B$7,2,FALSE)</f>
        <v>Filiale Süd</v>
      </c>
      <c r="C259" s="3" t="str" cm="1">
        <f t="array" ref="C259">INDEX(Stammdaten!$A$11:$A$25,INT((ROW()-5)/12)+1 - INT((ROW()-5)/180)*15)</f>
        <v>A007</v>
      </c>
      <c r="D259" s="2" t="str">
        <f>VLOOKUP(C259,Stammdaten!$A$11:$B$25,2,FALSE)</f>
        <v>Naturjoghurt 500g</v>
      </c>
      <c r="E259" s="3" t="str">
        <f>VLOOKUP(C259,Stammdaten!$A$11:$C$25,3,FALSE)</f>
        <v>Joghurt</v>
      </c>
      <c r="F259" s="19">
        <f>VLOOKUP(C259,Stammdaten!$A$11:$D$25,4,FALSE)</f>
        <v>0.89</v>
      </c>
      <c r="G259" s="4">
        <f t="shared" si="39"/>
        <v>3</v>
      </c>
      <c r="H259" s="20" t="str">
        <f>VLOOKUP(G259,Stammdaten!$A$30:$B$41,2,FALSE)</f>
        <v>März</v>
      </c>
      <c r="I259" s="4">
        <v>476</v>
      </c>
      <c r="J259" s="4">
        <v>465</v>
      </c>
      <c r="K259" s="4">
        <f t="shared" si="40"/>
        <v>-11</v>
      </c>
      <c r="L259" s="27">
        <f t="shared" si="41"/>
        <v>-2.3109243697478994</v>
      </c>
      <c r="M259" s="52" t="str">
        <f t="shared" si="42"/>
        <v>Schwund</v>
      </c>
      <c r="N259" s="28">
        <f t="shared" si="43"/>
        <v>9.7900000000000009</v>
      </c>
      <c r="O259" s="5">
        <v>0</v>
      </c>
      <c r="P259" s="4">
        <v>3</v>
      </c>
      <c r="Q259" s="28">
        <f t="shared" si="44"/>
        <v>2.4475000000000002</v>
      </c>
      <c r="R259" s="50">
        <f t="shared" si="45"/>
        <v>2.9370000000000003</v>
      </c>
      <c r="S259" s="2" t="str">
        <f t="shared" si="46"/>
        <v>Normal</v>
      </c>
      <c r="T259" s="4">
        <v>0</v>
      </c>
      <c r="U259" s="4" t="str">
        <f t="shared" si="47"/>
        <v>Abschreibung</v>
      </c>
      <c r="V259" s="4">
        <f t="shared" si="48"/>
        <v>100</v>
      </c>
      <c r="W259" s="19">
        <f t="shared" si="49"/>
        <v>0</v>
      </c>
      <c r="X259" s="5">
        <v>10</v>
      </c>
      <c r="Y259" s="28">
        <f t="shared" si="50"/>
        <v>8.9</v>
      </c>
      <c r="Z259" s="31" t="s">
        <v>173</v>
      </c>
      <c r="AA259" t="str">
        <f t="shared" si="51"/>
        <v>Verderb - Abgelaufen</v>
      </c>
    </row>
    <row r="260" spans="1:27" x14ac:dyDescent="0.35">
      <c r="A260" s="32" t="s">
        <v>15</v>
      </c>
      <c r="B260" s="2" t="str">
        <f>VLOOKUP(A260,Stammdaten!$A$3:$B$7,2,FALSE)</f>
        <v>Filiale Süd</v>
      </c>
      <c r="C260" s="3" t="str" cm="1">
        <f t="array" ref="C260">INDEX(Stammdaten!$A$11:$A$25,INT((ROW()-5)/12)+1 - INT((ROW()-5)/180)*15)</f>
        <v>A007</v>
      </c>
      <c r="D260" s="2" t="str">
        <f>VLOOKUP(C260,Stammdaten!$A$11:$B$25,2,FALSE)</f>
        <v>Naturjoghurt 500g</v>
      </c>
      <c r="E260" s="3" t="str">
        <f>VLOOKUP(C260,Stammdaten!$A$11:$C$25,3,FALSE)</f>
        <v>Joghurt</v>
      </c>
      <c r="F260" s="19">
        <f>VLOOKUP(C260,Stammdaten!$A$11:$D$25,4,FALSE)</f>
        <v>0.89</v>
      </c>
      <c r="G260" s="4">
        <f t="shared" si="39"/>
        <v>4</v>
      </c>
      <c r="H260" s="20" t="str">
        <f>VLOOKUP(G260,Stammdaten!$A$30:$B$41,2,FALSE)</f>
        <v>April</v>
      </c>
      <c r="I260" s="4">
        <v>572</v>
      </c>
      <c r="J260" s="4">
        <v>542</v>
      </c>
      <c r="K260" s="4">
        <f t="shared" si="40"/>
        <v>-30</v>
      </c>
      <c r="L260" s="27">
        <f t="shared" si="41"/>
        <v>-5.244755244755245</v>
      </c>
      <c r="M260" s="52" t="str">
        <f t="shared" si="42"/>
        <v>Schwund</v>
      </c>
      <c r="N260" s="28">
        <f t="shared" si="43"/>
        <v>26.7</v>
      </c>
      <c r="O260" s="5">
        <v>4</v>
      </c>
      <c r="P260" s="4">
        <v>1</v>
      </c>
      <c r="Q260" s="28">
        <f t="shared" si="44"/>
        <v>6.6749999999999998</v>
      </c>
      <c r="R260" s="50">
        <f t="shared" si="45"/>
        <v>8.01</v>
      </c>
      <c r="S260" s="2" t="str">
        <f t="shared" si="46"/>
        <v>Ostern</v>
      </c>
      <c r="T260" s="4">
        <v>0</v>
      </c>
      <c r="U260" s="4" t="str">
        <f t="shared" si="47"/>
        <v>Nein</v>
      </c>
      <c r="V260" s="4">
        <f t="shared" si="48"/>
        <v>0</v>
      </c>
      <c r="W260" s="19">
        <f t="shared" si="49"/>
        <v>0.89</v>
      </c>
      <c r="X260" s="5">
        <v>0</v>
      </c>
      <c r="Y260" s="28">
        <f t="shared" si="50"/>
        <v>0</v>
      </c>
      <c r="Z260" s="31" t="s">
        <v>172</v>
      </c>
      <c r="AA260" t="str">
        <f t="shared" si="51"/>
        <v>Buchungsfehler Wareneingang</v>
      </c>
    </row>
    <row r="261" spans="1:27" x14ac:dyDescent="0.35">
      <c r="A261" s="32" t="s">
        <v>15</v>
      </c>
      <c r="B261" s="2" t="str">
        <f>VLOOKUP(A261,Stammdaten!$A$3:$B$7,2,FALSE)</f>
        <v>Filiale Süd</v>
      </c>
      <c r="C261" s="3" t="str" cm="1">
        <f t="array" ref="C261">INDEX(Stammdaten!$A$11:$A$25,INT((ROW()-5)/12)+1 - INT((ROW()-5)/180)*15)</f>
        <v>A007</v>
      </c>
      <c r="D261" s="2" t="str">
        <f>VLOOKUP(C261,Stammdaten!$A$11:$B$25,2,FALSE)</f>
        <v>Naturjoghurt 500g</v>
      </c>
      <c r="E261" s="3" t="str">
        <f>VLOOKUP(C261,Stammdaten!$A$11:$C$25,3,FALSE)</f>
        <v>Joghurt</v>
      </c>
      <c r="F261" s="19">
        <f>VLOOKUP(C261,Stammdaten!$A$11:$D$25,4,FALSE)</f>
        <v>0.89</v>
      </c>
      <c r="G261" s="4">
        <f t="shared" si="39"/>
        <v>5</v>
      </c>
      <c r="H261" s="20" t="str">
        <f>VLOOKUP(G261,Stammdaten!$A$30:$B$41,2,FALSE)</f>
        <v>Mai</v>
      </c>
      <c r="I261" s="4">
        <v>462</v>
      </c>
      <c r="J261" s="4">
        <v>468</v>
      </c>
      <c r="K261" s="4">
        <f t="shared" si="40"/>
        <v>6</v>
      </c>
      <c r="L261" s="27">
        <f t="shared" si="41"/>
        <v>1.2987012987012987</v>
      </c>
      <c r="M261" s="52" t="str">
        <f t="shared" si="42"/>
        <v>Überbestand</v>
      </c>
      <c r="N261" s="28">
        <f t="shared" si="43"/>
        <v>5.34</v>
      </c>
      <c r="O261" s="5">
        <v>0</v>
      </c>
      <c r="P261" s="4">
        <v>0</v>
      </c>
      <c r="Q261" s="28">
        <f t="shared" si="44"/>
        <v>0</v>
      </c>
      <c r="R261" s="50">
        <f t="shared" si="45"/>
        <v>0</v>
      </c>
      <c r="S261" s="2" t="str">
        <f t="shared" si="46"/>
        <v>Normal</v>
      </c>
      <c r="T261" s="4">
        <v>6</v>
      </c>
      <c r="U261" s="4" t="str">
        <f t="shared" si="47"/>
        <v>Abschreibung</v>
      </c>
      <c r="V261" s="4">
        <f t="shared" si="48"/>
        <v>100</v>
      </c>
      <c r="W261" s="19">
        <f t="shared" si="49"/>
        <v>0</v>
      </c>
      <c r="X261" s="5">
        <v>14</v>
      </c>
      <c r="Y261" s="28">
        <f t="shared" si="50"/>
        <v>12.46</v>
      </c>
      <c r="Z261" s="31" t="s">
        <v>173</v>
      </c>
      <c r="AA261" t="str">
        <f t="shared" si="51"/>
        <v>Verderb - Abgelaufen</v>
      </c>
    </row>
    <row r="262" spans="1:27" x14ac:dyDescent="0.35">
      <c r="A262" s="32" t="s">
        <v>15</v>
      </c>
      <c r="B262" s="2" t="str">
        <f>VLOOKUP(A262,Stammdaten!$A$3:$B$7,2,FALSE)</f>
        <v>Filiale Süd</v>
      </c>
      <c r="C262" s="3" t="str" cm="1">
        <f t="array" ref="C262">INDEX(Stammdaten!$A$11:$A$25,INT((ROW()-5)/12)+1 - INT((ROW()-5)/180)*15)</f>
        <v>A007</v>
      </c>
      <c r="D262" s="2" t="str">
        <f>VLOOKUP(C262,Stammdaten!$A$11:$B$25,2,FALSE)</f>
        <v>Naturjoghurt 500g</v>
      </c>
      <c r="E262" s="3" t="str">
        <f>VLOOKUP(C262,Stammdaten!$A$11:$C$25,3,FALSE)</f>
        <v>Joghurt</v>
      </c>
      <c r="F262" s="19">
        <f>VLOOKUP(C262,Stammdaten!$A$11:$D$25,4,FALSE)</f>
        <v>0.89</v>
      </c>
      <c r="G262" s="4">
        <f t="shared" ref="G262:G325" si="52">MOD(ROW()-5,12)+1</f>
        <v>6</v>
      </c>
      <c r="H262" s="20" t="str">
        <f>VLOOKUP(G262,Stammdaten!$A$30:$B$41,2,FALSE)</f>
        <v>Juni</v>
      </c>
      <c r="I262" s="4">
        <v>508</v>
      </c>
      <c r="J262" s="4">
        <v>485</v>
      </c>
      <c r="K262" s="4">
        <f t="shared" ref="K262:K325" si="53">J262-I262</f>
        <v>-23</v>
      </c>
      <c r="L262" s="27">
        <f t="shared" ref="L262:L325" si="54">IF(I262=0,0,(K262)/I262*100)</f>
        <v>-4.5275590551181102</v>
      </c>
      <c r="M262" s="52" t="str">
        <f t="shared" ref="M262:M325" si="55">IF(K262=0,"Perfekt",IF(K262&lt;0,"Schwund","Überbestand"))</f>
        <v>Schwund</v>
      </c>
      <c r="N262" s="28">
        <f t="shared" ref="N262:N325" si="56">ABS(K262)*F262</f>
        <v>20.47</v>
      </c>
      <c r="O262" s="5">
        <v>0</v>
      </c>
      <c r="P262" s="4">
        <v>0</v>
      </c>
      <c r="Q262" s="28">
        <f t="shared" ref="Q262:Q325" si="57">IF(K262&lt;0,ABS(N262)*0.25,0)</f>
        <v>5.1174999999999997</v>
      </c>
      <c r="R262" s="50">
        <f t="shared" ref="R262:R325" si="58">IF(K262&lt;0,ABS(N262)*0.3,0)</f>
        <v>6.1409999999999991</v>
      </c>
      <c r="S262" s="2" t="str">
        <f t="shared" ref="S262:S325" si="59">IF(G262=4,"Ostern",IF(G262=12,"Weihnachten/Silvester",IF(G262=11,"Black Friday",IF(G262=2,"Karneval","Normal"))))</f>
        <v>Normal</v>
      </c>
      <c r="T262" s="4">
        <v>0</v>
      </c>
      <c r="U262" s="4" t="str">
        <f t="shared" ref="U262:U325" si="60">IF(O262&lt;=0,"Abschreibung",IF(O262&lt;=3,"Ja - 20% Reduzierung","Nein"))</f>
        <v>Abschreibung</v>
      </c>
      <c r="V262" s="4">
        <f t="shared" ref="V262:V325" si="61">IF(O262&lt;=0,100,IF(O262&lt;=3,20,0))</f>
        <v>100</v>
      </c>
      <c r="W262" s="19">
        <f t="shared" ref="W262:W325" si="62">IF(V262=100,0,ROUND(F262*(1-V262/100),2))</f>
        <v>0</v>
      </c>
      <c r="X262" s="5">
        <v>5</v>
      </c>
      <c r="Y262" s="28">
        <f t="shared" ref="Y262:Y325" si="63">ROUND(X262*F262*(V262/100),2)</f>
        <v>4.45</v>
      </c>
      <c r="Z262" s="31" t="s">
        <v>167</v>
      </c>
      <c r="AA262" t="str">
        <f t="shared" ref="AA262:AA325" si="64">IF(O262&lt;=0,"Verderb - Abgelaufen",IF(AND(O262&lt;=3,Z262&lt;&gt;"Korrekt",Z262&lt;&gt;"Kein MHD - Prozess"),"MHD - Prozessfehler",IF(K262&gt;0,"Kassenfehler (Überbestand)",IF(AND(ABS(L262)&gt;3,A262="F005"),"Diebstahlrisiko",IF(AND(ABS(L262)&gt;2,P262&lt;2),"Buchungsfehler Wareneingang",IF(ABS(L262)&gt;2,"Prozessfehler","Normal/Gering"))))))</f>
        <v>Verderb - Abgelaufen</v>
      </c>
    </row>
    <row r="263" spans="1:27" x14ac:dyDescent="0.35">
      <c r="A263" s="32" t="s">
        <v>15</v>
      </c>
      <c r="B263" s="2" t="str">
        <f>VLOOKUP(A263,Stammdaten!$A$3:$B$7,2,FALSE)</f>
        <v>Filiale Süd</v>
      </c>
      <c r="C263" s="3" t="str" cm="1">
        <f t="array" ref="C263">INDEX(Stammdaten!$A$11:$A$25,INT((ROW()-5)/12)+1 - INT((ROW()-5)/180)*15)</f>
        <v>A007</v>
      </c>
      <c r="D263" s="2" t="str">
        <f>VLOOKUP(C263,Stammdaten!$A$11:$B$25,2,FALSE)</f>
        <v>Naturjoghurt 500g</v>
      </c>
      <c r="E263" s="3" t="str">
        <f>VLOOKUP(C263,Stammdaten!$A$11:$C$25,3,FALSE)</f>
        <v>Joghurt</v>
      </c>
      <c r="F263" s="19">
        <f>VLOOKUP(C263,Stammdaten!$A$11:$D$25,4,FALSE)</f>
        <v>0.89</v>
      </c>
      <c r="G263" s="4">
        <f t="shared" si="52"/>
        <v>7</v>
      </c>
      <c r="H263" s="20" t="str">
        <f>VLOOKUP(G263,Stammdaten!$A$30:$B$41,2,FALSE)</f>
        <v>Juli</v>
      </c>
      <c r="I263" s="4">
        <v>502</v>
      </c>
      <c r="J263" s="4">
        <v>477</v>
      </c>
      <c r="K263" s="4">
        <f t="shared" si="53"/>
        <v>-25</v>
      </c>
      <c r="L263" s="27">
        <f t="shared" si="54"/>
        <v>-4.9800796812749004</v>
      </c>
      <c r="M263" s="52" t="str">
        <f t="shared" si="55"/>
        <v>Schwund</v>
      </c>
      <c r="N263" s="28">
        <f t="shared" si="56"/>
        <v>22.25</v>
      </c>
      <c r="O263" s="5">
        <v>14</v>
      </c>
      <c r="P263" s="4">
        <v>0</v>
      </c>
      <c r="Q263" s="28">
        <f t="shared" si="57"/>
        <v>5.5625</v>
      </c>
      <c r="R263" s="50">
        <f t="shared" si="58"/>
        <v>6.6749999999999998</v>
      </c>
      <c r="S263" s="2" t="str">
        <f t="shared" si="59"/>
        <v>Normal</v>
      </c>
      <c r="T263" s="4">
        <v>0</v>
      </c>
      <c r="U263" s="4" t="str">
        <f t="shared" si="60"/>
        <v>Nein</v>
      </c>
      <c r="V263" s="4">
        <f t="shared" si="61"/>
        <v>0</v>
      </c>
      <c r="W263" s="19">
        <f t="shared" si="62"/>
        <v>0.89</v>
      </c>
      <c r="X263" s="5">
        <v>0</v>
      </c>
      <c r="Y263" s="28">
        <f t="shared" si="63"/>
        <v>0</v>
      </c>
      <c r="Z263" s="31" t="s">
        <v>172</v>
      </c>
      <c r="AA263" t="str">
        <f t="shared" si="64"/>
        <v>Buchungsfehler Wareneingang</v>
      </c>
    </row>
    <row r="264" spans="1:27" x14ac:dyDescent="0.35">
      <c r="A264" s="32" t="s">
        <v>15</v>
      </c>
      <c r="B264" s="2" t="str">
        <f>VLOOKUP(A264,Stammdaten!$A$3:$B$7,2,FALSE)</f>
        <v>Filiale Süd</v>
      </c>
      <c r="C264" s="3" t="str" cm="1">
        <f t="array" ref="C264">INDEX(Stammdaten!$A$11:$A$25,INT((ROW()-5)/12)+1 - INT((ROW()-5)/180)*15)</f>
        <v>A007</v>
      </c>
      <c r="D264" s="2" t="str">
        <f>VLOOKUP(C264,Stammdaten!$A$11:$B$25,2,FALSE)</f>
        <v>Naturjoghurt 500g</v>
      </c>
      <c r="E264" s="3" t="str">
        <f>VLOOKUP(C264,Stammdaten!$A$11:$C$25,3,FALSE)</f>
        <v>Joghurt</v>
      </c>
      <c r="F264" s="19">
        <f>VLOOKUP(C264,Stammdaten!$A$11:$D$25,4,FALSE)</f>
        <v>0.89</v>
      </c>
      <c r="G264" s="4">
        <f t="shared" si="52"/>
        <v>8</v>
      </c>
      <c r="H264" s="20" t="str">
        <f>VLOOKUP(G264,Stammdaten!$A$30:$B$41,2,FALSE)</f>
        <v>August</v>
      </c>
      <c r="I264" s="4">
        <v>511</v>
      </c>
      <c r="J264" s="4">
        <v>499</v>
      </c>
      <c r="K264" s="4">
        <f t="shared" si="53"/>
        <v>-12</v>
      </c>
      <c r="L264" s="27">
        <f t="shared" si="54"/>
        <v>-2.3483365949119372</v>
      </c>
      <c r="M264" s="52" t="str">
        <f t="shared" si="55"/>
        <v>Schwund</v>
      </c>
      <c r="N264" s="28">
        <f t="shared" si="56"/>
        <v>10.68</v>
      </c>
      <c r="O264" s="5">
        <v>1</v>
      </c>
      <c r="P264" s="4">
        <v>4</v>
      </c>
      <c r="Q264" s="28">
        <f t="shared" si="57"/>
        <v>2.67</v>
      </c>
      <c r="R264" s="50">
        <f t="shared" si="58"/>
        <v>3.2039999999999997</v>
      </c>
      <c r="S264" s="2" t="str">
        <f t="shared" si="59"/>
        <v>Normal</v>
      </c>
      <c r="T264" s="4">
        <v>0</v>
      </c>
      <c r="U264" s="4" t="str">
        <f t="shared" si="60"/>
        <v>Ja - 20% Reduzierung</v>
      </c>
      <c r="V264" s="4">
        <f t="shared" si="61"/>
        <v>20</v>
      </c>
      <c r="W264" s="19">
        <f t="shared" si="62"/>
        <v>0.71</v>
      </c>
      <c r="X264" s="5">
        <v>66</v>
      </c>
      <c r="Y264" s="28">
        <f t="shared" si="63"/>
        <v>11.75</v>
      </c>
      <c r="Z264" s="31" t="s">
        <v>173</v>
      </c>
      <c r="AA264" t="str">
        <f t="shared" si="64"/>
        <v>Prozessfehler</v>
      </c>
    </row>
    <row r="265" spans="1:27" x14ac:dyDescent="0.35">
      <c r="A265" s="32" t="s">
        <v>15</v>
      </c>
      <c r="B265" s="2" t="str">
        <f>VLOOKUP(A265,Stammdaten!$A$3:$B$7,2,FALSE)</f>
        <v>Filiale Süd</v>
      </c>
      <c r="C265" s="3" t="str" cm="1">
        <f t="array" ref="C265">INDEX(Stammdaten!$A$11:$A$25,INT((ROW()-5)/12)+1 - INT((ROW()-5)/180)*15)</f>
        <v>A007</v>
      </c>
      <c r="D265" s="2" t="str">
        <f>VLOOKUP(C265,Stammdaten!$A$11:$B$25,2,FALSE)</f>
        <v>Naturjoghurt 500g</v>
      </c>
      <c r="E265" s="3" t="str">
        <f>VLOOKUP(C265,Stammdaten!$A$11:$C$25,3,FALSE)</f>
        <v>Joghurt</v>
      </c>
      <c r="F265" s="19">
        <f>VLOOKUP(C265,Stammdaten!$A$11:$D$25,4,FALSE)</f>
        <v>0.89</v>
      </c>
      <c r="G265" s="4">
        <f t="shared" si="52"/>
        <v>9</v>
      </c>
      <c r="H265" s="20" t="str">
        <f>VLOOKUP(G265,Stammdaten!$A$30:$B$41,2,FALSE)</f>
        <v>September</v>
      </c>
      <c r="I265" s="4">
        <v>418</v>
      </c>
      <c r="J265" s="4">
        <v>409</v>
      </c>
      <c r="K265" s="4">
        <f t="shared" si="53"/>
        <v>-9</v>
      </c>
      <c r="L265" s="27">
        <f t="shared" si="54"/>
        <v>-2.1531100478468899</v>
      </c>
      <c r="M265" s="52" t="str">
        <f t="shared" si="55"/>
        <v>Schwund</v>
      </c>
      <c r="N265" s="28">
        <f t="shared" si="56"/>
        <v>8.01</v>
      </c>
      <c r="O265" s="5">
        <v>2</v>
      </c>
      <c r="P265" s="4">
        <v>0</v>
      </c>
      <c r="Q265" s="28">
        <f t="shared" si="57"/>
        <v>2.0024999999999999</v>
      </c>
      <c r="R265" s="50">
        <f t="shared" si="58"/>
        <v>2.403</v>
      </c>
      <c r="S265" s="2" t="str">
        <f t="shared" si="59"/>
        <v>Normal</v>
      </c>
      <c r="T265" s="4">
        <v>0</v>
      </c>
      <c r="U265" s="4" t="str">
        <f t="shared" si="60"/>
        <v>Ja - 20% Reduzierung</v>
      </c>
      <c r="V265" s="4">
        <f t="shared" si="61"/>
        <v>20</v>
      </c>
      <c r="W265" s="19">
        <f t="shared" si="62"/>
        <v>0.71</v>
      </c>
      <c r="X265" s="5">
        <v>21</v>
      </c>
      <c r="Y265" s="28">
        <f t="shared" si="63"/>
        <v>3.74</v>
      </c>
      <c r="Z265" s="31" t="s">
        <v>173</v>
      </c>
      <c r="AA265" t="str">
        <f t="shared" si="64"/>
        <v>Buchungsfehler Wareneingang</v>
      </c>
    </row>
    <row r="266" spans="1:27" x14ac:dyDescent="0.35">
      <c r="A266" s="32" t="s">
        <v>15</v>
      </c>
      <c r="B266" s="2" t="str">
        <f>VLOOKUP(A266,Stammdaten!$A$3:$B$7,2,FALSE)</f>
        <v>Filiale Süd</v>
      </c>
      <c r="C266" s="3" t="str" cm="1">
        <f t="array" ref="C266">INDEX(Stammdaten!$A$11:$A$25,INT((ROW()-5)/12)+1 - INT((ROW()-5)/180)*15)</f>
        <v>A007</v>
      </c>
      <c r="D266" s="2" t="str">
        <f>VLOOKUP(C266,Stammdaten!$A$11:$B$25,2,FALSE)</f>
        <v>Naturjoghurt 500g</v>
      </c>
      <c r="E266" s="3" t="str">
        <f>VLOOKUP(C266,Stammdaten!$A$11:$C$25,3,FALSE)</f>
        <v>Joghurt</v>
      </c>
      <c r="F266" s="19">
        <f>VLOOKUP(C266,Stammdaten!$A$11:$D$25,4,FALSE)</f>
        <v>0.89</v>
      </c>
      <c r="G266" s="4">
        <f t="shared" si="52"/>
        <v>10</v>
      </c>
      <c r="H266" s="20" t="str">
        <f>VLOOKUP(G266,Stammdaten!$A$30:$B$41,2,FALSE)</f>
        <v>Oktober</v>
      </c>
      <c r="I266" s="4">
        <v>444</v>
      </c>
      <c r="J266" s="4">
        <v>424</v>
      </c>
      <c r="K266" s="4">
        <f t="shared" si="53"/>
        <v>-20</v>
      </c>
      <c r="L266" s="27">
        <f t="shared" si="54"/>
        <v>-4.5045045045045047</v>
      </c>
      <c r="M266" s="52" t="str">
        <f t="shared" si="55"/>
        <v>Schwund</v>
      </c>
      <c r="N266" s="28">
        <f t="shared" si="56"/>
        <v>17.8</v>
      </c>
      <c r="O266" s="5">
        <v>1</v>
      </c>
      <c r="P266" s="4">
        <v>5</v>
      </c>
      <c r="Q266" s="28">
        <f t="shared" si="57"/>
        <v>4.45</v>
      </c>
      <c r="R266" s="50">
        <f t="shared" si="58"/>
        <v>5.34</v>
      </c>
      <c r="S266" s="2" t="str">
        <f t="shared" si="59"/>
        <v>Normal</v>
      </c>
      <c r="T266" s="4">
        <v>0</v>
      </c>
      <c r="U266" s="4" t="str">
        <f t="shared" si="60"/>
        <v>Ja - 20% Reduzierung</v>
      </c>
      <c r="V266" s="4">
        <f t="shared" si="61"/>
        <v>20</v>
      </c>
      <c r="W266" s="19">
        <f t="shared" si="62"/>
        <v>0.71</v>
      </c>
      <c r="X266" s="5">
        <v>58</v>
      </c>
      <c r="Y266" s="28">
        <f t="shared" si="63"/>
        <v>10.32</v>
      </c>
      <c r="Z266" s="31" t="s">
        <v>173</v>
      </c>
      <c r="AA266" t="str">
        <f t="shared" si="64"/>
        <v>Prozessfehler</v>
      </c>
    </row>
    <row r="267" spans="1:27" x14ac:dyDescent="0.35">
      <c r="A267" s="32" t="s">
        <v>15</v>
      </c>
      <c r="B267" s="2" t="str">
        <f>VLOOKUP(A267,Stammdaten!$A$3:$B$7,2,FALSE)</f>
        <v>Filiale Süd</v>
      </c>
      <c r="C267" s="3" t="str" cm="1">
        <f t="array" ref="C267">INDEX(Stammdaten!$A$11:$A$25,INT((ROW()-5)/12)+1 - INT((ROW()-5)/180)*15)</f>
        <v>A007</v>
      </c>
      <c r="D267" s="2" t="str">
        <f>VLOOKUP(C267,Stammdaten!$A$11:$B$25,2,FALSE)</f>
        <v>Naturjoghurt 500g</v>
      </c>
      <c r="E267" s="3" t="str">
        <f>VLOOKUP(C267,Stammdaten!$A$11:$C$25,3,FALSE)</f>
        <v>Joghurt</v>
      </c>
      <c r="F267" s="19">
        <f>VLOOKUP(C267,Stammdaten!$A$11:$D$25,4,FALSE)</f>
        <v>0.89</v>
      </c>
      <c r="G267" s="4">
        <f t="shared" si="52"/>
        <v>11</v>
      </c>
      <c r="H267" s="20" t="str">
        <f>VLOOKUP(G267,Stammdaten!$A$30:$B$41,2,FALSE)</f>
        <v>November</v>
      </c>
      <c r="I267" s="4">
        <v>479</v>
      </c>
      <c r="J267" s="4">
        <v>485</v>
      </c>
      <c r="K267" s="4">
        <f t="shared" si="53"/>
        <v>6</v>
      </c>
      <c r="L267" s="27">
        <f t="shared" si="54"/>
        <v>1.2526096033402923</v>
      </c>
      <c r="M267" s="52" t="str">
        <f t="shared" si="55"/>
        <v>Überbestand</v>
      </c>
      <c r="N267" s="28">
        <f t="shared" si="56"/>
        <v>5.34</v>
      </c>
      <c r="O267" s="5">
        <v>14</v>
      </c>
      <c r="P267" s="4">
        <v>4</v>
      </c>
      <c r="Q267" s="28">
        <f t="shared" si="57"/>
        <v>0</v>
      </c>
      <c r="R267" s="50">
        <f t="shared" si="58"/>
        <v>0</v>
      </c>
      <c r="S267" s="2" t="str">
        <f t="shared" si="59"/>
        <v>Black Friday</v>
      </c>
      <c r="T267" s="4">
        <v>6</v>
      </c>
      <c r="U267" s="4" t="str">
        <f t="shared" si="60"/>
        <v>Nein</v>
      </c>
      <c r="V267" s="4">
        <f t="shared" si="61"/>
        <v>0</v>
      </c>
      <c r="W267" s="19">
        <f t="shared" si="62"/>
        <v>0.89</v>
      </c>
      <c r="X267" s="5">
        <v>0</v>
      </c>
      <c r="Y267" s="28">
        <f t="shared" si="63"/>
        <v>0</v>
      </c>
      <c r="Z267" s="31" t="s">
        <v>172</v>
      </c>
      <c r="AA267" t="str">
        <f t="shared" si="64"/>
        <v>Kassenfehler (Überbestand)</v>
      </c>
    </row>
    <row r="268" spans="1:27" x14ac:dyDescent="0.35">
      <c r="A268" s="32" t="s">
        <v>15</v>
      </c>
      <c r="B268" s="2" t="str">
        <f>VLOOKUP(A268,Stammdaten!$A$3:$B$7,2,FALSE)</f>
        <v>Filiale Süd</v>
      </c>
      <c r="C268" s="3" t="str" cm="1">
        <f t="array" ref="C268">INDEX(Stammdaten!$A$11:$A$25,INT((ROW()-5)/12)+1 - INT((ROW()-5)/180)*15)</f>
        <v>A007</v>
      </c>
      <c r="D268" s="2" t="str">
        <f>VLOOKUP(C268,Stammdaten!$A$11:$B$25,2,FALSE)</f>
        <v>Naturjoghurt 500g</v>
      </c>
      <c r="E268" s="3" t="str">
        <f>VLOOKUP(C268,Stammdaten!$A$11:$C$25,3,FALSE)</f>
        <v>Joghurt</v>
      </c>
      <c r="F268" s="19">
        <f>VLOOKUP(C268,Stammdaten!$A$11:$D$25,4,FALSE)</f>
        <v>0.89</v>
      </c>
      <c r="G268" s="4">
        <f t="shared" si="52"/>
        <v>12</v>
      </c>
      <c r="H268" s="20" t="str">
        <f>VLOOKUP(G268,Stammdaten!$A$30:$B$41,2,FALSE)</f>
        <v>Dezember</v>
      </c>
      <c r="I268" s="4">
        <v>604</v>
      </c>
      <c r="J268" s="4">
        <v>574</v>
      </c>
      <c r="K268" s="4">
        <f t="shared" si="53"/>
        <v>-30</v>
      </c>
      <c r="L268" s="27">
        <f t="shared" si="54"/>
        <v>-4.9668874172185431</v>
      </c>
      <c r="M268" s="52" t="str">
        <f t="shared" si="55"/>
        <v>Schwund</v>
      </c>
      <c r="N268" s="28">
        <f t="shared" si="56"/>
        <v>26.7</v>
      </c>
      <c r="O268" s="5">
        <v>1</v>
      </c>
      <c r="P268" s="4">
        <v>3</v>
      </c>
      <c r="Q268" s="28">
        <f t="shared" si="57"/>
        <v>6.6749999999999998</v>
      </c>
      <c r="R268" s="50">
        <f t="shared" si="58"/>
        <v>8.01</v>
      </c>
      <c r="S268" s="2" t="str">
        <f t="shared" si="59"/>
        <v>Weihnachten/Silvester</v>
      </c>
      <c r="T268" s="4">
        <v>0</v>
      </c>
      <c r="U268" s="4" t="str">
        <f t="shared" si="60"/>
        <v>Ja - 20% Reduzierung</v>
      </c>
      <c r="V268" s="4">
        <f t="shared" si="61"/>
        <v>20</v>
      </c>
      <c r="W268" s="19">
        <f t="shared" si="62"/>
        <v>0.71</v>
      </c>
      <c r="X268" s="5">
        <v>72</v>
      </c>
      <c r="Y268" s="28">
        <f t="shared" si="63"/>
        <v>12.82</v>
      </c>
      <c r="Z268" s="31" t="s">
        <v>173</v>
      </c>
      <c r="AA268" t="str">
        <f t="shared" si="64"/>
        <v>Prozessfehler</v>
      </c>
    </row>
    <row r="269" spans="1:27" x14ac:dyDescent="0.35">
      <c r="A269" s="32" t="s">
        <v>15</v>
      </c>
      <c r="B269" s="2" t="str">
        <f>VLOOKUP(A269,Stammdaten!$A$3:$B$7,2,FALSE)</f>
        <v>Filiale Süd</v>
      </c>
      <c r="C269" s="3" t="str" cm="1">
        <f t="array" ref="C269">INDEX(Stammdaten!$A$11:$A$25,INT((ROW()-5)/12)+1 - INT((ROW()-5)/180)*15)</f>
        <v>A008</v>
      </c>
      <c r="D269" s="2" t="str">
        <f>VLOOKUP(C269,Stammdaten!$A$11:$B$25,2,FALSE)</f>
        <v>Fruchtjoghurt 4er</v>
      </c>
      <c r="E269" s="3" t="str">
        <f>VLOOKUP(C269,Stammdaten!$A$11:$C$25,3,FALSE)</f>
        <v>Joghurt</v>
      </c>
      <c r="F269" s="19">
        <f>VLOOKUP(C269,Stammdaten!$A$11:$D$25,4,FALSE)</f>
        <v>1.89</v>
      </c>
      <c r="G269" s="4">
        <f t="shared" si="52"/>
        <v>1</v>
      </c>
      <c r="H269" s="20" t="str">
        <f>VLOOKUP(G269,Stammdaten!$A$30:$B$41,2,FALSE)</f>
        <v>Januar</v>
      </c>
      <c r="I269" s="4">
        <v>255</v>
      </c>
      <c r="J269" s="4">
        <v>248</v>
      </c>
      <c r="K269" s="4">
        <f t="shared" si="53"/>
        <v>-7</v>
      </c>
      <c r="L269" s="27">
        <f t="shared" si="54"/>
        <v>-2.7450980392156863</v>
      </c>
      <c r="M269" s="52" t="str">
        <f t="shared" si="55"/>
        <v>Schwund</v>
      </c>
      <c r="N269" s="28">
        <f t="shared" si="56"/>
        <v>13.229999999999999</v>
      </c>
      <c r="O269" s="5">
        <v>12</v>
      </c>
      <c r="P269" s="4">
        <v>3</v>
      </c>
      <c r="Q269" s="28">
        <f t="shared" si="57"/>
        <v>3.3074999999999997</v>
      </c>
      <c r="R269" s="50">
        <f t="shared" si="58"/>
        <v>3.9689999999999994</v>
      </c>
      <c r="S269" s="2" t="str">
        <f t="shared" si="59"/>
        <v>Normal</v>
      </c>
      <c r="T269" s="4">
        <v>0</v>
      </c>
      <c r="U269" s="4" t="str">
        <f t="shared" si="60"/>
        <v>Nein</v>
      </c>
      <c r="V269" s="4">
        <f t="shared" si="61"/>
        <v>0</v>
      </c>
      <c r="W269" s="19">
        <f t="shared" si="62"/>
        <v>1.89</v>
      </c>
      <c r="X269" s="5">
        <v>0</v>
      </c>
      <c r="Y269" s="28">
        <f t="shared" si="63"/>
        <v>0</v>
      </c>
      <c r="Z269" s="31" t="s">
        <v>172</v>
      </c>
      <c r="AA269" t="str">
        <f t="shared" si="64"/>
        <v>Prozessfehler</v>
      </c>
    </row>
    <row r="270" spans="1:27" x14ac:dyDescent="0.35">
      <c r="A270" s="32" t="s">
        <v>15</v>
      </c>
      <c r="B270" s="2" t="str">
        <f>VLOOKUP(A270,Stammdaten!$A$3:$B$7,2,FALSE)</f>
        <v>Filiale Süd</v>
      </c>
      <c r="C270" s="3" t="str" cm="1">
        <f t="array" ref="C270">INDEX(Stammdaten!$A$11:$A$25,INT((ROW()-5)/12)+1 - INT((ROW()-5)/180)*15)</f>
        <v>A008</v>
      </c>
      <c r="D270" s="2" t="str">
        <f>VLOOKUP(C270,Stammdaten!$A$11:$B$25,2,FALSE)</f>
        <v>Fruchtjoghurt 4er</v>
      </c>
      <c r="E270" s="3" t="str">
        <f>VLOOKUP(C270,Stammdaten!$A$11:$C$25,3,FALSE)</f>
        <v>Joghurt</v>
      </c>
      <c r="F270" s="19">
        <f>VLOOKUP(C270,Stammdaten!$A$11:$D$25,4,FALSE)</f>
        <v>1.89</v>
      </c>
      <c r="G270" s="4">
        <f t="shared" si="52"/>
        <v>2</v>
      </c>
      <c r="H270" s="20" t="str">
        <f>VLOOKUP(G270,Stammdaten!$A$30:$B$41,2,FALSE)</f>
        <v>Februar</v>
      </c>
      <c r="I270" s="4">
        <v>231</v>
      </c>
      <c r="J270" s="4">
        <v>225</v>
      </c>
      <c r="K270" s="4">
        <f t="shared" si="53"/>
        <v>-6</v>
      </c>
      <c r="L270" s="27">
        <f t="shared" si="54"/>
        <v>-2.5974025974025974</v>
      </c>
      <c r="M270" s="52" t="str">
        <f t="shared" si="55"/>
        <v>Schwund</v>
      </c>
      <c r="N270" s="28">
        <f t="shared" si="56"/>
        <v>11.34</v>
      </c>
      <c r="O270" s="5">
        <v>9</v>
      </c>
      <c r="P270" s="4">
        <v>2</v>
      </c>
      <c r="Q270" s="28">
        <f t="shared" si="57"/>
        <v>2.835</v>
      </c>
      <c r="R270" s="50">
        <f t="shared" si="58"/>
        <v>3.4019999999999997</v>
      </c>
      <c r="S270" s="2" t="str">
        <f t="shared" si="59"/>
        <v>Karneval</v>
      </c>
      <c r="T270" s="4">
        <v>0</v>
      </c>
      <c r="U270" s="4" t="str">
        <f t="shared" si="60"/>
        <v>Nein</v>
      </c>
      <c r="V270" s="4">
        <f t="shared" si="61"/>
        <v>0</v>
      </c>
      <c r="W270" s="19">
        <f t="shared" si="62"/>
        <v>1.89</v>
      </c>
      <c r="X270" s="5">
        <v>0</v>
      </c>
      <c r="Y270" s="28">
        <f t="shared" si="63"/>
        <v>0</v>
      </c>
      <c r="Z270" s="31" t="s">
        <v>172</v>
      </c>
      <c r="AA270" t="str">
        <f t="shared" si="64"/>
        <v>Prozessfehler</v>
      </c>
    </row>
    <row r="271" spans="1:27" x14ac:dyDescent="0.35">
      <c r="A271" s="32" t="s">
        <v>15</v>
      </c>
      <c r="B271" s="2" t="str">
        <f>VLOOKUP(A271,Stammdaten!$A$3:$B$7,2,FALSE)</f>
        <v>Filiale Süd</v>
      </c>
      <c r="C271" s="3" t="str" cm="1">
        <f t="array" ref="C271">INDEX(Stammdaten!$A$11:$A$25,INT((ROW()-5)/12)+1 - INT((ROW()-5)/180)*15)</f>
        <v>A008</v>
      </c>
      <c r="D271" s="2" t="str">
        <f>VLOOKUP(C271,Stammdaten!$A$11:$B$25,2,FALSE)</f>
        <v>Fruchtjoghurt 4er</v>
      </c>
      <c r="E271" s="3" t="str">
        <f>VLOOKUP(C271,Stammdaten!$A$11:$C$25,3,FALSE)</f>
        <v>Joghurt</v>
      </c>
      <c r="F271" s="19">
        <f>VLOOKUP(C271,Stammdaten!$A$11:$D$25,4,FALSE)</f>
        <v>1.89</v>
      </c>
      <c r="G271" s="4">
        <f t="shared" si="52"/>
        <v>3</v>
      </c>
      <c r="H271" s="20" t="str">
        <f>VLOOKUP(G271,Stammdaten!$A$30:$B$41,2,FALSE)</f>
        <v>März</v>
      </c>
      <c r="I271" s="4">
        <v>294</v>
      </c>
      <c r="J271" s="4">
        <v>297</v>
      </c>
      <c r="K271" s="4">
        <f t="shared" si="53"/>
        <v>3</v>
      </c>
      <c r="L271" s="27">
        <f t="shared" si="54"/>
        <v>1.0204081632653061</v>
      </c>
      <c r="M271" s="52" t="str">
        <f t="shared" si="55"/>
        <v>Überbestand</v>
      </c>
      <c r="N271" s="28">
        <f t="shared" si="56"/>
        <v>5.67</v>
      </c>
      <c r="O271" s="5">
        <v>8</v>
      </c>
      <c r="P271" s="4">
        <v>1</v>
      </c>
      <c r="Q271" s="28">
        <f t="shared" si="57"/>
        <v>0</v>
      </c>
      <c r="R271" s="50">
        <f t="shared" si="58"/>
        <v>0</v>
      </c>
      <c r="S271" s="2" t="str">
        <f t="shared" si="59"/>
        <v>Normal</v>
      </c>
      <c r="T271" s="4">
        <v>3</v>
      </c>
      <c r="U271" s="4" t="str">
        <f t="shared" si="60"/>
        <v>Nein</v>
      </c>
      <c r="V271" s="4">
        <f t="shared" si="61"/>
        <v>0</v>
      </c>
      <c r="W271" s="19">
        <f t="shared" si="62"/>
        <v>1.89</v>
      </c>
      <c r="X271" s="5">
        <v>0</v>
      </c>
      <c r="Y271" s="28">
        <f t="shared" si="63"/>
        <v>0</v>
      </c>
      <c r="Z271" s="31" t="s">
        <v>172</v>
      </c>
      <c r="AA271" t="str">
        <f t="shared" si="64"/>
        <v>Kassenfehler (Überbestand)</v>
      </c>
    </row>
    <row r="272" spans="1:27" x14ac:dyDescent="0.35">
      <c r="A272" s="32" t="s">
        <v>15</v>
      </c>
      <c r="B272" s="2" t="str">
        <f>VLOOKUP(A272,Stammdaten!$A$3:$B$7,2,FALSE)</f>
        <v>Filiale Süd</v>
      </c>
      <c r="C272" s="3" t="str" cm="1">
        <f t="array" ref="C272">INDEX(Stammdaten!$A$11:$A$25,INT((ROW()-5)/12)+1 - INT((ROW()-5)/180)*15)</f>
        <v>A008</v>
      </c>
      <c r="D272" s="2" t="str">
        <f>VLOOKUP(C272,Stammdaten!$A$11:$B$25,2,FALSE)</f>
        <v>Fruchtjoghurt 4er</v>
      </c>
      <c r="E272" s="3" t="str">
        <f>VLOOKUP(C272,Stammdaten!$A$11:$C$25,3,FALSE)</f>
        <v>Joghurt</v>
      </c>
      <c r="F272" s="19">
        <f>VLOOKUP(C272,Stammdaten!$A$11:$D$25,4,FALSE)</f>
        <v>1.89</v>
      </c>
      <c r="G272" s="4">
        <f t="shared" si="52"/>
        <v>4</v>
      </c>
      <c r="H272" s="20" t="str">
        <f>VLOOKUP(G272,Stammdaten!$A$30:$B$41,2,FALSE)</f>
        <v>April</v>
      </c>
      <c r="I272" s="4">
        <v>361</v>
      </c>
      <c r="J272" s="4">
        <v>343</v>
      </c>
      <c r="K272" s="4">
        <f t="shared" si="53"/>
        <v>-18</v>
      </c>
      <c r="L272" s="27">
        <f t="shared" si="54"/>
        <v>-4.986149584487535</v>
      </c>
      <c r="M272" s="52" t="str">
        <f t="shared" si="55"/>
        <v>Schwund</v>
      </c>
      <c r="N272" s="28">
        <f t="shared" si="56"/>
        <v>34.019999999999996</v>
      </c>
      <c r="O272" s="5">
        <v>14</v>
      </c>
      <c r="P272" s="4">
        <v>3</v>
      </c>
      <c r="Q272" s="28">
        <f t="shared" si="57"/>
        <v>8.504999999999999</v>
      </c>
      <c r="R272" s="50">
        <f t="shared" si="58"/>
        <v>10.205999999999998</v>
      </c>
      <c r="S272" s="2" t="str">
        <f t="shared" si="59"/>
        <v>Ostern</v>
      </c>
      <c r="T272" s="4">
        <v>0</v>
      </c>
      <c r="U272" s="4" t="str">
        <f t="shared" si="60"/>
        <v>Nein</v>
      </c>
      <c r="V272" s="4">
        <f t="shared" si="61"/>
        <v>0</v>
      </c>
      <c r="W272" s="19">
        <f t="shared" si="62"/>
        <v>1.89</v>
      </c>
      <c r="X272" s="5">
        <v>0</v>
      </c>
      <c r="Y272" s="28">
        <f t="shared" si="63"/>
        <v>0</v>
      </c>
      <c r="Z272" s="31" t="s">
        <v>172</v>
      </c>
      <c r="AA272" t="str">
        <f t="shared" si="64"/>
        <v>Prozessfehler</v>
      </c>
    </row>
    <row r="273" spans="1:27" x14ac:dyDescent="0.35">
      <c r="A273" s="32" t="s">
        <v>15</v>
      </c>
      <c r="B273" s="2" t="str">
        <f>VLOOKUP(A273,Stammdaten!$A$3:$B$7,2,FALSE)</f>
        <v>Filiale Süd</v>
      </c>
      <c r="C273" s="3" t="str" cm="1">
        <f t="array" ref="C273">INDEX(Stammdaten!$A$11:$A$25,INT((ROW()-5)/12)+1 - INT((ROW()-5)/180)*15)</f>
        <v>A008</v>
      </c>
      <c r="D273" s="2" t="str">
        <f>VLOOKUP(C273,Stammdaten!$A$11:$B$25,2,FALSE)</f>
        <v>Fruchtjoghurt 4er</v>
      </c>
      <c r="E273" s="3" t="str">
        <f>VLOOKUP(C273,Stammdaten!$A$11:$C$25,3,FALSE)</f>
        <v>Joghurt</v>
      </c>
      <c r="F273" s="19">
        <f>VLOOKUP(C273,Stammdaten!$A$11:$D$25,4,FALSE)</f>
        <v>1.89</v>
      </c>
      <c r="G273" s="4">
        <f t="shared" si="52"/>
        <v>5</v>
      </c>
      <c r="H273" s="20" t="str">
        <f>VLOOKUP(G273,Stammdaten!$A$30:$B$41,2,FALSE)</f>
        <v>Mai</v>
      </c>
      <c r="I273" s="4">
        <v>288</v>
      </c>
      <c r="J273" s="4">
        <v>276</v>
      </c>
      <c r="K273" s="4">
        <f t="shared" si="53"/>
        <v>-12</v>
      </c>
      <c r="L273" s="27">
        <f t="shared" si="54"/>
        <v>-4.1666666666666661</v>
      </c>
      <c r="M273" s="52" t="str">
        <f t="shared" si="55"/>
        <v>Schwund</v>
      </c>
      <c r="N273" s="28">
        <f t="shared" si="56"/>
        <v>22.68</v>
      </c>
      <c r="O273" s="5">
        <v>9</v>
      </c>
      <c r="P273" s="4">
        <v>1</v>
      </c>
      <c r="Q273" s="28">
        <f t="shared" si="57"/>
        <v>5.67</v>
      </c>
      <c r="R273" s="50">
        <f t="shared" si="58"/>
        <v>6.8039999999999994</v>
      </c>
      <c r="S273" s="2" t="str">
        <f t="shared" si="59"/>
        <v>Normal</v>
      </c>
      <c r="T273" s="4">
        <v>0</v>
      </c>
      <c r="U273" s="4" t="str">
        <f t="shared" si="60"/>
        <v>Nein</v>
      </c>
      <c r="V273" s="4">
        <f t="shared" si="61"/>
        <v>0</v>
      </c>
      <c r="W273" s="19">
        <f t="shared" si="62"/>
        <v>1.89</v>
      </c>
      <c r="X273" s="5">
        <v>0</v>
      </c>
      <c r="Y273" s="28">
        <f t="shared" si="63"/>
        <v>0</v>
      </c>
      <c r="Z273" s="31" t="s">
        <v>172</v>
      </c>
      <c r="AA273" t="str">
        <f t="shared" si="64"/>
        <v>Buchungsfehler Wareneingang</v>
      </c>
    </row>
    <row r="274" spans="1:27" x14ac:dyDescent="0.35">
      <c r="A274" s="32" t="s">
        <v>15</v>
      </c>
      <c r="B274" s="2" t="str">
        <f>VLOOKUP(A274,Stammdaten!$A$3:$B$7,2,FALSE)</f>
        <v>Filiale Süd</v>
      </c>
      <c r="C274" s="3" t="str" cm="1">
        <f t="array" ref="C274">INDEX(Stammdaten!$A$11:$A$25,INT((ROW()-5)/12)+1 - INT((ROW()-5)/180)*15)</f>
        <v>A008</v>
      </c>
      <c r="D274" s="2" t="str">
        <f>VLOOKUP(C274,Stammdaten!$A$11:$B$25,2,FALSE)</f>
        <v>Fruchtjoghurt 4er</v>
      </c>
      <c r="E274" s="3" t="str">
        <f>VLOOKUP(C274,Stammdaten!$A$11:$C$25,3,FALSE)</f>
        <v>Joghurt</v>
      </c>
      <c r="F274" s="19">
        <f>VLOOKUP(C274,Stammdaten!$A$11:$D$25,4,FALSE)</f>
        <v>1.89</v>
      </c>
      <c r="G274" s="4">
        <f t="shared" si="52"/>
        <v>6</v>
      </c>
      <c r="H274" s="20" t="str">
        <f>VLOOKUP(G274,Stammdaten!$A$30:$B$41,2,FALSE)</f>
        <v>Juni</v>
      </c>
      <c r="I274" s="4">
        <v>320</v>
      </c>
      <c r="J274" s="4">
        <v>303</v>
      </c>
      <c r="K274" s="4">
        <f t="shared" si="53"/>
        <v>-17</v>
      </c>
      <c r="L274" s="27">
        <f t="shared" si="54"/>
        <v>-5.3125</v>
      </c>
      <c r="M274" s="52" t="str">
        <f t="shared" si="55"/>
        <v>Schwund</v>
      </c>
      <c r="N274" s="28">
        <f t="shared" si="56"/>
        <v>32.129999999999995</v>
      </c>
      <c r="O274" s="5">
        <v>7</v>
      </c>
      <c r="P274" s="4">
        <v>4</v>
      </c>
      <c r="Q274" s="28">
        <f t="shared" si="57"/>
        <v>8.0324999999999989</v>
      </c>
      <c r="R274" s="50">
        <f t="shared" si="58"/>
        <v>9.6389999999999976</v>
      </c>
      <c r="S274" s="2" t="str">
        <f t="shared" si="59"/>
        <v>Normal</v>
      </c>
      <c r="T274" s="4">
        <v>0</v>
      </c>
      <c r="U274" s="4" t="str">
        <f t="shared" si="60"/>
        <v>Nein</v>
      </c>
      <c r="V274" s="4">
        <f t="shared" si="61"/>
        <v>0</v>
      </c>
      <c r="W274" s="19">
        <f t="shared" si="62"/>
        <v>1.89</v>
      </c>
      <c r="X274" s="5">
        <v>0</v>
      </c>
      <c r="Y274" s="28">
        <f t="shared" si="63"/>
        <v>0</v>
      </c>
      <c r="Z274" s="31" t="s">
        <v>172</v>
      </c>
      <c r="AA274" t="str">
        <f t="shared" si="64"/>
        <v>Prozessfehler</v>
      </c>
    </row>
    <row r="275" spans="1:27" x14ac:dyDescent="0.35">
      <c r="A275" s="32" t="s">
        <v>15</v>
      </c>
      <c r="B275" s="2" t="str">
        <f>VLOOKUP(A275,Stammdaten!$A$3:$B$7,2,FALSE)</f>
        <v>Filiale Süd</v>
      </c>
      <c r="C275" s="3" t="str" cm="1">
        <f t="array" ref="C275">INDEX(Stammdaten!$A$11:$A$25,INT((ROW()-5)/12)+1 - INT((ROW()-5)/180)*15)</f>
        <v>A008</v>
      </c>
      <c r="D275" s="2" t="str">
        <f>VLOOKUP(C275,Stammdaten!$A$11:$B$25,2,FALSE)</f>
        <v>Fruchtjoghurt 4er</v>
      </c>
      <c r="E275" s="3" t="str">
        <f>VLOOKUP(C275,Stammdaten!$A$11:$C$25,3,FALSE)</f>
        <v>Joghurt</v>
      </c>
      <c r="F275" s="19">
        <f>VLOOKUP(C275,Stammdaten!$A$11:$D$25,4,FALSE)</f>
        <v>1.89</v>
      </c>
      <c r="G275" s="4">
        <f t="shared" si="52"/>
        <v>7</v>
      </c>
      <c r="H275" s="20" t="str">
        <f>VLOOKUP(G275,Stammdaten!$A$30:$B$41,2,FALSE)</f>
        <v>Juli</v>
      </c>
      <c r="I275" s="4">
        <v>353</v>
      </c>
      <c r="J275" s="4">
        <v>341</v>
      </c>
      <c r="K275" s="4">
        <f t="shared" si="53"/>
        <v>-12</v>
      </c>
      <c r="L275" s="27">
        <f t="shared" si="54"/>
        <v>-3.3994334277620402</v>
      </c>
      <c r="M275" s="52" t="str">
        <f t="shared" si="55"/>
        <v>Schwund</v>
      </c>
      <c r="N275" s="28">
        <f t="shared" si="56"/>
        <v>22.68</v>
      </c>
      <c r="O275" s="5">
        <v>9</v>
      </c>
      <c r="P275" s="4">
        <v>4</v>
      </c>
      <c r="Q275" s="28">
        <f t="shared" si="57"/>
        <v>5.67</v>
      </c>
      <c r="R275" s="50">
        <f t="shared" si="58"/>
        <v>6.8039999999999994</v>
      </c>
      <c r="S275" s="2" t="str">
        <f t="shared" si="59"/>
        <v>Normal</v>
      </c>
      <c r="T275" s="4">
        <v>0</v>
      </c>
      <c r="U275" s="4" t="str">
        <f t="shared" si="60"/>
        <v>Nein</v>
      </c>
      <c r="V275" s="4">
        <f t="shared" si="61"/>
        <v>0</v>
      </c>
      <c r="W275" s="19">
        <f t="shared" si="62"/>
        <v>1.89</v>
      </c>
      <c r="X275" s="5">
        <v>0</v>
      </c>
      <c r="Y275" s="28">
        <f t="shared" si="63"/>
        <v>0</v>
      </c>
      <c r="Z275" s="31" t="s">
        <v>172</v>
      </c>
      <c r="AA275" t="str">
        <f t="shared" si="64"/>
        <v>Prozessfehler</v>
      </c>
    </row>
    <row r="276" spans="1:27" x14ac:dyDescent="0.35">
      <c r="A276" s="32" t="s">
        <v>15</v>
      </c>
      <c r="B276" s="2" t="str">
        <f>VLOOKUP(A276,Stammdaten!$A$3:$B$7,2,FALSE)</f>
        <v>Filiale Süd</v>
      </c>
      <c r="C276" s="3" t="str" cm="1">
        <f t="array" ref="C276">INDEX(Stammdaten!$A$11:$A$25,INT((ROW()-5)/12)+1 - INT((ROW()-5)/180)*15)</f>
        <v>A008</v>
      </c>
      <c r="D276" s="2" t="str">
        <f>VLOOKUP(C276,Stammdaten!$A$11:$B$25,2,FALSE)</f>
        <v>Fruchtjoghurt 4er</v>
      </c>
      <c r="E276" s="3" t="str">
        <f>VLOOKUP(C276,Stammdaten!$A$11:$C$25,3,FALSE)</f>
        <v>Joghurt</v>
      </c>
      <c r="F276" s="19">
        <f>VLOOKUP(C276,Stammdaten!$A$11:$D$25,4,FALSE)</f>
        <v>1.89</v>
      </c>
      <c r="G276" s="4">
        <f t="shared" si="52"/>
        <v>8</v>
      </c>
      <c r="H276" s="20" t="str">
        <f>VLOOKUP(G276,Stammdaten!$A$30:$B$41,2,FALSE)</f>
        <v>August</v>
      </c>
      <c r="I276" s="4">
        <v>309</v>
      </c>
      <c r="J276" s="4">
        <v>296</v>
      </c>
      <c r="K276" s="4">
        <f t="shared" si="53"/>
        <v>-13</v>
      </c>
      <c r="L276" s="27">
        <f t="shared" si="54"/>
        <v>-4.2071197411003238</v>
      </c>
      <c r="M276" s="52" t="str">
        <f t="shared" si="55"/>
        <v>Schwund</v>
      </c>
      <c r="N276" s="28">
        <f t="shared" si="56"/>
        <v>24.57</v>
      </c>
      <c r="O276" s="5">
        <v>9</v>
      </c>
      <c r="P276" s="4">
        <v>0</v>
      </c>
      <c r="Q276" s="28">
        <f t="shared" si="57"/>
        <v>6.1425000000000001</v>
      </c>
      <c r="R276" s="50">
        <f t="shared" si="58"/>
        <v>7.3709999999999996</v>
      </c>
      <c r="S276" s="2" t="str">
        <f t="shared" si="59"/>
        <v>Normal</v>
      </c>
      <c r="T276" s="4">
        <v>0</v>
      </c>
      <c r="U276" s="4" t="str">
        <f t="shared" si="60"/>
        <v>Nein</v>
      </c>
      <c r="V276" s="4">
        <f t="shared" si="61"/>
        <v>0</v>
      </c>
      <c r="W276" s="19">
        <f t="shared" si="62"/>
        <v>1.89</v>
      </c>
      <c r="X276" s="5">
        <v>0</v>
      </c>
      <c r="Y276" s="28">
        <f t="shared" si="63"/>
        <v>0</v>
      </c>
      <c r="Z276" s="31" t="s">
        <v>172</v>
      </c>
      <c r="AA276" t="str">
        <f t="shared" si="64"/>
        <v>Buchungsfehler Wareneingang</v>
      </c>
    </row>
    <row r="277" spans="1:27" x14ac:dyDescent="0.35">
      <c r="A277" s="32" t="s">
        <v>15</v>
      </c>
      <c r="B277" s="2" t="str">
        <f>VLOOKUP(A277,Stammdaten!$A$3:$B$7,2,FALSE)</f>
        <v>Filiale Süd</v>
      </c>
      <c r="C277" s="3" t="str" cm="1">
        <f t="array" ref="C277">INDEX(Stammdaten!$A$11:$A$25,INT((ROW()-5)/12)+1 - INT((ROW()-5)/180)*15)</f>
        <v>A008</v>
      </c>
      <c r="D277" s="2" t="str">
        <f>VLOOKUP(C277,Stammdaten!$A$11:$B$25,2,FALSE)</f>
        <v>Fruchtjoghurt 4er</v>
      </c>
      <c r="E277" s="3" t="str">
        <f>VLOOKUP(C277,Stammdaten!$A$11:$C$25,3,FALSE)</f>
        <v>Joghurt</v>
      </c>
      <c r="F277" s="19">
        <f>VLOOKUP(C277,Stammdaten!$A$11:$D$25,4,FALSE)</f>
        <v>1.89</v>
      </c>
      <c r="G277" s="4">
        <f t="shared" si="52"/>
        <v>9</v>
      </c>
      <c r="H277" s="20" t="str">
        <f>VLOOKUP(G277,Stammdaten!$A$30:$B$41,2,FALSE)</f>
        <v>September</v>
      </c>
      <c r="I277" s="4">
        <v>279</v>
      </c>
      <c r="J277" s="4">
        <v>267</v>
      </c>
      <c r="K277" s="4">
        <f t="shared" si="53"/>
        <v>-12</v>
      </c>
      <c r="L277" s="27">
        <f t="shared" si="54"/>
        <v>-4.3010752688172049</v>
      </c>
      <c r="M277" s="52" t="str">
        <f t="shared" si="55"/>
        <v>Schwund</v>
      </c>
      <c r="N277" s="28">
        <f t="shared" si="56"/>
        <v>22.68</v>
      </c>
      <c r="O277" s="5">
        <v>12</v>
      </c>
      <c r="P277" s="4">
        <v>2</v>
      </c>
      <c r="Q277" s="28">
        <f t="shared" si="57"/>
        <v>5.67</v>
      </c>
      <c r="R277" s="50">
        <f t="shared" si="58"/>
        <v>6.8039999999999994</v>
      </c>
      <c r="S277" s="2" t="str">
        <f t="shared" si="59"/>
        <v>Normal</v>
      </c>
      <c r="T277" s="4">
        <v>0</v>
      </c>
      <c r="U277" s="4" t="str">
        <f t="shared" si="60"/>
        <v>Nein</v>
      </c>
      <c r="V277" s="4">
        <f t="shared" si="61"/>
        <v>0</v>
      </c>
      <c r="W277" s="19">
        <f t="shared" si="62"/>
        <v>1.89</v>
      </c>
      <c r="X277" s="5">
        <v>0</v>
      </c>
      <c r="Y277" s="28">
        <f t="shared" si="63"/>
        <v>0</v>
      </c>
      <c r="Z277" s="31" t="s">
        <v>172</v>
      </c>
      <c r="AA277" t="str">
        <f t="shared" si="64"/>
        <v>Prozessfehler</v>
      </c>
    </row>
    <row r="278" spans="1:27" x14ac:dyDescent="0.35">
      <c r="A278" s="32" t="s">
        <v>15</v>
      </c>
      <c r="B278" s="2" t="str">
        <f>VLOOKUP(A278,Stammdaten!$A$3:$B$7,2,FALSE)</f>
        <v>Filiale Süd</v>
      </c>
      <c r="C278" s="3" t="str" cm="1">
        <f t="array" ref="C278">INDEX(Stammdaten!$A$11:$A$25,INT((ROW()-5)/12)+1 - INT((ROW()-5)/180)*15)</f>
        <v>A008</v>
      </c>
      <c r="D278" s="2" t="str">
        <f>VLOOKUP(C278,Stammdaten!$A$11:$B$25,2,FALSE)</f>
        <v>Fruchtjoghurt 4er</v>
      </c>
      <c r="E278" s="3" t="str">
        <f>VLOOKUP(C278,Stammdaten!$A$11:$C$25,3,FALSE)</f>
        <v>Joghurt</v>
      </c>
      <c r="F278" s="19">
        <f>VLOOKUP(C278,Stammdaten!$A$11:$D$25,4,FALSE)</f>
        <v>1.89</v>
      </c>
      <c r="G278" s="4">
        <f t="shared" si="52"/>
        <v>10</v>
      </c>
      <c r="H278" s="20" t="str">
        <f>VLOOKUP(G278,Stammdaten!$A$30:$B$41,2,FALSE)</f>
        <v>Oktober</v>
      </c>
      <c r="I278" s="4">
        <v>266</v>
      </c>
      <c r="J278" s="4">
        <v>274</v>
      </c>
      <c r="K278" s="4">
        <f t="shared" si="53"/>
        <v>8</v>
      </c>
      <c r="L278" s="27">
        <f t="shared" si="54"/>
        <v>3.007518796992481</v>
      </c>
      <c r="M278" s="52" t="str">
        <f t="shared" si="55"/>
        <v>Überbestand</v>
      </c>
      <c r="N278" s="28">
        <f t="shared" si="56"/>
        <v>15.12</v>
      </c>
      <c r="O278" s="5">
        <v>6</v>
      </c>
      <c r="P278" s="4">
        <v>0</v>
      </c>
      <c r="Q278" s="28">
        <f t="shared" si="57"/>
        <v>0</v>
      </c>
      <c r="R278" s="50">
        <f t="shared" si="58"/>
        <v>0</v>
      </c>
      <c r="S278" s="2" t="str">
        <f t="shared" si="59"/>
        <v>Normal</v>
      </c>
      <c r="T278" s="4">
        <v>8</v>
      </c>
      <c r="U278" s="4" t="str">
        <f t="shared" si="60"/>
        <v>Nein</v>
      </c>
      <c r="V278" s="4">
        <f t="shared" si="61"/>
        <v>0</v>
      </c>
      <c r="W278" s="19">
        <f t="shared" si="62"/>
        <v>1.89</v>
      </c>
      <c r="X278" s="5">
        <v>0</v>
      </c>
      <c r="Y278" s="28">
        <f t="shared" si="63"/>
        <v>0</v>
      </c>
      <c r="Z278" s="31" t="s">
        <v>172</v>
      </c>
      <c r="AA278" t="str">
        <f t="shared" si="64"/>
        <v>Kassenfehler (Überbestand)</v>
      </c>
    </row>
    <row r="279" spans="1:27" x14ac:dyDescent="0.35">
      <c r="A279" s="32" t="s">
        <v>15</v>
      </c>
      <c r="B279" s="2" t="str">
        <f>VLOOKUP(A279,Stammdaten!$A$3:$B$7,2,FALSE)</f>
        <v>Filiale Süd</v>
      </c>
      <c r="C279" s="3" t="str" cm="1">
        <f t="array" ref="C279">INDEX(Stammdaten!$A$11:$A$25,INT((ROW()-5)/12)+1 - INT((ROW()-5)/180)*15)</f>
        <v>A008</v>
      </c>
      <c r="D279" s="2" t="str">
        <f>VLOOKUP(C279,Stammdaten!$A$11:$B$25,2,FALSE)</f>
        <v>Fruchtjoghurt 4er</v>
      </c>
      <c r="E279" s="3" t="str">
        <f>VLOOKUP(C279,Stammdaten!$A$11:$C$25,3,FALSE)</f>
        <v>Joghurt</v>
      </c>
      <c r="F279" s="19">
        <f>VLOOKUP(C279,Stammdaten!$A$11:$D$25,4,FALSE)</f>
        <v>1.89</v>
      </c>
      <c r="G279" s="4">
        <f t="shared" si="52"/>
        <v>11</v>
      </c>
      <c r="H279" s="20" t="str">
        <f>VLOOKUP(G279,Stammdaten!$A$30:$B$41,2,FALSE)</f>
        <v>November</v>
      </c>
      <c r="I279" s="4">
        <v>311</v>
      </c>
      <c r="J279" s="4">
        <v>298</v>
      </c>
      <c r="K279" s="4">
        <f t="shared" si="53"/>
        <v>-13</v>
      </c>
      <c r="L279" s="27">
        <f t="shared" si="54"/>
        <v>-4.180064308681672</v>
      </c>
      <c r="M279" s="52" t="str">
        <f t="shared" si="55"/>
        <v>Schwund</v>
      </c>
      <c r="N279" s="28">
        <f t="shared" si="56"/>
        <v>24.57</v>
      </c>
      <c r="O279" s="5">
        <v>14</v>
      </c>
      <c r="P279" s="4">
        <v>5</v>
      </c>
      <c r="Q279" s="28">
        <f t="shared" si="57"/>
        <v>6.1425000000000001</v>
      </c>
      <c r="R279" s="50">
        <f t="shared" si="58"/>
        <v>7.3709999999999996</v>
      </c>
      <c r="S279" s="2" t="str">
        <f t="shared" si="59"/>
        <v>Black Friday</v>
      </c>
      <c r="T279" s="4">
        <v>0</v>
      </c>
      <c r="U279" s="4" t="str">
        <f t="shared" si="60"/>
        <v>Nein</v>
      </c>
      <c r="V279" s="4">
        <f t="shared" si="61"/>
        <v>0</v>
      </c>
      <c r="W279" s="19">
        <f t="shared" si="62"/>
        <v>1.89</v>
      </c>
      <c r="X279" s="5">
        <v>0</v>
      </c>
      <c r="Y279" s="28">
        <f t="shared" si="63"/>
        <v>0</v>
      </c>
      <c r="Z279" s="31" t="s">
        <v>172</v>
      </c>
      <c r="AA279" t="str">
        <f t="shared" si="64"/>
        <v>Prozessfehler</v>
      </c>
    </row>
    <row r="280" spans="1:27" x14ac:dyDescent="0.35">
      <c r="A280" s="32" t="s">
        <v>15</v>
      </c>
      <c r="B280" s="2" t="str">
        <f>VLOOKUP(A280,Stammdaten!$A$3:$B$7,2,FALSE)</f>
        <v>Filiale Süd</v>
      </c>
      <c r="C280" s="3" t="str" cm="1">
        <f t="array" ref="C280">INDEX(Stammdaten!$A$11:$A$25,INT((ROW()-5)/12)+1 - INT((ROW()-5)/180)*15)</f>
        <v>A008</v>
      </c>
      <c r="D280" s="2" t="str">
        <f>VLOOKUP(C280,Stammdaten!$A$11:$B$25,2,FALSE)</f>
        <v>Fruchtjoghurt 4er</v>
      </c>
      <c r="E280" s="3" t="str">
        <f>VLOOKUP(C280,Stammdaten!$A$11:$C$25,3,FALSE)</f>
        <v>Joghurt</v>
      </c>
      <c r="F280" s="19">
        <f>VLOOKUP(C280,Stammdaten!$A$11:$D$25,4,FALSE)</f>
        <v>1.89</v>
      </c>
      <c r="G280" s="4">
        <f t="shared" si="52"/>
        <v>12</v>
      </c>
      <c r="H280" s="20" t="str">
        <f>VLOOKUP(G280,Stammdaten!$A$30:$B$41,2,FALSE)</f>
        <v>Dezember</v>
      </c>
      <c r="I280" s="4">
        <v>388</v>
      </c>
      <c r="J280" s="4">
        <v>388</v>
      </c>
      <c r="K280" s="4">
        <f t="shared" si="53"/>
        <v>0</v>
      </c>
      <c r="L280" s="27">
        <f t="shared" si="54"/>
        <v>0</v>
      </c>
      <c r="M280" s="52" t="str">
        <f t="shared" si="55"/>
        <v>Perfekt</v>
      </c>
      <c r="N280" s="28">
        <f t="shared" si="56"/>
        <v>0</v>
      </c>
      <c r="O280" s="5">
        <v>4</v>
      </c>
      <c r="P280" s="4">
        <v>1</v>
      </c>
      <c r="Q280" s="28">
        <f t="shared" si="57"/>
        <v>0</v>
      </c>
      <c r="R280" s="50">
        <f t="shared" si="58"/>
        <v>0</v>
      </c>
      <c r="S280" s="2" t="str">
        <f t="shared" si="59"/>
        <v>Weihnachten/Silvester</v>
      </c>
      <c r="T280" s="4">
        <v>0</v>
      </c>
      <c r="U280" s="4" t="str">
        <f t="shared" si="60"/>
        <v>Nein</v>
      </c>
      <c r="V280" s="4">
        <f t="shared" si="61"/>
        <v>0</v>
      </c>
      <c r="W280" s="19">
        <f t="shared" si="62"/>
        <v>1.89</v>
      </c>
      <c r="X280" s="5">
        <v>0</v>
      </c>
      <c r="Y280" s="28">
        <f t="shared" si="63"/>
        <v>0</v>
      </c>
      <c r="Z280" s="31" t="s">
        <v>172</v>
      </c>
      <c r="AA280" t="str">
        <f t="shared" si="64"/>
        <v>Normal/Gering</v>
      </c>
    </row>
    <row r="281" spans="1:27" x14ac:dyDescent="0.35">
      <c r="A281" s="32" t="s">
        <v>15</v>
      </c>
      <c r="B281" s="2" t="str">
        <f>VLOOKUP(A281,Stammdaten!$A$3:$B$7,2,FALSE)</f>
        <v>Filiale Süd</v>
      </c>
      <c r="C281" s="3" t="str" cm="1">
        <f t="array" ref="C281">INDEX(Stammdaten!$A$11:$A$25,INT((ROW()-5)/12)+1 - INT((ROW()-5)/180)*15)</f>
        <v>A009</v>
      </c>
      <c r="D281" s="2" t="str">
        <f>VLOOKUP(C281,Stammdaten!$A$11:$B$25,2,FALSE)</f>
        <v>Sahne 200ml</v>
      </c>
      <c r="E281" s="3" t="str">
        <f>VLOOKUP(C281,Stammdaten!$A$11:$C$25,3,FALSE)</f>
        <v>Sahne</v>
      </c>
      <c r="F281" s="19">
        <f>VLOOKUP(C281,Stammdaten!$A$11:$D$25,4,FALSE)</f>
        <v>0.79</v>
      </c>
      <c r="G281" s="4">
        <f t="shared" si="52"/>
        <v>1</v>
      </c>
      <c r="H281" s="20" t="str">
        <f>VLOOKUP(G281,Stammdaten!$A$30:$B$41,2,FALSE)</f>
        <v>Januar</v>
      </c>
      <c r="I281" s="4">
        <v>145</v>
      </c>
      <c r="J281" s="4">
        <v>141</v>
      </c>
      <c r="K281" s="4">
        <f t="shared" si="53"/>
        <v>-4</v>
      </c>
      <c r="L281" s="27">
        <f t="shared" si="54"/>
        <v>-2.7586206896551726</v>
      </c>
      <c r="M281" s="52" t="str">
        <f t="shared" si="55"/>
        <v>Schwund</v>
      </c>
      <c r="N281" s="28">
        <f t="shared" si="56"/>
        <v>3.16</v>
      </c>
      <c r="O281" s="5">
        <v>1</v>
      </c>
      <c r="P281" s="4">
        <v>3</v>
      </c>
      <c r="Q281" s="28">
        <f t="shared" si="57"/>
        <v>0.79</v>
      </c>
      <c r="R281" s="50">
        <f t="shared" si="58"/>
        <v>0.94799999999999995</v>
      </c>
      <c r="S281" s="2" t="str">
        <f t="shared" si="59"/>
        <v>Normal</v>
      </c>
      <c r="T281" s="4">
        <v>0</v>
      </c>
      <c r="U281" s="4" t="str">
        <f t="shared" si="60"/>
        <v>Ja - 20% Reduzierung</v>
      </c>
      <c r="V281" s="4">
        <f t="shared" si="61"/>
        <v>20</v>
      </c>
      <c r="W281" s="19">
        <f t="shared" si="62"/>
        <v>0.63</v>
      </c>
      <c r="X281" s="5">
        <v>9</v>
      </c>
      <c r="Y281" s="28">
        <f t="shared" si="63"/>
        <v>1.42</v>
      </c>
      <c r="Z281" s="31" t="s">
        <v>164</v>
      </c>
      <c r="AA281" t="str">
        <f t="shared" si="64"/>
        <v>MHD - Prozessfehler</v>
      </c>
    </row>
    <row r="282" spans="1:27" x14ac:dyDescent="0.35">
      <c r="A282" s="32" t="s">
        <v>15</v>
      </c>
      <c r="B282" s="2" t="str">
        <f>VLOOKUP(A282,Stammdaten!$A$3:$B$7,2,FALSE)</f>
        <v>Filiale Süd</v>
      </c>
      <c r="C282" s="3" t="str" cm="1">
        <f t="array" ref="C282">INDEX(Stammdaten!$A$11:$A$25,INT((ROW()-5)/12)+1 - INT((ROW()-5)/180)*15)</f>
        <v>A009</v>
      </c>
      <c r="D282" s="2" t="str">
        <f>VLOOKUP(C282,Stammdaten!$A$11:$B$25,2,FALSE)</f>
        <v>Sahne 200ml</v>
      </c>
      <c r="E282" s="3" t="str">
        <f>VLOOKUP(C282,Stammdaten!$A$11:$C$25,3,FALSE)</f>
        <v>Sahne</v>
      </c>
      <c r="F282" s="19">
        <f>VLOOKUP(C282,Stammdaten!$A$11:$D$25,4,FALSE)</f>
        <v>0.79</v>
      </c>
      <c r="G282" s="4">
        <f t="shared" si="52"/>
        <v>2</v>
      </c>
      <c r="H282" s="20" t="str">
        <f>VLOOKUP(G282,Stammdaten!$A$30:$B$41,2,FALSE)</f>
        <v>Februar</v>
      </c>
      <c r="I282" s="4">
        <v>136</v>
      </c>
      <c r="J282" s="4">
        <v>134</v>
      </c>
      <c r="K282" s="4">
        <f t="shared" si="53"/>
        <v>-2</v>
      </c>
      <c r="L282" s="27">
        <f t="shared" si="54"/>
        <v>-1.4705882352941175</v>
      </c>
      <c r="M282" s="52" t="str">
        <f t="shared" si="55"/>
        <v>Schwund</v>
      </c>
      <c r="N282" s="28">
        <f t="shared" si="56"/>
        <v>1.58</v>
      </c>
      <c r="O282" s="5">
        <v>3</v>
      </c>
      <c r="P282" s="4">
        <v>2</v>
      </c>
      <c r="Q282" s="28">
        <f t="shared" si="57"/>
        <v>0.39500000000000002</v>
      </c>
      <c r="R282" s="50">
        <f t="shared" si="58"/>
        <v>0.47399999999999998</v>
      </c>
      <c r="S282" s="2" t="str">
        <f t="shared" si="59"/>
        <v>Karneval</v>
      </c>
      <c r="T282" s="4">
        <v>0</v>
      </c>
      <c r="U282" s="4" t="str">
        <f t="shared" si="60"/>
        <v>Ja - 20% Reduzierung</v>
      </c>
      <c r="V282" s="4">
        <f t="shared" si="61"/>
        <v>20</v>
      </c>
      <c r="W282" s="19">
        <f t="shared" si="62"/>
        <v>0.63</v>
      </c>
      <c r="X282" s="5">
        <v>12</v>
      </c>
      <c r="Y282" s="28">
        <f t="shared" si="63"/>
        <v>1.9</v>
      </c>
      <c r="Z282" s="31" t="s">
        <v>167</v>
      </c>
      <c r="AA282" t="str">
        <f t="shared" si="64"/>
        <v>MHD - Prozessfehler</v>
      </c>
    </row>
    <row r="283" spans="1:27" x14ac:dyDescent="0.35">
      <c r="A283" s="32" t="s">
        <v>15</v>
      </c>
      <c r="B283" s="2" t="str">
        <f>VLOOKUP(A283,Stammdaten!$A$3:$B$7,2,FALSE)</f>
        <v>Filiale Süd</v>
      </c>
      <c r="C283" s="3" t="str" cm="1">
        <f t="array" ref="C283">INDEX(Stammdaten!$A$11:$A$25,INT((ROW()-5)/12)+1 - INT((ROW()-5)/180)*15)</f>
        <v>A009</v>
      </c>
      <c r="D283" s="2" t="str">
        <f>VLOOKUP(C283,Stammdaten!$A$11:$B$25,2,FALSE)</f>
        <v>Sahne 200ml</v>
      </c>
      <c r="E283" s="3" t="str">
        <f>VLOOKUP(C283,Stammdaten!$A$11:$C$25,3,FALSE)</f>
        <v>Sahne</v>
      </c>
      <c r="F283" s="19">
        <f>VLOOKUP(C283,Stammdaten!$A$11:$D$25,4,FALSE)</f>
        <v>0.79</v>
      </c>
      <c r="G283" s="4">
        <f t="shared" si="52"/>
        <v>3</v>
      </c>
      <c r="H283" s="20" t="str">
        <f>VLOOKUP(G283,Stammdaten!$A$30:$B$41,2,FALSE)</f>
        <v>März</v>
      </c>
      <c r="I283" s="4">
        <v>170</v>
      </c>
      <c r="J283" s="4">
        <v>165</v>
      </c>
      <c r="K283" s="4">
        <f t="shared" si="53"/>
        <v>-5</v>
      </c>
      <c r="L283" s="27">
        <f t="shared" si="54"/>
        <v>-2.9411764705882351</v>
      </c>
      <c r="M283" s="52" t="str">
        <f t="shared" si="55"/>
        <v>Schwund</v>
      </c>
      <c r="N283" s="28">
        <f t="shared" si="56"/>
        <v>3.95</v>
      </c>
      <c r="O283" s="5">
        <v>9</v>
      </c>
      <c r="P283" s="4">
        <v>0</v>
      </c>
      <c r="Q283" s="28">
        <f t="shared" si="57"/>
        <v>0.98750000000000004</v>
      </c>
      <c r="R283" s="50">
        <f t="shared" si="58"/>
        <v>1.1850000000000001</v>
      </c>
      <c r="S283" s="2" t="str">
        <f t="shared" si="59"/>
        <v>Normal</v>
      </c>
      <c r="T283" s="4">
        <v>0</v>
      </c>
      <c r="U283" s="4" t="str">
        <f t="shared" si="60"/>
        <v>Nein</v>
      </c>
      <c r="V283" s="4">
        <f t="shared" si="61"/>
        <v>0</v>
      </c>
      <c r="W283" s="19">
        <f t="shared" si="62"/>
        <v>0.79</v>
      </c>
      <c r="X283" s="5">
        <v>0</v>
      </c>
      <c r="Y283" s="28">
        <f t="shared" si="63"/>
        <v>0</v>
      </c>
      <c r="Z283" s="31" t="s">
        <v>172</v>
      </c>
      <c r="AA283" t="str">
        <f t="shared" si="64"/>
        <v>Buchungsfehler Wareneingang</v>
      </c>
    </row>
    <row r="284" spans="1:27" x14ac:dyDescent="0.35">
      <c r="A284" s="32" t="s">
        <v>15</v>
      </c>
      <c r="B284" s="2" t="str">
        <f>VLOOKUP(A284,Stammdaten!$A$3:$B$7,2,FALSE)</f>
        <v>Filiale Süd</v>
      </c>
      <c r="C284" s="3" t="str" cm="1">
        <f t="array" ref="C284">INDEX(Stammdaten!$A$11:$A$25,INT((ROW()-5)/12)+1 - INT((ROW()-5)/180)*15)</f>
        <v>A009</v>
      </c>
      <c r="D284" s="2" t="str">
        <f>VLOOKUP(C284,Stammdaten!$A$11:$B$25,2,FALSE)</f>
        <v>Sahne 200ml</v>
      </c>
      <c r="E284" s="3" t="str">
        <f>VLOOKUP(C284,Stammdaten!$A$11:$C$25,3,FALSE)</f>
        <v>Sahne</v>
      </c>
      <c r="F284" s="19">
        <f>VLOOKUP(C284,Stammdaten!$A$11:$D$25,4,FALSE)</f>
        <v>0.79</v>
      </c>
      <c r="G284" s="4">
        <f t="shared" si="52"/>
        <v>4</v>
      </c>
      <c r="H284" s="20" t="str">
        <f>VLOOKUP(G284,Stammdaten!$A$30:$B$41,2,FALSE)</f>
        <v>April</v>
      </c>
      <c r="I284" s="4">
        <v>190</v>
      </c>
      <c r="J284" s="4">
        <v>184</v>
      </c>
      <c r="K284" s="4">
        <f t="shared" si="53"/>
        <v>-6</v>
      </c>
      <c r="L284" s="27">
        <f t="shared" si="54"/>
        <v>-3.1578947368421053</v>
      </c>
      <c r="M284" s="52" t="str">
        <f t="shared" si="55"/>
        <v>Schwund</v>
      </c>
      <c r="N284" s="28">
        <f t="shared" si="56"/>
        <v>4.74</v>
      </c>
      <c r="O284" s="5">
        <v>8</v>
      </c>
      <c r="P284" s="4">
        <v>2</v>
      </c>
      <c r="Q284" s="28">
        <f t="shared" si="57"/>
        <v>1.1850000000000001</v>
      </c>
      <c r="R284" s="50">
        <f t="shared" si="58"/>
        <v>1.4219999999999999</v>
      </c>
      <c r="S284" s="2" t="str">
        <f t="shared" si="59"/>
        <v>Ostern</v>
      </c>
      <c r="T284" s="4">
        <v>0</v>
      </c>
      <c r="U284" s="4" t="str">
        <f t="shared" si="60"/>
        <v>Nein</v>
      </c>
      <c r="V284" s="4">
        <f t="shared" si="61"/>
        <v>0</v>
      </c>
      <c r="W284" s="19">
        <f t="shared" si="62"/>
        <v>0.79</v>
      </c>
      <c r="X284" s="5">
        <v>0</v>
      </c>
      <c r="Y284" s="28">
        <f t="shared" si="63"/>
        <v>0</v>
      </c>
      <c r="Z284" s="31" t="s">
        <v>172</v>
      </c>
      <c r="AA284" t="str">
        <f t="shared" si="64"/>
        <v>Prozessfehler</v>
      </c>
    </row>
    <row r="285" spans="1:27" x14ac:dyDescent="0.35">
      <c r="A285" s="32" t="s">
        <v>15</v>
      </c>
      <c r="B285" s="2" t="str">
        <f>VLOOKUP(A285,Stammdaten!$A$3:$B$7,2,FALSE)</f>
        <v>Filiale Süd</v>
      </c>
      <c r="C285" s="3" t="str" cm="1">
        <f t="array" ref="C285">INDEX(Stammdaten!$A$11:$A$25,INT((ROW()-5)/12)+1 - INT((ROW()-5)/180)*15)</f>
        <v>A009</v>
      </c>
      <c r="D285" s="2" t="str">
        <f>VLOOKUP(C285,Stammdaten!$A$11:$B$25,2,FALSE)</f>
        <v>Sahne 200ml</v>
      </c>
      <c r="E285" s="3" t="str">
        <f>VLOOKUP(C285,Stammdaten!$A$11:$C$25,3,FALSE)</f>
        <v>Sahne</v>
      </c>
      <c r="F285" s="19">
        <f>VLOOKUP(C285,Stammdaten!$A$11:$D$25,4,FALSE)</f>
        <v>0.79</v>
      </c>
      <c r="G285" s="4">
        <f t="shared" si="52"/>
        <v>5</v>
      </c>
      <c r="H285" s="20" t="str">
        <f>VLOOKUP(G285,Stammdaten!$A$30:$B$41,2,FALSE)</f>
        <v>Mai</v>
      </c>
      <c r="I285" s="4">
        <v>165</v>
      </c>
      <c r="J285" s="4">
        <v>161</v>
      </c>
      <c r="K285" s="4">
        <f t="shared" si="53"/>
        <v>-4</v>
      </c>
      <c r="L285" s="27">
        <f t="shared" si="54"/>
        <v>-2.4242424242424243</v>
      </c>
      <c r="M285" s="52" t="str">
        <f t="shared" si="55"/>
        <v>Schwund</v>
      </c>
      <c r="N285" s="28">
        <f t="shared" si="56"/>
        <v>3.16</v>
      </c>
      <c r="O285" s="5">
        <v>0</v>
      </c>
      <c r="P285" s="4">
        <v>3</v>
      </c>
      <c r="Q285" s="28">
        <f t="shared" si="57"/>
        <v>0.79</v>
      </c>
      <c r="R285" s="50">
        <f t="shared" si="58"/>
        <v>0.94799999999999995</v>
      </c>
      <c r="S285" s="2" t="str">
        <f t="shared" si="59"/>
        <v>Normal</v>
      </c>
      <c r="T285" s="4">
        <v>0</v>
      </c>
      <c r="U285" s="4" t="str">
        <f t="shared" si="60"/>
        <v>Abschreibung</v>
      </c>
      <c r="V285" s="4">
        <f t="shared" si="61"/>
        <v>100</v>
      </c>
      <c r="W285" s="19">
        <f t="shared" si="62"/>
        <v>0</v>
      </c>
      <c r="X285" s="5">
        <v>5</v>
      </c>
      <c r="Y285" s="28">
        <f t="shared" si="63"/>
        <v>3.95</v>
      </c>
      <c r="Z285" s="31" t="s">
        <v>173</v>
      </c>
      <c r="AA285" t="str">
        <f t="shared" si="64"/>
        <v>Verderb - Abgelaufen</v>
      </c>
    </row>
    <row r="286" spans="1:27" x14ac:dyDescent="0.35">
      <c r="A286" s="32" t="s">
        <v>15</v>
      </c>
      <c r="B286" s="2" t="str">
        <f>VLOOKUP(A286,Stammdaten!$A$3:$B$7,2,FALSE)</f>
        <v>Filiale Süd</v>
      </c>
      <c r="C286" s="3" t="str" cm="1">
        <f t="array" ref="C286">INDEX(Stammdaten!$A$11:$A$25,INT((ROW()-5)/12)+1 - INT((ROW()-5)/180)*15)</f>
        <v>A009</v>
      </c>
      <c r="D286" s="2" t="str">
        <f>VLOOKUP(C286,Stammdaten!$A$11:$B$25,2,FALSE)</f>
        <v>Sahne 200ml</v>
      </c>
      <c r="E286" s="3" t="str">
        <f>VLOOKUP(C286,Stammdaten!$A$11:$C$25,3,FALSE)</f>
        <v>Sahne</v>
      </c>
      <c r="F286" s="19">
        <f>VLOOKUP(C286,Stammdaten!$A$11:$D$25,4,FALSE)</f>
        <v>0.79</v>
      </c>
      <c r="G286" s="4">
        <f t="shared" si="52"/>
        <v>6</v>
      </c>
      <c r="H286" s="20" t="str">
        <f>VLOOKUP(G286,Stammdaten!$A$30:$B$41,2,FALSE)</f>
        <v>Juni</v>
      </c>
      <c r="I286" s="4">
        <v>176</v>
      </c>
      <c r="J286" s="4">
        <v>170</v>
      </c>
      <c r="K286" s="4">
        <f t="shared" si="53"/>
        <v>-6</v>
      </c>
      <c r="L286" s="27">
        <f t="shared" si="54"/>
        <v>-3.4090909090909087</v>
      </c>
      <c r="M286" s="52" t="str">
        <f t="shared" si="55"/>
        <v>Schwund</v>
      </c>
      <c r="N286" s="28">
        <f t="shared" si="56"/>
        <v>4.74</v>
      </c>
      <c r="O286" s="5">
        <v>10</v>
      </c>
      <c r="P286" s="4">
        <v>4</v>
      </c>
      <c r="Q286" s="28">
        <f t="shared" si="57"/>
        <v>1.1850000000000001</v>
      </c>
      <c r="R286" s="50">
        <f t="shared" si="58"/>
        <v>1.4219999999999999</v>
      </c>
      <c r="S286" s="2" t="str">
        <f t="shared" si="59"/>
        <v>Normal</v>
      </c>
      <c r="T286" s="4">
        <v>0</v>
      </c>
      <c r="U286" s="4" t="str">
        <f t="shared" si="60"/>
        <v>Nein</v>
      </c>
      <c r="V286" s="4">
        <f t="shared" si="61"/>
        <v>0</v>
      </c>
      <c r="W286" s="19">
        <f t="shared" si="62"/>
        <v>0.79</v>
      </c>
      <c r="X286" s="5">
        <v>0</v>
      </c>
      <c r="Y286" s="28">
        <f t="shared" si="63"/>
        <v>0</v>
      </c>
      <c r="Z286" s="31" t="s">
        <v>172</v>
      </c>
      <c r="AA286" t="str">
        <f t="shared" si="64"/>
        <v>Prozessfehler</v>
      </c>
    </row>
    <row r="287" spans="1:27" x14ac:dyDescent="0.35">
      <c r="A287" s="32" t="s">
        <v>15</v>
      </c>
      <c r="B287" s="2" t="str">
        <f>VLOOKUP(A287,Stammdaten!$A$3:$B$7,2,FALSE)</f>
        <v>Filiale Süd</v>
      </c>
      <c r="C287" s="3" t="str" cm="1">
        <f t="array" ref="C287">INDEX(Stammdaten!$A$11:$A$25,INT((ROW()-5)/12)+1 - INT((ROW()-5)/180)*15)</f>
        <v>A009</v>
      </c>
      <c r="D287" s="2" t="str">
        <f>VLOOKUP(C287,Stammdaten!$A$11:$B$25,2,FALSE)</f>
        <v>Sahne 200ml</v>
      </c>
      <c r="E287" s="3" t="str">
        <f>VLOOKUP(C287,Stammdaten!$A$11:$C$25,3,FALSE)</f>
        <v>Sahne</v>
      </c>
      <c r="F287" s="19">
        <f>VLOOKUP(C287,Stammdaten!$A$11:$D$25,4,FALSE)</f>
        <v>0.79</v>
      </c>
      <c r="G287" s="4">
        <f t="shared" si="52"/>
        <v>7</v>
      </c>
      <c r="H287" s="20" t="str">
        <f>VLOOKUP(G287,Stammdaten!$A$30:$B$41,2,FALSE)</f>
        <v>Juli</v>
      </c>
      <c r="I287" s="4">
        <v>182</v>
      </c>
      <c r="J287" s="4">
        <v>179</v>
      </c>
      <c r="K287" s="4">
        <f t="shared" si="53"/>
        <v>-3</v>
      </c>
      <c r="L287" s="27">
        <f t="shared" si="54"/>
        <v>-1.6483516483516485</v>
      </c>
      <c r="M287" s="52" t="str">
        <f t="shared" si="55"/>
        <v>Schwund</v>
      </c>
      <c r="N287" s="28">
        <f t="shared" si="56"/>
        <v>2.37</v>
      </c>
      <c r="O287" s="5">
        <v>1</v>
      </c>
      <c r="P287" s="4">
        <v>0</v>
      </c>
      <c r="Q287" s="28">
        <f t="shared" si="57"/>
        <v>0.59250000000000003</v>
      </c>
      <c r="R287" s="50">
        <f t="shared" si="58"/>
        <v>0.71099999999999997</v>
      </c>
      <c r="S287" s="2" t="str">
        <f t="shared" si="59"/>
        <v>Normal</v>
      </c>
      <c r="T287" s="4">
        <v>0</v>
      </c>
      <c r="U287" s="4" t="str">
        <f t="shared" si="60"/>
        <v>Ja - 20% Reduzierung</v>
      </c>
      <c r="V287" s="4">
        <f t="shared" si="61"/>
        <v>20</v>
      </c>
      <c r="W287" s="19">
        <f t="shared" si="62"/>
        <v>0.63</v>
      </c>
      <c r="X287" s="5">
        <v>16</v>
      </c>
      <c r="Y287" s="28">
        <f t="shared" si="63"/>
        <v>2.5299999999999998</v>
      </c>
      <c r="Z287" s="31" t="s">
        <v>173</v>
      </c>
      <c r="AA287" t="str">
        <f t="shared" si="64"/>
        <v>Normal/Gering</v>
      </c>
    </row>
    <row r="288" spans="1:27" x14ac:dyDescent="0.35">
      <c r="A288" s="32" t="s">
        <v>15</v>
      </c>
      <c r="B288" s="2" t="str">
        <f>VLOOKUP(A288,Stammdaten!$A$3:$B$7,2,FALSE)</f>
        <v>Filiale Süd</v>
      </c>
      <c r="C288" s="3" t="str" cm="1">
        <f t="array" ref="C288">INDEX(Stammdaten!$A$11:$A$25,INT((ROW()-5)/12)+1 - INT((ROW()-5)/180)*15)</f>
        <v>A009</v>
      </c>
      <c r="D288" s="2" t="str">
        <f>VLOOKUP(C288,Stammdaten!$A$11:$B$25,2,FALSE)</f>
        <v>Sahne 200ml</v>
      </c>
      <c r="E288" s="3" t="str">
        <f>VLOOKUP(C288,Stammdaten!$A$11:$C$25,3,FALSE)</f>
        <v>Sahne</v>
      </c>
      <c r="F288" s="19">
        <f>VLOOKUP(C288,Stammdaten!$A$11:$D$25,4,FALSE)</f>
        <v>0.79</v>
      </c>
      <c r="G288" s="4">
        <f t="shared" si="52"/>
        <v>8</v>
      </c>
      <c r="H288" s="20" t="str">
        <f>VLOOKUP(G288,Stammdaten!$A$30:$B$41,2,FALSE)</f>
        <v>August</v>
      </c>
      <c r="I288" s="4">
        <v>177</v>
      </c>
      <c r="J288" s="4">
        <v>172</v>
      </c>
      <c r="K288" s="4">
        <f t="shared" si="53"/>
        <v>-5</v>
      </c>
      <c r="L288" s="27">
        <f t="shared" si="54"/>
        <v>-2.8248587570621471</v>
      </c>
      <c r="M288" s="52" t="str">
        <f t="shared" si="55"/>
        <v>Schwund</v>
      </c>
      <c r="N288" s="28">
        <f t="shared" si="56"/>
        <v>3.95</v>
      </c>
      <c r="O288" s="5">
        <v>8</v>
      </c>
      <c r="P288" s="4">
        <v>1</v>
      </c>
      <c r="Q288" s="28">
        <f t="shared" si="57"/>
        <v>0.98750000000000004</v>
      </c>
      <c r="R288" s="50">
        <f t="shared" si="58"/>
        <v>1.1850000000000001</v>
      </c>
      <c r="S288" s="2" t="str">
        <f t="shared" si="59"/>
        <v>Normal</v>
      </c>
      <c r="T288" s="4">
        <v>0</v>
      </c>
      <c r="U288" s="4" t="str">
        <f t="shared" si="60"/>
        <v>Nein</v>
      </c>
      <c r="V288" s="4">
        <f t="shared" si="61"/>
        <v>0</v>
      </c>
      <c r="W288" s="19">
        <f t="shared" si="62"/>
        <v>0.79</v>
      </c>
      <c r="X288" s="5">
        <v>0</v>
      </c>
      <c r="Y288" s="28">
        <f t="shared" si="63"/>
        <v>0</v>
      </c>
      <c r="Z288" s="31" t="s">
        <v>172</v>
      </c>
      <c r="AA288" t="str">
        <f t="shared" si="64"/>
        <v>Buchungsfehler Wareneingang</v>
      </c>
    </row>
    <row r="289" spans="1:27" x14ac:dyDescent="0.35">
      <c r="A289" s="32" t="s">
        <v>15</v>
      </c>
      <c r="B289" s="2" t="str">
        <f>VLOOKUP(A289,Stammdaten!$A$3:$B$7,2,FALSE)</f>
        <v>Filiale Süd</v>
      </c>
      <c r="C289" s="3" t="str" cm="1">
        <f t="array" ref="C289">INDEX(Stammdaten!$A$11:$A$25,INT((ROW()-5)/12)+1 - INT((ROW()-5)/180)*15)</f>
        <v>A009</v>
      </c>
      <c r="D289" s="2" t="str">
        <f>VLOOKUP(C289,Stammdaten!$A$11:$B$25,2,FALSE)</f>
        <v>Sahne 200ml</v>
      </c>
      <c r="E289" s="3" t="str">
        <f>VLOOKUP(C289,Stammdaten!$A$11:$C$25,3,FALSE)</f>
        <v>Sahne</v>
      </c>
      <c r="F289" s="19">
        <f>VLOOKUP(C289,Stammdaten!$A$11:$D$25,4,FALSE)</f>
        <v>0.79</v>
      </c>
      <c r="G289" s="4">
        <f t="shared" si="52"/>
        <v>9</v>
      </c>
      <c r="H289" s="20" t="str">
        <f>VLOOKUP(G289,Stammdaten!$A$30:$B$41,2,FALSE)</f>
        <v>September</v>
      </c>
      <c r="I289" s="4">
        <v>154</v>
      </c>
      <c r="J289" s="4">
        <v>162</v>
      </c>
      <c r="K289" s="4">
        <f t="shared" si="53"/>
        <v>8</v>
      </c>
      <c r="L289" s="27">
        <f t="shared" si="54"/>
        <v>5.1948051948051948</v>
      </c>
      <c r="M289" s="52" t="str">
        <f t="shared" si="55"/>
        <v>Überbestand</v>
      </c>
      <c r="N289" s="28">
        <f t="shared" si="56"/>
        <v>6.32</v>
      </c>
      <c r="O289" s="5">
        <v>8</v>
      </c>
      <c r="P289" s="4">
        <v>3</v>
      </c>
      <c r="Q289" s="28">
        <f t="shared" si="57"/>
        <v>0</v>
      </c>
      <c r="R289" s="50">
        <f t="shared" si="58"/>
        <v>0</v>
      </c>
      <c r="S289" s="2" t="str">
        <f t="shared" si="59"/>
        <v>Normal</v>
      </c>
      <c r="T289" s="4">
        <v>8</v>
      </c>
      <c r="U289" s="4" t="str">
        <f t="shared" si="60"/>
        <v>Nein</v>
      </c>
      <c r="V289" s="4">
        <f t="shared" si="61"/>
        <v>0</v>
      </c>
      <c r="W289" s="19">
        <f t="shared" si="62"/>
        <v>0.79</v>
      </c>
      <c r="X289" s="5">
        <v>0</v>
      </c>
      <c r="Y289" s="28">
        <f t="shared" si="63"/>
        <v>0</v>
      </c>
      <c r="Z289" s="31" t="s">
        <v>172</v>
      </c>
      <c r="AA289" t="str">
        <f t="shared" si="64"/>
        <v>Kassenfehler (Überbestand)</v>
      </c>
    </row>
    <row r="290" spans="1:27" x14ac:dyDescent="0.35">
      <c r="A290" s="32" t="s">
        <v>15</v>
      </c>
      <c r="B290" s="2" t="str">
        <f>VLOOKUP(A290,Stammdaten!$A$3:$B$7,2,FALSE)</f>
        <v>Filiale Süd</v>
      </c>
      <c r="C290" s="3" t="str" cm="1">
        <f t="array" ref="C290">INDEX(Stammdaten!$A$11:$A$25,INT((ROW()-5)/12)+1 - INT((ROW()-5)/180)*15)</f>
        <v>A009</v>
      </c>
      <c r="D290" s="2" t="str">
        <f>VLOOKUP(C290,Stammdaten!$A$11:$B$25,2,FALSE)</f>
        <v>Sahne 200ml</v>
      </c>
      <c r="E290" s="3" t="str">
        <f>VLOOKUP(C290,Stammdaten!$A$11:$C$25,3,FALSE)</f>
        <v>Sahne</v>
      </c>
      <c r="F290" s="19">
        <f>VLOOKUP(C290,Stammdaten!$A$11:$D$25,4,FALSE)</f>
        <v>0.79</v>
      </c>
      <c r="G290" s="4">
        <f t="shared" si="52"/>
        <v>10</v>
      </c>
      <c r="H290" s="20" t="str">
        <f>VLOOKUP(G290,Stammdaten!$A$30:$B$41,2,FALSE)</f>
        <v>Oktober</v>
      </c>
      <c r="I290" s="4">
        <v>160</v>
      </c>
      <c r="J290" s="4">
        <v>162</v>
      </c>
      <c r="K290" s="4">
        <f t="shared" si="53"/>
        <v>2</v>
      </c>
      <c r="L290" s="27">
        <f t="shared" si="54"/>
        <v>1.25</v>
      </c>
      <c r="M290" s="52" t="str">
        <f t="shared" si="55"/>
        <v>Überbestand</v>
      </c>
      <c r="N290" s="28">
        <f t="shared" si="56"/>
        <v>1.58</v>
      </c>
      <c r="O290" s="5">
        <v>6</v>
      </c>
      <c r="P290" s="4">
        <v>3</v>
      </c>
      <c r="Q290" s="28">
        <f t="shared" si="57"/>
        <v>0</v>
      </c>
      <c r="R290" s="50">
        <f t="shared" si="58"/>
        <v>0</v>
      </c>
      <c r="S290" s="2" t="str">
        <f t="shared" si="59"/>
        <v>Normal</v>
      </c>
      <c r="T290" s="4">
        <v>2</v>
      </c>
      <c r="U290" s="4" t="str">
        <f t="shared" si="60"/>
        <v>Nein</v>
      </c>
      <c r="V290" s="4">
        <f t="shared" si="61"/>
        <v>0</v>
      </c>
      <c r="W290" s="19">
        <f t="shared" si="62"/>
        <v>0.79</v>
      </c>
      <c r="X290" s="5">
        <v>0</v>
      </c>
      <c r="Y290" s="28">
        <f t="shared" si="63"/>
        <v>0</v>
      </c>
      <c r="Z290" s="31" t="s">
        <v>172</v>
      </c>
      <c r="AA290" t="str">
        <f t="shared" si="64"/>
        <v>Kassenfehler (Überbestand)</v>
      </c>
    </row>
    <row r="291" spans="1:27" x14ac:dyDescent="0.35">
      <c r="A291" s="32" t="s">
        <v>15</v>
      </c>
      <c r="B291" s="2" t="str">
        <f>VLOOKUP(A291,Stammdaten!$A$3:$B$7,2,FALSE)</f>
        <v>Filiale Süd</v>
      </c>
      <c r="C291" s="3" t="str" cm="1">
        <f t="array" ref="C291">INDEX(Stammdaten!$A$11:$A$25,INT((ROW()-5)/12)+1 - INT((ROW()-5)/180)*15)</f>
        <v>A009</v>
      </c>
      <c r="D291" s="2" t="str">
        <f>VLOOKUP(C291,Stammdaten!$A$11:$B$25,2,FALSE)</f>
        <v>Sahne 200ml</v>
      </c>
      <c r="E291" s="3" t="str">
        <f>VLOOKUP(C291,Stammdaten!$A$11:$C$25,3,FALSE)</f>
        <v>Sahne</v>
      </c>
      <c r="F291" s="19">
        <f>VLOOKUP(C291,Stammdaten!$A$11:$D$25,4,FALSE)</f>
        <v>0.79</v>
      </c>
      <c r="G291" s="4">
        <f t="shared" si="52"/>
        <v>11</v>
      </c>
      <c r="H291" s="20" t="str">
        <f>VLOOKUP(G291,Stammdaten!$A$30:$B$41,2,FALSE)</f>
        <v>November</v>
      </c>
      <c r="I291" s="4">
        <v>172</v>
      </c>
      <c r="J291" s="4">
        <v>167</v>
      </c>
      <c r="K291" s="4">
        <f t="shared" si="53"/>
        <v>-5</v>
      </c>
      <c r="L291" s="27">
        <f t="shared" si="54"/>
        <v>-2.9069767441860463</v>
      </c>
      <c r="M291" s="52" t="str">
        <f t="shared" si="55"/>
        <v>Schwund</v>
      </c>
      <c r="N291" s="28">
        <f t="shared" si="56"/>
        <v>3.95</v>
      </c>
      <c r="O291" s="5">
        <v>4</v>
      </c>
      <c r="P291" s="4">
        <v>4</v>
      </c>
      <c r="Q291" s="28">
        <f t="shared" si="57"/>
        <v>0.98750000000000004</v>
      </c>
      <c r="R291" s="50">
        <f t="shared" si="58"/>
        <v>1.1850000000000001</v>
      </c>
      <c r="S291" s="2" t="str">
        <f t="shared" si="59"/>
        <v>Black Friday</v>
      </c>
      <c r="T291" s="4">
        <v>0</v>
      </c>
      <c r="U291" s="4" t="str">
        <f t="shared" si="60"/>
        <v>Nein</v>
      </c>
      <c r="V291" s="4">
        <f t="shared" si="61"/>
        <v>0</v>
      </c>
      <c r="W291" s="19">
        <f t="shared" si="62"/>
        <v>0.79</v>
      </c>
      <c r="X291" s="5">
        <v>0</v>
      </c>
      <c r="Y291" s="28">
        <f t="shared" si="63"/>
        <v>0</v>
      </c>
      <c r="Z291" s="31" t="s">
        <v>172</v>
      </c>
      <c r="AA291" t="str">
        <f t="shared" si="64"/>
        <v>Prozessfehler</v>
      </c>
    </row>
    <row r="292" spans="1:27" x14ac:dyDescent="0.35">
      <c r="A292" s="32" t="s">
        <v>15</v>
      </c>
      <c r="B292" s="2" t="str">
        <f>VLOOKUP(A292,Stammdaten!$A$3:$B$7,2,FALSE)</f>
        <v>Filiale Süd</v>
      </c>
      <c r="C292" s="3" t="str" cm="1">
        <f t="array" ref="C292">INDEX(Stammdaten!$A$11:$A$25,INT((ROW()-5)/12)+1 - INT((ROW()-5)/180)*15)</f>
        <v>A009</v>
      </c>
      <c r="D292" s="2" t="str">
        <f>VLOOKUP(C292,Stammdaten!$A$11:$B$25,2,FALSE)</f>
        <v>Sahne 200ml</v>
      </c>
      <c r="E292" s="3" t="str">
        <f>VLOOKUP(C292,Stammdaten!$A$11:$C$25,3,FALSE)</f>
        <v>Sahne</v>
      </c>
      <c r="F292" s="19">
        <f>VLOOKUP(C292,Stammdaten!$A$11:$D$25,4,FALSE)</f>
        <v>0.79</v>
      </c>
      <c r="G292" s="4">
        <f t="shared" si="52"/>
        <v>12</v>
      </c>
      <c r="H292" s="20" t="str">
        <f>VLOOKUP(G292,Stammdaten!$A$30:$B$41,2,FALSE)</f>
        <v>Dezember</v>
      </c>
      <c r="I292" s="4">
        <v>213</v>
      </c>
      <c r="J292" s="4">
        <v>213</v>
      </c>
      <c r="K292" s="4">
        <f t="shared" si="53"/>
        <v>0</v>
      </c>
      <c r="L292" s="27">
        <f t="shared" si="54"/>
        <v>0</v>
      </c>
      <c r="M292" s="52" t="str">
        <f t="shared" si="55"/>
        <v>Perfekt</v>
      </c>
      <c r="N292" s="28">
        <f t="shared" si="56"/>
        <v>0</v>
      </c>
      <c r="O292" s="5">
        <v>3</v>
      </c>
      <c r="P292" s="4">
        <v>2</v>
      </c>
      <c r="Q292" s="28">
        <f t="shared" si="57"/>
        <v>0</v>
      </c>
      <c r="R292" s="50">
        <f t="shared" si="58"/>
        <v>0</v>
      </c>
      <c r="S292" s="2" t="str">
        <f t="shared" si="59"/>
        <v>Weihnachten/Silvester</v>
      </c>
      <c r="T292" s="4">
        <v>0</v>
      </c>
      <c r="U292" s="4" t="str">
        <f t="shared" si="60"/>
        <v>Ja - 20% Reduzierung</v>
      </c>
      <c r="V292" s="4">
        <f t="shared" si="61"/>
        <v>20</v>
      </c>
      <c r="W292" s="19">
        <f t="shared" si="62"/>
        <v>0.63</v>
      </c>
      <c r="X292" s="5">
        <v>21</v>
      </c>
      <c r="Y292" s="28">
        <f t="shared" si="63"/>
        <v>3.32</v>
      </c>
      <c r="Z292" s="31" t="s">
        <v>226</v>
      </c>
      <c r="AA292" t="str">
        <f t="shared" si="64"/>
        <v>MHD - Prozessfehler</v>
      </c>
    </row>
    <row r="293" spans="1:27" x14ac:dyDescent="0.35">
      <c r="A293" s="32" t="s">
        <v>15</v>
      </c>
      <c r="B293" s="2" t="str">
        <f>VLOOKUP(A293,Stammdaten!$A$3:$B$7,2,FALSE)</f>
        <v>Filiale Süd</v>
      </c>
      <c r="C293" s="3" t="str" cm="1">
        <f t="array" ref="C293">INDEX(Stammdaten!$A$11:$A$25,INT((ROW()-5)/12)+1 - INT((ROW()-5)/180)*15)</f>
        <v>A010</v>
      </c>
      <c r="D293" s="2" t="str">
        <f>VLOOKUP(C293,Stammdaten!$A$11:$B$25,2,FALSE)</f>
        <v>Schmand 200g</v>
      </c>
      <c r="E293" s="3" t="str">
        <f>VLOOKUP(C293,Stammdaten!$A$11:$C$25,3,FALSE)</f>
        <v>Sahne</v>
      </c>
      <c r="F293" s="19">
        <f>VLOOKUP(C293,Stammdaten!$A$11:$D$25,4,FALSE)</f>
        <v>0.89</v>
      </c>
      <c r="G293" s="4">
        <f t="shared" si="52"/>
        <v>1</v>
      </c>
      <c r="H293" s="20" t="str">
        <f>VLOOKUP(G293,Stammdaten!$A$30:$B$41,2,FALSE)</f>
        <v>Januar</v>
      </c>
      <c r="I293" s="4">
        <v>135</v>
      </c>
      <c r="J293" s="4">
        <v>134</v>
      </c>
      <c r="K293" s="4">
        <f t="shared" si="53"/>
        <v>-1</v>
      </c>
      <c r="L293" s="27">
        <f t="shared" si="54"/>
        <v>-0.74074074074074081</v>
      </c>
      <c r="M293" s="52" t="str">
        <f t="shared" si="55"/>
        <v>Schwund</v>
      </c>
      <c r="N293" s="28">
        <f t="shared" si="56"/>
        <v>0.89</v>
      </c>
      <c r="O293" s="5">
        <v>13</v>
      </c>
      <c r="P293" s="4">
        <v>0</v>
      </c>
      <c r="Q293" s="28">
        <f t="shared" si="57"/>
        <v>0.2225</v>
      </c>
      <c r="R293" s="50">
        <f t="shared" si="58"/>
        <v>0.26700000000000002</v>
      </c>
      <c r="S293" s="2" t="str">
        <f t="shared" si="59"/>
        <v>Normal</v>
      </c>
      <c r="T293" s="4">
        <v>0</v>
      </c>
      <c r="U293" s="4" t="str">
        <f t="shared" si="60"/>
        <v>Nein</v>
      </c>
      <c r="V293" s="4">
        <f t="shared" si="61"/>
        <v>0</v>
      </c>
      <c r="W293" s="19">
        <f t="shared" si="62"/>
        <v>0.89</v>
      </c>
      <c r="X293" s="5">
        <v>0</v>
      </c>
      <c r="Y293" s="28">
        <f t="shared" si="63"/>
        <v>0</v>
      </c>
      <c r="Z293" s="31" t="s">
        <v>172</v>
      </c>
      <c r="AA293" t="str">
        <f t="shared" si="64"/>
        <v>Normal/Gering</v>
      </c>
    </row>
    <row r="294" spans="1:27" x14ac:dyDescent="0.35">
      <c r="A294" s="32" t="s">
        <v>15</v>
      </c>
      <c r="B294" s="2" t="str">
        <f>VLOOKUP(A294,Stammdaten!$A$3:$B$7,2,FALSE)</f>
        <v>Filiale Süd</v>
      </c>
      <c r="C294" s="3" t="str" cm="1">
        <f t="array" ref="C294">INDEX(Stammdaten!$A$11:$A$25,INT((ROW()-5)/12)+1 - INT((ROW()-5)/180)*15)</f>
        <v>A010</v>
      </c>
      <c r="D294" s="2" t="str">
        <f>VLOOKUP(C294,Stammdaten!$A$11:$B$25,2,FALSE)</f>
        <v>Schmand 200g</v>
      </c>
      <c r="E294" s="3" t="str">
        <f>VLOOKUP(C294,Stammdaten!$A$11:$C$25,3,FALSE)</f>
        <v>Sahne</v>
      </c>
      <c r="F294" s="19">
        <f>VLOOKUP(C294,Stammdaten!$A$11:$D$25,4,FALSE)</f>
        <v>0.89</v>
      </c>
      <c r="G294" s="4">
        <f t="shared" si="52"/>
        <v>2</v>
      </c>
      <c r="H294" s="20" t="str">
        <f>VLOOKUP(G294,Stammdaten!$A$30:$B$41,2,FALSE)</f>
        <v>Februar</v>
      </c>
      <c r="I294" s="4">
        <v>127</v>
      </c>
      <c r="J294" s="4">
        <v>126</v>
      </c>
      <c r="K294" s="4">
        <f t="shared" si="53"/>
        <v>-1</v>
      </c>
      <c r="L294" s="27">
        <f t="shared" si="54"/>
        <v>-0.78740157480314954</v>
      </c>
      <c r="M294" s="52" t="str">
        <f t="shared" si="55"/>
        <v>Schwund</v>
      </c>
      <c r="N294" s="28">
        <f t="shared" si="56"/>
        <v>0.89</v>
      </c>
      <c r="O294" s="5">
        <v>5</v>
      </c>
      <c r="P294" s="4">
        <v>1</v>
      </c>
      <c r="Q294" s="28">
        <f t="shared" si="57"/>
        <v>0.2225</v>
      </c>
      <c r="R294" s="50">
        <f t="shared" si="58"/>
        <v>0.26700000000000002</v>
      </c>
      <c r="S294" s="2" t="str">
        <f t="shared" si="59"/>
        <v>Karneval</v>
      </c>
      <c r="T294" s="4">
        <v>0</v>
      </c>
      <c r="U294" s="4" t="str">
        <f t="shared" si="60"/>
        <v>Nein</v>
      </c>
      <c r="V294" s="4">
        <f t="shared" si="61"/>
        <v>0</v>
      </c>
      <c r="W294" s="19">
        <f t="shared" si="62"/>
        <v>0.89</v>
      </c>
      <c r="X294" s="5">
        <v>0</v>
      </c>
      <c r="Y294" s="28">
        <f t="shared" si="63"/>
        <v>0</v>
      </c>
      <c r="Z294" s="31" t="s">
        <v>172</v>
      </c>
      <c r="AA294" t="str">
        <f t="shared" si="64"/>
        <v>Normal/Gering</v>
      </c>
    </row>
    <row r="295" spans="1:27" x14ac:dyDescent="0.35">
      <c r="A295" s="32" t="s">
        <v>15</v>
      </c>
      <c r="B295" s="2" t="str">
        <f>VLOOKUP(A295,Stammdaten!$A$3:$B$7,2,FALSE)</f>
        <v>Filiale Süd</v>
      </c>
      <c r="C295" s="3" t="str" cm="1">
        <f t="array" ref="C295">INDEX(Stammdaten!$A$11:$A$25,INT((ROW()-5)/12)+1 - INT((ROW()-5)/180)*15)</f>
        <v>A010</v>
      </c>
      <c r="D295" s="2" t="str">
        <f>VLOOKUP(C295,Stammdaten!$A$11:$B$25,2,FALSE)</f>
        <v>Schmand 200g</v>
      </c>
      <c r="E295" s="3" t="str">
        <f>VLOOKUP(C295,Stammdaten!$A$11:$C$25,3,FALSE)</f>
        <v>Sahne</v>
      </c>
      <c r="F295" s="19">
        <f>VLOOKUP(C295,Stammdaten!$A$11:$D$25,4,FALSE)</f>
        <v>0.89</v>
      </c>
      <c r="G295" s="4">
        <f t="shared" si="52"/>
        <v>3</v>
      </c>
      <c r="H295" s="20" t="str">
        <f>VLOOKUP(G295,Stammdaten!$A$30:$B$41,2,FALSE)</f>
        <v>März</v>
      </c>
      <c r="I295" s="4">
        <v>145</v>
      </c>
      <c r="J295" s="4">
        <v>142</v>
      </c>
      <c r="K295" s="4">
        <f t="shared" si="53"/>
        <v>-3</v>
      </c>
      <c r="L295" s="27">
        <f t="shared" si="54"/>
        <v>-2.0689655172413794</v>
      </c>
      <c r="M295" s="52" t="str">
        <f t="shared" si="55"/>
        <v>Schwund</v>
      </c>
      <c r="N295" s="28">
        <f t="shared" si="56"/>
        <v>2.67</v>
      </c>
      <c r="O295" s="5">
        <v>7</v>
      </c>
      <c r="P295" s="4">
        <v>3</v>
      </c>
      <c r="Q295" s="28">
        <f t="shared" si="57"/>
        <v>0.66749999999999998</v>
      </c>
      <c r="R295" s="50">
        <f t="shared" si="58"/>
        <v>0.80099999999999993</v>
      </c>
      <c r="S295" s="2" t="str">
        <f t="shared" si="59"/>
        <v>Normal</v>
      </c>
      <c r="T295" s="4">
        <v>0</v>
      </c>
      <c r="U295" s="4" t="str">
        <f t="shared" si="60"/>
        <v>Nein</v>
      </c>
      <c r="V295" s="4">
        <f t="shared" si="61"/>
        <v>0</v>
      </c>
      <c r="W295" s="19">
        <f t="shared" si="62"/>
        <v>0.89</v>
      </c>
      <c r="X295" s="5">
        <v>0</v>
      </c>
      <c r="Y295" s="28">
        <f t="shared" si="63"/>
        <v>0</v>
      </c>
      <c r="Z295" s="31" t="s">
        <v>172</v>
      </c>
      <c r="AA295" t="str">
        <f t="shared" si="64"/>
        <v>Prozessfehler</v>
      </c>
    </row>
    <row r="296" spans="1:27" x14ac:dyDescent="0.35">
      <c r="A296" s="32" t="s">
        <v>15</v>
      </c>
      <c r="B296" s="2" t="str">
        <f>VLOOKUP(A296,Stammdaten!$A$3:$B$7,2,FALSE)</f>
        <v>Filiale Süd</v>
      </c>
      <c r="C296" s="3" t="str" cm="1">
        <f t="array" ref="C296">INDEX(Stammdaten!$A$11:$A$25,INT((ROW()-5)/12)+1 - INT((ROW()-5)/180)*15)</f>
        <v>A010</v>
      </c>
      <c r="D296" s="2" t="str">
        <f>VLOOKUP(C296,Stammdaten!$A$11:$B$25,2,FALSE)</f>
        <v>Schmand 200g</v>
      </c>
      <c r="E296" s="3" t="str">
        <f>VLOOKUP(C296,Stammdaten!$A$11:$C$25,3,FALSE)</f>
        <v>Sahne</v>
      </c>
      <c r="F296" s="19">
        <f>VLOOKUP(C296,Stammdaten!$A$11:$D$25,4,FALSE)</f>
        <v>0.89</v>
      </c>
      <c r="G296" s="4">
        <f t="shared" si="52"/>
        <v>4</v>
      </c>
      <c r="H296" s="20" t="str">
        <f>VLOOKUP(G296,Stammdaten!$A$30:$B$41,2,FALSE)</f>
        <v>April</v>
      </c>
      <c r="I296" s="4">
        <v>173</v>
      </c>
      <c r="J296" s="4">
        <v>169</v>
      </c>
      <c r="K296" s="4">
        <f t="shared" si="53"/>
        <v>-4</v>
      </c>
      <c r="L296" s="27">
        <f t="shared" si="54"/>
        <v>-2.3121387283236992</v>
      </c>
      <c r="M296" s="52" t="str">
        <f t="shared" si="55"/>
        <v>Schwund</v>
      </c>
      <c r="N296" s="28">
        <f t="shared" si="56"/>
        <v>3.56</v>
      </c>
      <c r="O296" s="5">
        <v>3</v>
      </c>
      <c r="P296" s="4">
        <v>0</v>
      </c>
      <c r="Q296" s="28">
        <f t="shared" si="57"/>
        <v>0.89</v>
      </c>
      <c r="R296" s="50">
        <f t="shared" si="58"/>
        <v>1.0680000000000001</v>
      </c>
      <c r="S296" s="2" t="str">
        <f t="shared" si="59"/>
        <v>Ostern</v>
      </c>
      <c r="T296" s="4">
        <v>0</v>
      </c>
      <c r="U296" s="4" t="str">
        <f t="shared" si="60"/>
        <v>Ja - 20% Reduzierung</v>
      </c>
      <c r="V296" s="4">
        <f t="shared" si="61"/>
        <v>20</v>
      </c>
      <c r="W296" s="19">
        <f t="shared" si="62"/>
        <v>0.71</v>
      </c>
      <c r="X296" s="5">
        <v>17</v>
      </c>
      <c r="Y296" s="28">
        <f t="shared" si="63"/>
        <v>3.03</v>
      </c>
      <c r="Z296" s="31" t="s">
        <v>173</v>
      </c>
      <c r="AA296" t="str">
        <f t="shared" si="64"/>
        <v>Buchungsfehler Wareneingang</v>
      </c>
    </row>
    <row r="297" spans="1:27" x14ac:dyDescent="0.35">
      <c r="A297" s="32" t="s">
        <v>15</v>
      </c>
      <c r="B297" s="2" t="str">
        <f>VLOOKUP(A297,Stammdaten!$A$3:$B$7,2,FALSE)</f>
        <v>Filiale Süd</v>
      </c>
      <c r="C297" s="3" t="str" cm="1">
        <f t="array" ref="C297">INDEX(Stammdaten!$A$11:$A$25,INT((ROW()-5)/12)+1 - INT((ROW()-5)/180)*15)</f>
        <v>A010</v>
      </c>
      <c r="D297" s="2" t="str">
        <f>VLOOKUP(C297,Stammdaten!$A$11:$B$25,2,FALSE)</f>
        <v>Schmand 200g</v>
      </c>
      <c r="E297" s="3" t="str">
        <f>VLOOKUP(C297,Stammdaten!$A$11:$C$25,3,FALSE)</f>
        <v>Sahne</v>
      </c>
      <c r="F297" s="19">
        <f>VLOOKUP(C297,Stammdaten!$A$11:$D$25,4,FALSE)</f>
        <v>0.89</v>
      </c>
      <c r="G297" s="4">
        <f t="shared" si="52"/>
        <v>5</v>
      </c>
      <c r="H297" s="20" t="str">
        <f>VLOOKUP(G297,Stammdaten!$A$30:$B$41,2,FALSE)</f>
        <v>Mai</v>
      </c>
      <c r="I297" s="4">
        <v>151</v>
      </c>
      <c r="J297" s="4">
        <v>149</v>
      </c>
      <c r="K297" s="4">
        <f t="shared" si="53"/>
        <v>-2</v>
      </c>
      <c r="L297" s="27">
        <f t="shared" si="54"/>
        <v>-1.3245033112582782</v>
      </c>
      <c r="M297" s="52" t="str">
        <f t="shared" si="55"/>
        <v>Schwund</v>
      </c>
      <c r="N297" s="28">
        <f t="shared" si="56"/>
        <v>1.78</v>
      </c>
      <c r="O297" s="5">
        <v>7</v>
      </c>
      <c r="P297" s="4">
        <v>5</v>
      </c>
      <c r="Q297" s="28">
        <f t="shared" si="57"/>
        <v>0.44500000000000001</v>
      </c>
      <c r="R297" s="50">
        <f t="shared" si="58"/>
        <v>0.53400000000000003</v>
      </c>
      <c r="S297" s="2" t="str">
        <f t="shared" si="59"/>
        <v>Normal</v>
      </c>
      <c r="T297" s="4">
        <v>0</v>
      </c>
      <c r="U297" s="4" t="str">
        <f t="shared" si="60"/>
        <v>Nein</v>
      </c>
      <c r="V297" s="4">
        <f t="shared" si="61"/>
        <v>0</v>
      </c>
      <c r="W297" s="19">
        <f t="shared" si="62"/>
        <v>0.89</v>
      </c>
      <c r="X297" s="5">
        <v>0</v>
      </c>
      <c r="Y297" s="28">
        <f t="shared" si="63"/>
        <v>0</v>
      </c>
      <c r="Z297" s="31" t="s">
        <v>172</v>
      </c>
      <c r="AA297" t="str">
        <f t="shared" si="64"/>
        <v>Normal/Gering</v>
      </c>
    </row>
    <row r="298" spans="1:27" x14ac:dyDescent="0.35">
      <c r="A298" s="32" t="s">
        <v>15</v>
      </c>
      <c r="B298" s="2" t="str">
        <f>VLOOKUP(A298,Stammdaten!$A$3:$B$7,2,FALSE)</f>
        <v>Filiale Süd</v>
      </c>
      <c r="C298" s="3" t="str" cm="1">
        <f t="array" ref="C298">INDEX(Stammdaten!$A$11:$A$25,INT((ROW()-5)/12)+1 - INT((ROW()-5)/180)*15)</f>
        <v>A010</v>
      </c>
      <c r="D298" s="2" t="str">
        <f>VLOOKUP(C298,Stammdaten!$A$11:$B$25,2,FALSE)</f>
        <v>Schmand 200g</v>
      </c>
      <c r="E298" s="3" t="str">
        <f>VLOOKUP(C298,Stammdaten!$A$11:$C$25,3,FALSE)</f>
        <v>Sahne</v>
      </c>
      <c r="F298" s="19">
        <f>VLOOKUP(C298,Stammdaten!$A$11:$D$25,4,FALSE)</f>
        <v>0.89</v>
      </c>
      <c r="G298" s="4">
        <f t="shared" si="52"/>
        <v>6</v>
      </c>
      <c r="H298" s="20" t="str">
        <f>VLOOKUP(G298,Stammdaten!$A$30:$B$41,2,FALSE)</f>
        <v>Juni</v>
      </c>
      <c r="I298" s="4">
        <v>157</v>
      </c>
      <c r="J298" s="4">
        <v>157</v>
      </c>
      <c r="K298" s="4">
        <f t="shared" si="53"/>
        <v>0</v>
      </c>
      <c r="L298" s="27">
        <f t="shared" si="54"/>
        <v>0</v>
      </c>
      <c r="M298" s="52" t="str">
        <f t="shared" si="55"/>
        <v>Perfekt</v>
      </c>
      <c r="N298" s="28">
        <f t="shared" si="56"/>
        <v>0</v>
      </c>
      <c r="O298" s="5">
        <v>8</v>
      </c>
      <c r="P298" s="4">
        <v>5</v>
      </c>
      <c r="Q298" s="28">
        <f t="shared" si="57"/>
        <v>0</v>
      </c>
      <c r="R298" s="50">
        <f t="shared" si="58"/>
        <v>0</v>
      </c>
      <c r="S298" s="2" t="str">
        <f t="shared" si="59"/>
        <v>Normal</v>
      </c>
      <c r="T298" s="4">
        <v>0</v>
      </c>
      <c r="U298" s="4" t="str">
        <f t="shared" si="60"/>
        <v>Nein</v>
      </c>
      <c r="V298" s="4">
        <f t="shared" si="61"/>
        <v>0</v>
      </c>
      <c r="W298" s="19">
        <f t="shared" si="62"/>
        <v>0.89</v>
      </c>
      <c r="X298" s="5">
        <v>0</v>
      </c>
      <c r="Y298" s="28">
        <f t="shared" si="63"/>
        <v>0</v>
      </c>
      <c r="Z298" s="31" t="s">
        <v>172</v>
      </c>
      <c r="AA298" t="str">
        <f t="shared" si="64"/>
        <v>Normal/Gering</v>
      </c>
    </row>
    <row r="299" spans="1:27" x14ac:dyDescent="0.35">
      <c r="A299" s="32" t="s">
        <v>15</v>
      </c>
      <c r="B299" s="2" t="str">
        <f>VLOOKUP(A299,Stammdaten!$A$3:$B$7,2,FALSE)</f>
        <v>Filiale Süd</v>
      </c>
      <c r="C299" s="3" t="str" cm="1">
        <f t="array" ref="C299">INDEX(Stammdaten!$A$11:$A$25,INT((ROW()-5)/12)+1 - INT((ROW()-5)/180)*15)</f>
        <v>A010</v>
      </c>
      <c r="D299" s="2" t="str">
        <f>VLOOKUP(C299,Stammdaten!$A$11:$B$25,2,FALSE)</f>
        <v>Schmand 200g</v>
      </c>
      <c r="E299" s="3" t="str">
        <f>VLOOKUP(C299,Stammdaten!$A$11:$C$25,3,FALSE)</f>
        <v>Sahne</v>
      </c>
      <c r="F299" s="19">
        <f>VLOOKUP(C299,Stammdaten!$A$11:$D$25,4,FALSE)</f>
        <v>0.89</v>
      </c>
      <c r="G299" s="4">
        <f t="shared" si="52"/>
        <v>7</v>
      </c>
      <c r="H299" s="20" t="str">
        <f>VLOOKUP(G299,Stammdaten!$A$30:$B$41,2,FALSE)</f>
        <v>Juli</v>
      </c>
      <c r="I299" s="4">
        <v>168</v>
      </c>
      <c r="J299" s="4">
        <v>164</v>
      </c>
      <c r="K299" s="4">
        <f t="shared" si="53"/>
        <v>-4</v>
      </c>
      <c r="L299" s="27">
        <f t="shared" si="54"/>
        <v>-2.3809523809523809</v>
      </c>
      <c r="M299" s="52" t="str">
        <f t="shared" si="55"/>
        <v>Schwund</v>
      </c>
      <c r="N299" s="28">
        <f t="shared" si="56"/>
        <v>3.56</v>
      </c>
      <c r="O299" s="5">
        <v>13</v>
      </c>
      <c r="P299" s="4">
        <v>5</v>
      </c>
      <c r="Q299" s="28">
        <f t="shared" si="57"/>
        <v>0.89</v>
      </c>
      <c r="R299" s="50">
        <f t="shared" si="58"/>
        <v>1.0680000000000001</v>
      </c>
      <c r="S299" s="2" t="str">
        <f t="shared" si="59"/>
        <v>Normal</v>
      </c>
      <c r="T299" s="4">
        <v>0</v>
      </c>
      <c r="U299" s="4" t="str">
        <f t="shared" si="60"/>
        <v>Nein</v>
      </c>
      <c r="V299" s="4">
        <f t="shared" si="61"/>
        <v>0</v>
      </c>
      <c r="W299" s="19">
        <f t="shared" si="62"/>
        <v>0.89</v>
      </c>
      <c r="X299" s="5">
        <v>0</v>
      </c>
      <c r="Y299" s="28">
        <f t="shared" si="63"/>
        <v>0</v>
      </c>
      <c r="Z299" s="31" t="s">
        <v>172</v>
      </c>
      <c r="AA299" t="str">
        <f t="shared" si="64"/>
        <v>Prozessfehler</v>
      </c>
    </row>
    <row r="300" spans="1:27" x14ac:dyDescent="0.35">
      <c r="A300" s="32" t="s">
        <v>15</v>
      </c>
      <c r="B300" s="2" t="str">
        <f>VLOOKUP(A300,Stammdaten!$A$3:$B$7,2,FALSE)</f>
        <v>Filiale Süd</v>
      </c>
      <c r="C300" s="3" t="str" cm="1">
        <f t="array" ref="C300">INDEX(Stammdaten!$A$11:$A$25,INT((ROW()-5)/12)+1 - INT((ROW()-5)/180)*15)</f>
        <v>A010</v>
      </c>
      <c r="D300" s="2" t="str">
        <f>VLOOKUP(C300,Stammdaten!$A$11:$B$25,2,FALSE)</f>
        <v>Schmand 200g</v>
      </c>
      <c r="E300" s="3" t="str">
        <f>VLOOKUP(C300,Stammdaten!$A$11:$C$25,3,FALSE)</f>
        <v>Sahne</v>
      </c>
      <c r="F300" s="19">
        <f>VLOOKUP(C300,Stammdaten!$A$11:$D$25,4,FALSE)</f>
        <v>0.89</v>
      </c>
      <c r="G300" s="4">
        <f t="shared" si="52"/>
        <v>8</v>
      </c>
      <c r="H300" s="20" t="str">
        <f>VLOOKUP(G300,Stammdaten!$A$30:$B$41,2,FALSE)</f>
        <v>August</v>
      </c>
      <c r="I300" s="4">
        <v>171</v>
      </c>
      <c r="J300" s="4">
        <v>176</v>
      </c>
      <c r="K300" s="4">
        <f t="shared" si="53"/>
        <v>5</v>
      </c>
      <c r="L300" s="27">
        <f t="shared" si="54"/>
        <v>2.9239766081871341</v>
      </c>
      <c r="M300" s="52" t="str">
        <f t="shared" si="55"/>
        <v>Überbestand</v>
      </c>
      <c r="N300" s="28">
        <f t="shared" si="56"/>
        <v>4.45</v>
      </c>
      <c r="O300" s="5">
        <v>7</v>
      </c>
      <c r="P300" s="4">
        <v>3</v>
      </c>
      <c r="Q300" s="28">
        <f t="shared" si="57"/>
        <v>0</v>
      </c>
      <c r="R300" s="50">
        <f t="shared" si="58"/>
        <v>0</v>
      </c>
      <c r="S300" s="2" t="str">
        <f t="shared" si="59"/>
        <v>Normal</v>
      </c>
      <c r="T300" s="4">
        <v>5</v>
      </c>
      <c r="U300" s="4" t="str">
        <f t="shared" si="60"/>
        <v>Nein</v>
      </c>
      <c r="V300" s="4">
        <f t="shared" si="61"/>
        <v>0</v>
      </c>
      <c r="W300" s="19">
        <f t="shared" si="62"/>
        <v>0.89</v>
      </c>
      <c r="X300" s="5">
        <v>0</v>
      </c>
      <c r="Y300" s="28">
        <f t="shared" si="63"/>
        <v>0</v>
      </c>
      <c r="Z300" s="31" t="s">
        <v>172</v>
      </c>
      <c r="AA300" t="str">
        <f t="shared" si="64"/>
        <v>Kassenfehler (Überbestand)</v>
      </c>
    </row>
    <row r="301" spans="1:27" x14ac:dyDescent="0.35">
      <c r="A301" s="32" t="s">
        <v>15</v>
      </c>
      <c r="B301" s="2" t="str">
        <f>VLOOKUP(A301,Stammdaten!$A$3:$B$7,2,FALSE)</f>
        <v>Filiale Süd</v>
      </c>
      <c r="C301" s="3" t="str" cm="1">
        <f t="array" ref="C301">INDEX(Stammdaten!$A$11:$A$25,INT((ROW()-5)/12)+1 - INT((ROW()-5)/180)*15)</f>
        <v>A010</v>
      </c>
      <c r="D301" s="2" t="str">
        <f>VLOOKUP(C301,Stammdaten!$A$11:$B$25,2,FALSE)</f>
        <v>Schmand 200g</v>
      </c>
      <c r="E301" s="3" t="str">
        <f>VLOOKUP(C301,Stammdaten!$A$11:$C$25,3,FALSE)</f>
        <v>Sahne</v>
      </c>
      <c r="F301" s="19">
        <f>VLOOKUP(C301,Stammdaten!$A$11:$D$25,4,FALSE)</f>
        <v>0.89</v>
      </c>
      <c r="G301" s="4">
        <f t="shared" si="52"/>
        <v>9</v>
      </c>
      <c r="H301" s="20" t="str">
        <f>VLOOKUP(G301,Stammdaten!$A$30:$B$41,2,FALSE)</f>
        <v>September</v>
      </c>
      <c r="I301" s="4">
        <v>140</v>
      </c>
      <c r="J301" s="4">
        <v>138</v>
      </c>
      <c r="K301" s="4">
        <f t="shared" si="53"/>
        <v>-2</v>
      </c>
      <c r="L301" s="27">
        <f t="shared" si="54"/>
        <v>-1.4285714285714286</v>
      </c>
      <c r="M301" s="52" t="str">
        <f t="shared" si="55"/>
        <v>Schwund</v>
      </c>
      <c r="N301" s="28">
        <f t="shared" si="56"/>
        <v>1.78</v>
      </c>
      <c r="O301" s="5">
        <v>5</v>
      </c>
      <c r="P301" s="4">
        <v>1</v>
      </c>
      <c r="Q301" s="28">
        <f t="shared" si="57"/>
        <v>0.44500000000000001</v>
      </c>
      <c r="R301" s="50">
        <f t="shared" si="58"/>
        <v>0.53400000000000003</v>
      </c>
      <c r="S301" s="2" t="str">
        <f t="shared" si="59"/>
        <v>Normal</v>
      </c>
      <c r="T301" s="4">
        <v>0</v>
      </c>
      <c r="U301" s="4" t="str">
        <f t="shared" si="60"/>
        <v>Nein</v>
      </c>
      <c r="V301" s="4">
        <f t="shared" si="61"/>
        <v>0</v>
      </c>
      <c r="W301" s="19">
        <f t="shared" si="62"/>
        <v>0.89</v>
      </c>
      <c r="X301" s="5">
        <v>0</v>
      </c>
      <c r="Y301" s="28">
        <f t="shared" si="63"/>
        <v>0</v>
      </c>
      <c r="Z301" s="31" t="s">
        <v>172</v>
      </c>
      <c r="AA301" t="str">
        <f t="shared" si="64"/>
        <v>Normal/Gering</v>
      </c>
    </row>
    <row r="302" spans="1:27" x14ac:dyDescent="0.35">
      <c r="A302" s="32" t="s">
        <v>15</v>
      </c>
      <c r="B302" s="2" t="str">
        <f>VLOOKUP(A302,Stammdaten!$A$3:$B$7,2,FALSE)</f>
        <v>Filiale Süd</v>
      </c>
      <c r="C302" s="3" t="str" cm="1">
        <f t="array" ref="C302">INDEX(Stammdaten!$A$11:$A$25,INT((ROW()-5)/12)+1 - INT((ROW()-5)/180)*15)</f>
        <v>A010</v>
      </c>
      <c r="D302" s="2" t="str">
        <f>VLOOKUP(C302,Stammdaten!$A$11:$B$25,2,FALSE)</f>
        <v>Schmand 200g</v>
      </c>
      <c r="E302" s="3" t="str">
        <f>VLOOKUP(C302,Stammdaten!$A$11:$C$25,3,FALSE)</f>
        <v>Sahne</v>
      </c>
      <c r="F302" s="19">
        <f>VLOOKUP(C302,Stammdaten!$A$11:$D$25,4,FALSE)</f>
        <v>0.89</v>
      </c>
      <c r="G302" s="4">
        <f t="shared" si="52"/>
        <v>10</v>
      </c>
      <c r="H302" s="20" t="str">
        <f>VLOOKUP(G302,Stammdaten!$A$30:$B$41,2,FALSE)</f>
        <v>Oktober</v>
      </c>
      <c r="I302" s="4">
        <v>151</v>
      </c>
      <c r="J302" s="4">
        <v>149</v>
      </c>
      <c r="K302" s="4">
        <f t="shared" si="53"/>
        <v>-2</v>
      </c>
      <c r="L302" s="27">
        <f t="shared" si="54"/>
        <v>-1.3245033112582782</v>
      </c>
      <c r="M302" s="52" t="str">
        <f t="shared" si="55"/>
        <v>Schwund</v>
      </c>
      <c r="N302" s="28">
        <f t="shared" si="56"/>
        <v>1.78</v>
      </c>
      <c r="O302" s="5">
        <v>3</v>
      </c>
      <c r="P302" s="4">
        <v>4</v>
      </c>
      <c r="Q302" s="28">
        <f t="shared" si="57"/>
        <v>0.44500000000000001</v>
      </c>
      <c r="R302" s="50">
        <f t="shared" si="58"/>
        <v>0.53400000000000003</v>
      </c>
      <c r="S302" s="2" t="str">
        <f t="shared" si="59"/>
        <v>Normal</v>
      </c>
      <c r="T302" s="4">
        <v>0</v>
      </c>
      <c r="U302" s="4" t="str">
        <f t="shared" si="60"/>
        <v>Ja - 20% Reduzierung</v>
      </c>
      <c r="V302" s="4">
        <f t="shared" si="61"/>
        <v>20</v>
      </c>
      <c r="W302" s="19">
        <f t="shared" si="62"/>
        <v>0.71</v>
      </c>
      <c r="X302" s="5">
        <v>21</v>
      </c>
      <c r="Y302" s="28">
        <f t="shared" si="63"/>
        <v>3.74</v>
      </c>
      <c r="Z302" s="31" t="s">
        <v>227</v>
      </c>
      <c r="AA302" t="str">
        <f t="shared" si="64"/>
        <v>MHD - Prozessfehler</v>
      </c>
    </row>
    <row r="303" spans="1:27" x14ac:dyDescent="0.35">
      <c r="A303" s="32" t="s">
        <v>15</v>
      </c>
      <c r="B303" s="2" t="str">
        <f>VLOOKUP(A303,Stammdaten!$A$3:$B$7,2,FALSE)</f>
        <v>Filiale Süd</v>
      </c>
      <c r="C303" s="3" t="str" cm="1">
        <f t="array" ref="C303">INDEX(Stammdaten!$A$11:$A$25,INT((ROW()-5)/12)+1 - INT((ROW()-5)/180)*15)</f>
        <v>A010</v>
      </c>
      <c r="D303" s="2" t="str">
        <f>VLOOKUP(C303,Stammdaten!$A$11:$B$25,2,FALSE)</f>
        <v>Schmand 200g</v>
      </c>
      <c r="E303" s="3" t="str">
        <f>VLOOKUP(C303,Stammdaten!$A$11:$C$25,3,FALSE)</f>
        <v>Sahne</v>
      </c>
      <c r="F303" s="19">
        <f>VLOOKUP(C303,Stammdaten!$A$11:$D$25,4,FALSE)</f>
        <v>0.89</v>
      </c>
      <c r="G303" s="4">
        <f t="shared" si="52"/>
        <v>11</v>
      </c>
      <c r="H303" s="20" t="str">
        <f>VLOOKUP(G303,Stammdaten!$A$30:$B$41,2,FALSE)</f>
        <v>November</v>
      </c>
      <c r="I303" s="4">
        <v>158</v>
      </c>
      <c r="J303" s="4">
        <v>158</v>
      </c>
      <c r="K303" s="4">
        <f t="shared" si="53"/>
        <v>0</v>
      </c>
      <c r="L303" s="27">
        <f t="shared" si="54"/>
        <v>0</v>
      </c>
      <c r="M303" s="52" t="str">
        <f t="shared" si="55"/>
        <v>Perfekt</v>
      </c>
      <c r="N303" s="28">
        <f t="shared" si="56"/>
        <v>0</v>
      </c>
      <c r="O303" s="5">
        <v>5</v>
      </c>
      <c r="P303" s="4">
        <v>5</v>
      </c>
      <c r="Q303" s="28">
        <f t="shared" si="57"/>
        <v>0</v>
      </c>
      <c r="R303" s="50">
        <f t="shared" si="58"/>
        <v>0</v>
      </c>
      <c r="S303" s="2" t="str">
        <f t="shared" si="59"/>
        <v>Black Friday</v>
      </c>
      <c r="T303" s="4">
        <v>0</v>
      </c>
      <c r="U303" s="4" t="str">
        <f t="shared" si="60"/>
        <v>Nein</v>
      </c>
      <c r="V303" s="4">
        <f t="shared" si="61"/>
        <v>0</v>
      </c>
      <c r="W303" s="19">
        <f t="shared" si="62"/>
        <v>0.89</v>
      </c>
      <c r="X303" s="5">
        <v>0</v>
      </c>
      <c r="Y303" s="28">
        <f t="shared" si="63"/>
        <v>0</v>
      </c>
      <c r="Z303" s="31" t="s">
        <v>172</v>
      </c>
      <c r="AA303" t="str">
        <f t="shared" si="64"/>
        <v>Normal/Gering</v>
      </c>
    </row>
    <row r="304" spans="1:27" x14ac:dyDescent="0.35">
      <c r="A304" s="32" t="s">
        <v>15</v>
      </c>
      <c r="B304" s="2" t="str">
        <f>VLOOKUP(A304,Stammdaten!$A$3:$B$7,2,FALSE)</f>
        <v>Filiale Süd</v>
      </c>
      <c r="C304" s="3" t="str" cm="1">
        <f t="array" ref="C304">INDEX(Stammdaten!$A$11:$A$25,INT((ROW()-5)/12)+1 - INT((ROW()-5)/180)*15)</f>
        <v>A010</v>
      </c>
      <c r="D304" s="2" t="str">
        <f>VLOOKUP(C304,Stammdaten!$A$11:$B$25,2,FALSE)</f>
        <v>Schmand 200g</v>
      </c>
      <c r="E304" s="3" t="str">
        <f>VLOOKUP(C304,Stammdaten!$A$11:$C$25,3,FALSE)</f>
        <v>Sahne</v>
      </c>
      <c r="F304" s="19">
        <f>VLOOKUP(C304,Stammdaten!$A$11:$D$25,4,FALSE)</f>
        <v>0.89</v>
      </c>
      <c r="G304" s="4">
        <f t="shared" si="52"/>
        <v>12</v>
      </c>
      <c r="H304" s="20" t="str">
        <f>VLOOKUP(G304,Stammdaten!$A$30:$B$41,2,FALSE)</f>
        <v>Dezember</v>
      </c>
      <c r="I304" s="4">
        <v>208</v>
      </c>
      <c r="J304" s="4">
        <v>205</v>
      </c>
      <c r="K304" s="4">
        <f t="shared" si="53"/>
        <v>-3</v>
      </c>
      <c r="L304" s="27">
        <f t="shared" si="54"/>
        <v>-1.4423076923076923</v>
      </c>
      <c r="M304" s="52" t="str">
        <f t="shared" si="55"/>
        <v>Schwund</v>
      </c>
      <c r="N304" s="28">
        <f t="shared" si="56"/>
        <v>2.67</v>
      </c>
      <c r="O304" s="5">
        <v>1</v>
      </c>
      <c r="P304" s="4">
        <v>4</v>
      </c>
      <c r="Q304" s="28">
        <f t="shared" si="57"/>
        <v>0.66749999999999998</v>
      </c>
      <c r="R304" s="50">
        <f t="shared" si="58"/>
        <v>0.80099999999999993</v>
      </c>
      <c r="S304" s="2" t="str">
        <f t="shared" si="59"/>
        <v>Weihnachten/Silvester</v>
      </c>
      <c r="T304" s="4">
        <v>0</v>
      </c>
      <c r="U304" s="4" t="str">
        <f t="shared" si="60"/>
        <v>Ja - 20% Reduzierung</v>
      </c>
      <c r="V304" s="4">
        <f t="shared" si="61"/>
        <v>20</v>
      </c>
      <c r="W304" s="19">
        <f t="shared" si="62"/>
        <v>0.71</v>
      </c>
      <c r="X304" s="5">
        <v>29</v>
      </c>
      <c r="Y304" s="28">
        <f t="shared" si="63"/>
        <v>5.16</v>
      </c>
      <c r="Z304" s="31" t="s">
        <v>173</v>
      </c>
      <c r="AA304" t="str">
        <f t="shared" si="64"/>
        <v>Normal/Gering</v>
      </c>
    </row>
    <row r="305" spans="1:27" x14ac:dyDescent="0.35">
      <c r="A305" s="32" t="s">
        <v>15</v>
      </c>
      <c r="B305" s="2" t="str">
        <f>VLOOKUP(A305,Stammdaten!$A$3:$B$7,2,FALSE)</f>
        <v>Filiale Süd</v>
      </c>
      <c r="C305" s="3" t="str" cm="1">
        <f t="array" ref="C305">INDEX(Stammdaten!$A$11:$A$25,INT((ROW()-5)/12)+1 - INT((ROW()-5)/180)*15)</f>
        <v>A011</v>
      </c>
      <c r="D305" s="2" t="str">
        <f>VLOOKUP(C305,Stammdaten!$A$11:$B$25,2,FALSE)</f>
        <v>Mozzarella 125g</v>
      </c>
      <c r="E305" s="3" t="str">
        <f>VLOOKUP(C305,Stammdaten!$A$11:$C$25,3,FALSE)</f>
        <v>Käse</v>
      </c>
      <c r="F305" s="19">
        <f>VLOOKUP(C305,Stammdaten!$A$11:$D$25,4,FALSE)</f>
        <v>1.19</v>
      </c>
      <c r="G305" s="4">
        <f t="shared" si="52"/>
        <v>1</v>
      </c>
      <c r="H305" s="20" t="str">
        <f>VLOOKUP(G305,Stammdaten!$A$30:$B$41,2,FALSE)</f>
        <v>Januar</v>
      </c>
      <c r="I305" s="4">
        <v>216</v>
      </c>
      <c r="J305" s="4">
        <v>211</v>
      </c>
      <c r="K305" s="4">
        <f t="shared" si="53"/>
        <v>-5</v>
      </c>
      <c r="L305" s="27">
        <f t="shared" si="54"/>
        <v>-2.3148148148148149</v>
      </c>
      <c r="M305" s="52" t="str">
        <f t="shared" si="55"/>
        <v>Schwund</v>
      </c>
      <c r="N305" s="28">
        <f t="shared" si="56"/>
        <v>5.9499999999999993</v>
      </c>
      <c r="O305" s="5">
        <v>1</v>
      </c>
      <c r="P305" s="4">
        <v>4</v>
      </c>
      <c r="Q305" s="28">
        <f t="shared" si="57"/>
        <v>1.4874999999999998</v>
      </c>
      <c r="R305" s="50">
        <f t="shared" si="58"/>
        <v>1.7849999999999997</v>
      </c>
      <c r="S305" s="2" t="str">
        <f t="shared" si="59"/>
        <v>Normal</v>
      </c>
      <c r="T305" s="4">
        <v>0</v>
      </c>
      <c r="U305" s="4" t="str">
        <f t="shared" si="60"/>
        <v>Ja - 20% Reduzierung</v>
      </c>
      <c r="V305" s="4">
        <f t="shared" si="61"/>
        <v>20</v>
      </c>
      <c r="W305" s="19">
        <f t="shared" si="62"/>
        <v>0.95</v>
      </c>
      <c r="X305" s="5">
        <v>32</v>
      </c>
      <c r="Y305" s="28">
        <f t="shared" si="63"/>
        <v>7.62</v>
      </c>
      <c r="Z305" s="31" t="s">
        <v>173</v>
      </c>
      <c r="AA305" t="str">
        <f t="shared" si="64"/>
        <v>Prozessfehler</v>
      </c>
    </row>
    <row r="306" spans="1:27" x14ac:dyDescent="0.35">
      <c r="A306" s="32" t="s">
        <v>15</v>
      </c>
      <c r="B306" s="2" t="str">
        <f>VLOOKUP(A306,Stammdaten!$A$3:$B$7,2,FALSE)</f>
        <v>Filiale Süd</v>
      </c>
      <c r="C306" s="3" t="str" cm="1">
        <f t="array" ref="C306">INDEX(Stammdaten!$A$11:$A$25,INT((ROW()-5)/12)+1 - INT((ROW()-5)/180)*15)</f>
        <v>A011</v>
      </c>
      <c r="D306" s="2" t="str">
        <f>VLOOKUP(C306,Stammdaten!$A$11:$B$25,2,FALSE)</f>
        <v>Mozzarella 125g</v>
      </c>
      <c r="E306" s="3" t="str">
        <f>VLOOKUP(C306,Stammdaten!$A$11:$C$25,3,FALSE)</f>
        <v>Käse</v>
      </c>
      <c r="F306" s="19">
        <f>VLOOKUP(C306,Stammdaten!$A$11:$D$25,4,FALSE)</f>
        <v>1.19</v>
      </c>
      <c r="G306" s="4">
        <f t="shared" si="52"/>
        <v>2</v>
      </c>
      <c r="H306" s="20" t="str">
        <f>VLOOKUP(G306,Stammdaten!$A$30:$B$41,2,FALSE)</f>
        <v>Februar</v>
      </c>
      <c r="I306" s="4">
        <v>200</v>
      </c>
      <c r="J306" s="4">
        <v>197</v>
      </c>
      <c r="K306" s="4">
        <f t="shared" si="53"/>
        <v>-3</v>
      </c>
      <c r="L306" s="27">
        <f t="shared" si="54"/>
        <v>-1.5</v>
      </c>
      <c r="M306" s="52" t="str">
        <f t="shared" si="55"/>
        <v>Schwund</v>
      </c>
      <c r="N306" s="28">
        <f t="shared" si="56"/>
        <v>3.57</v>
      </c>
      <c r="O306" s="5">
        <v>5</v>
      </c>
      <c r="P306" s="4">
        <v>4</v>
      </c>
      <c r="Q306" s="28">
        <f t="shared" si="57"/>
        <v>0.89249999999999996</v>
      </c>
      <c r="R306" s="50">
        <f t="shared" si="58"/>
        <v>1.071</v>
      </c>
      <c r="S306" s="2" t="str">
        <f t="shared" si="59"/>
        <v>Karneval</v>
      </c>
      <c r="T306" s="4">
        <v>0</v>
      </c>
      <c r="U306" s="4" t="str">
        <f t="shared" si="60"/>
        <v>Nein</v>
      </c>
      <c r="V306" s="4">
        <f t="shared" si="61"/>
        <v>0</v>
      </c>
      <c r="W306" s="19">
        <f t="shared" si="62"/>
        <v>1.19</v>
      </c>
      <c r="X306" s="5">
        <v>0</v>
      </c>
      <c r="Y306" s="28">
        <f t="shared" si="63"/>
        <v>0</v>
      </c>
      <c r="Z306" s="31" t="s">
        <v>172</v>
      </c>
      <c r="AA306" t="str">
        <f t="shared" si="64"/>
        <v>Normal/Gering</v>
      </c>
    </row>
    <row r="307" spans="1:27" x14ac:dyDescent="0.35">
      <c r="A307" s="32" t="s">
        <v>15</v>
      </c>
      <c r="B307" s="2" t="str">
        <f>VLOOKUP(A307,Stammdaten!$A$3:$B$7,2,FALSE)</f>
        <v>Filiale Süd</v>
      </c>
      <c r="C307" s="3" t="str" cm="1">
        <f t="array" ref="C307">INDEX(Stammdaten!$A$11:$A$25,INT((ROW()-5)/12)+1 - INT((ROW()-5)/180)*15)</f>
        <v>A011</v>
      </c>
      <c r="D307" s="2" t="str">
        <f>VLOOKUP(C307,Stammdaten!$A$11:$B$25,2,FALSE)</f>
        <v>Mozzarella 125g</v>
      </c>
      <c r="E307" s="3" t="str">
        <f>VLOOKUP(C307,Stammdaten!$A$11:$C$25,3,FALSE)</f>
        <v>Käse</v>
      </c>
      <c r="F307" s="19">
        <f>VLOOKUP(C307,Stammdaten!$A$11:$D$25,4,FALSE)</f>
        <v>1.19</v>
      </c>
      <c r="G307" s="4">
        <f t="shared" si="52"/>
        <v>3</v>
      </c>
      <c r="H307" s="20" t="str">
        <f>VLOOKUP(G307,Stammdaten!$A$30:$B$41,2,FALSE)</f>
        <v>März</v>
      </c>
      <c r="I307" s="4">
        <v>244</v>
      </c>
      <c r="J307" s="4">
        <v>237</v>
      </c>
      <c r="K307" s="4">
        <f t="shared" si="53"/>
        <v>-7</v>
      </c>
      <c r="L307" s="27">
        <f t="shared" si="54"/>
        <v>-2.8688524590163933</v>
      </c>
      <c r="M307" s="52" t="str">
        <f t="shared" si="55"/>
        <v>Schwund</v>
      </c>
      <c r="N307" s="28">
        <f t="shared" si="56"/>
        <v>8.33</v>
      </c>
      <c r="O307" s="5">
        <v>3</v>
      </c>
      <c r="P307" s="4">
        <v>0</v>
      </c>
      <c r="Q307" s="28">
        <f t="shared" si="57"/>
        <v>2.0825</v>
      </c>
      <c r="R307" s="50">
        <f t="shared" si="58"/>
        <v>2.4990000000000001</v>
      </c>
      <c r="S307" s="2" t="str">
        <f t="shared" si="59"/>
        <v>Normal</v>
      </c>
      <c r="T307" s="4">
        <v>0</v>
      </c>
      <c r="U307" s="4" t="str">
        <f t="shared" si="60"/>
        <v>Ja - 20% Reduzierung</v>
      </c>
      <c r="V307" s="4">
        <f t="shared" si="61"/>
        <v>20</v>
      </c>
      <c r="W307" s="19">
        <f t="shared" si="62"/>
        <v>0.95</v>
      </c>
      <c r="X307" s="5">
        <v>20</v>
      </c>
      <c r="Y307" s="28">
        <f t="shared" si="63"/>
        <v>4.76</v>
      </c>
      <c r="Z307" s="31" t="s">
        <v>173</v>
      </c>
      <c r="AA307" t="str">
        <f t="shared" si="64"/>
        <v>Buchungsfehler Wareneingang</v>
      </c>
    </row>
    <row r="308" spans="1:27" x14ac:dyDescent="0.35">
      <c r="A308" s="32" t="s">
        <v>15</v>
      </c>
      <c r="B308" s="2" t="str">
        <f>VLOOKUP(A308,Stammdaten!$A$3:$B$7,2,FALSE)</f>
        <v>Filiale Süd</v>
      </c>
      <c r="C308" s="3" t="str" cm="1">
        <f t="array" ref="C308">INDEX(Stammdaten!$A$11:$A$25,INT((ROW()-5)/12)+1 - INT((ROW()-5)/180)*15)</f>
        <v>A011</v>
      </c>
      <c r="D308" s="2" t="str">
        <f>VLOOKUP(C308,Stammdaten!$A$11:$B$25,2,FALSE)</f>
        <v>Mozzarella 125g</v>
      </c>
      <c r="E308" s="3" t="str">
        <f>VLOOKUP(C308,Stammdaten!$A$11:$C$25,3,FALSE)</f>
        <v>Käse</v>
      </c>
      <c r="F308" s="19">
        <f>VLOOKUP(C308,Stammdaten!$A$11:$D$25,4,FALSE)</f>
        <v>1.19</v>
      </c>
      <c r="G308" s="4">
        <f t="shared" si="52"/>
        <v>4</v>
      </c>
      <c r="H308" s="20" t="str">
        <f>VLOOKUP(G308,Stammdaten!$A$30:$B$41,2,FALSE)</f>
        <v>April</v>
      </c>
      <c r="I308" s="4">
        <v>303</v>
      </c>
      <c r="J308" s="4">
        <v>287</v>
      </c>
      <c r="K308" s="4">
        <f t="shared" si="53"/>
        <v>-16</v>
      </c>
      <c r="L308" s="27">
        <f t="shared" si="54"/>
        <v>-5.2805280528052805</v>
      </c>
      <c r="M308" s="52" t="str">
        <f t="shared" si="55"/>
        <v>Schwund</v>
      </c>
      <c r="N308" s="28">
        <f t="shared" si="56"/>
        <v>19.04</v>
      </c>
      <c r="O308" s="5">
        <v>9</v>
      </c>
      <c r="P308" s="4">
        <v>3</v>
      </c>
      <c r="Q308" s="28">
        <f t="shared" si="57"/>
        <v>4.76</v>
      </c>
      <c r="R308" s="50">
        <f t="shared" si="58"/>
        <v>5.7119999999999997</v>
      </c>
      <c r="S308" s="2" t="str">
        <f t="shared" si="59"/>
        <v>Ostern</v>
      </c>
      <c r="T308" s="4">
        <v>0</v>
      </c>
      <c r="U308" s="4" t="str">
        <f t="shared" si="60"/>
        <v>Nein</v>
      </c>
      <c r="V308" s="4">
        <f t="shared" si="61"/>
        <v>0</v>
      </c>
      <c r="W308" s="19">
        <f t="shared" si="62"/>
        <v>1.19</v>
      </c>
      <c r="X308" s="5">
        <v>0</v>
      </c>
      <c r="Y308" s="28">
        <f t="shared" si="63"/>
        <v>0</v>
      </c>
      <c r="Z308" s="31" t="s">
        <v>172</v>
      </c>
      <c r="AA308" t="str">
        <f t="shared" si="64"/>
        <v>Prozessfehler</v>
      </c>
    </row>
    <row r="309" spans="1:27" x14ac:dyDescent="0.35">
      <c r="A309" s="32" t="s">
        <v>15</v>
      </c>
      <c r="B309" s="2" t="str">
        <f>VLOOKUP(A309,Stammdaten!$A$3:$B$7,2,FALSE)</f>
        <v>Filiale Süd</v>
      </c>
      <c r="C309" s="3" t="str" cm="1">
        <f t="array" ref="C309">INDEX(Stammdaten!$A$11:$A$25,INT((ROW()-5)/12)+1 - INT((ROW()-5)/180)*15)</f>
        <v>A011</v>
      </c>
      <c r="D309" s="2" t="str">
        <f>VLOOKUP(C309,Stammdaten!$A$11:$B$25,2,FALSE)</f>
        <v>Mozzarella 125g</v>
      </c>
      <c r="E309" s="3" t="str">
        <f>VLOOKUP(C309,Stammdaten!$A$11:$C$25,3,FALSE)</f>
        <v>Käse</v>
      </c>
      <c r="F309" s="19">
        <f>VLOOKUP(C309,Stammdaten!$A$11:$D$25,4,FALSE)</f>
        <v>1.19</v>
      </c>
      <c r="G309" s="4">
        <f t="shared" si="52"/>
        <v>5</v>
      </c>
      <c r="H309" s="20" t="str">
        <f>VLOOKUP(G309,Stammdaten!$A$30:$B$41,2,FALSE)</f>
        <v>Mai</v>
      </c>
      <c r="I309" s="4">
        <v>242</v>
      </c>
      <c r="J309" s="4">
        <v>236</v>
      </c>
      <c r="K309" s="4">
        <f t="shared" si="53"/>
        <v>-6</v>
      </c>
      <c r="L309" s="27">
        <f t="shared" si="54"/>
        <v>-2.4793388429752068</v>
      </c>
      <c r="M309" s="52" t="str">
        <f t="shared" si="55"/>
        <v>Schwund</v>
      </c>
      <c r="N309" s="28">
        <f t="shared" si="56"/>
        <v>7.14</v>
      </c>
      <c r="O309" s="5">
        <v>1</v>
      </c>
      <c r="P309" s="4">
        <v>4</v>
      </c>
      <c r="Q309" s="28">
        <f t="shared" si="57"/>
        <v>1.7849999999999999</v>
      </c>
      <c r="R309" s="50">
        <f t="shared" si="58"/>
        <v>2.1419999999999999</v>
      </c>
      <c r="S309" s="2" t="str">
        <f t="shared" si="59"/>
        <v>Normal</v>
      </c>
      <c r="T309" s="4">
        <v>0</v>
      </c>
      <c r="U309" s="4" t="str">
        <f t="shared" si="60"/>
        <v>Ja - 20% Reduzierung</v>
      </c>
      <c r="V309" s="4">
        <f t="shared" si="61"/>
        <v>20</v>
      </c>
      <c r="W309" s="19">
        <f t="shared" si="62"/>
        <v>0.95</v>
      </c>
      <c r="X309" s="5">
        <v>22</v>
      </c>
      <c r="Y309" s="28">
        <f t="shared" si="63"/>
        <v>5.24</v>
      </c>
      <c r="Z309" s="31" t="s">
        <v>173</v>
      </c>
      <c r="AA309" t="str">
        <f t="shared" si="64"/>
        <v>Prozessfehler</v>
      </c>
    </row>
    <row r="310" spans="1:27" x14ac:dyDescent="0.35">
      <c r="A310" s="32" t="s">
        <v>15</v>
      </c>
      <c r="B310" s="2" t="str">
        <f>VLOOKUP(A310,Stammdaten!$A$3:$B$7,2,FALSE)</f>
        <v>Filiale Süd</v>
      </c>
      <c r="C310" s="3" t="str" cm="1">
        <f t="array" ref="C310">INDEX(Stammdaten!$A$11:$A$25,INT((ROW()-5)/12)+1 - INT((ROW()-5)/180)*15)</f>
        <v>A011</v>
      </c>
      <c r="D310" s="2" t="str">
        <f>VLOOKUP(C310,Stammdaten!$A$11:$B$25,2,FALSE)</f>
        <v>Mozzarella 125g</v>
      </c>
      <c r="E310" s="3" t="str">
        <f>VLOOKUP(C310,Stammdaten!$A$11:$C$25,3,FALSE)</f>
        <v>Käse</v>
      </c>
      <c r="F310" s="19">
        <f>VLOOKUP(C310,Stammdaten!$A$11:$D$25,4,FALSE)</f>
        <v>1.19</v>
      </c>
      <c r="G310" s="4">
        <f t="shared" si="52"/>
        <v>6</v>
      </c>
      <c r="H310" s="20" t="str">
        <f>VLOOKUP(G310,Stammdaten!$A$30:$B$41,2,FALSE)</f>
        <v>Juni</v>
      </c>
      <c r="I310" s="4">
        <v>256</v>
      </c>
      <c r="J310" s="4">
        <v>247</v>
      </c>
      <c r="K310" s="4">
        <f t="shared" si="53"/>
        <v>-9</v>
      </c>
      <c r="L310" s="27">
        <f t="shared" si="54"/>
        <v>-3.515625</v>
      </c>
      <c r="M310" s="52" t="str">
        <f t="shared" si="55"/>
        <v>Schwund</v>
      </c>
      <c r="N310" s="28">
        <f t="shared" si="56"/>
        <v>10.709999999999999</v>
      </c>
      <c r="O310" s="5">
        <v>7</v>
      </c>
      <c r="P310" s="4">
        <v>0</v>
      </c>
      <c r="Q310" s="28">
        <f t="shared" si="57"/>
        <v>2.6774999999999998</v>
      </c>
      <c r="R310" s="50">
        <f t="shared" si="58"/>
        <v>3.2129999999999996</v>
      </c>
      <c r="S310" s="2" t="str">
        <f t="shared" si="59"/>
        <v>Normal</v>
      </c>
      <c r="T310" s="4">
        <v>0</v>
      </c>
      <c r="U310" s="4" t="str">
        <f t="shared" si="60"/>
        <v>Nein</v>
      </c>
      <c r="V310" s="4">
        <f t="shared" si="61"/>
        <v>0</v>
      </c>
      <c r="W310" s="19">
        <f t="shared" si="62"/>
        <v>1.19</v>
      </c>
      <c r="X310" s="5">
        <v>0</v>
      </c>
      <c r="Y310" s="28">
        <f t="shared" si="63"/>
        <v>0</v>
      </c>
      <c r="Z310" s="31" t="s">
        <v>172</v>
      </c>
      <c r="AA310" t="str">
        <f t="shared" si="64"/>
        <v>Buchungsfehler Wareneingang</v>
      </c>
    </row>
    <row r="311" spans="1:27" x14ac:dyDescent="0.35">
      <c r="A311" s="32" t="s">
        <v>15</v>
      </c>
      <c r="B311" s="2" t="str">
        <f>VLOOKUP(A311,Stammdaten!$A$3:$B$7,2,FALSE)</f>
        <v>Filiale Süd</v>
      </c>
      <c r="C311" s="3" t="str" cm="1">
        <f t="array" ref="C311">INDEX(Stammdaten!$A$11:$A$25,INT((ROW()-5)/12)+1 - INT((ROW()-5)/180)*15)</f>
        <v>A011</v>
      </c>
      <c r="D311" s="2" t="str">
        <f>VLOOKUP(C311,Stammdaten!$A$11:$B$25,2,FALSE)</f>
        <v>Mozzarella 125g</v>
      </c>
      <c r="E311" s="3" t="str">
        <f>VLOOKUP(C311,Stammdaten!$A$11:$C$25,3,FALSE)</f>
        <v>Käse</v>
      </c>
      <c r="F311" s="19">
        <f>VLOOKUP(C311,Stammdaten!$A$11:$D$25,4,FALSE)</f>
        <v>1.19</v>
      </c>
      <c r="G311" s="4">
        <f t="shared" si="52"/>
        <v>7</v>
      </c>
      <c r="H311" s="20" t="str">
        <f>VLOOKUP(G311,Stammdaten!$A$30:$B$41,2,FALSE)</f>
        <v>Juli</v>
      </c>
      <c r="I311" s="4">
        <v>279</v>
      </c>
      <c r="J311" s="4">
        <v>263</v>
      </c>
      <c r="K311" s="4">
        <f t="shared" si="53"/>
        <v>-16</v>
      </c>
      <c r="L311" s="27">
        <f t="shared" si="54"/>
        <v>-5.7347670250896057</v>
      </c>
      <c r="M311" s="52" t="str">
        <f t="shared" si="55"/>
        <v>Schwund</v>
      </c>
      <c r="N311" s="28">
        <f t="shared" si="56"/>
        <v>19.04</v>
      </c>
      <c r="O311" s="5">
        <v>5</v>
      </c>
      <c r="P311" s="4">
        <v>2</v>
      </c>
      <c r="Q311" s="28">
        <f t="shared" si="57"/>
        <v>4.76</v>
      </c>
      <c r="R311" s="50">
        <f t="shared" si="58"/>
        <v>5.7119999999999997</v>
      </c>
      <c r="S311" s="2" t="str">
        <f t="shared" si="59"/>
        <v>Normal</v>
      </c>
      <c r="T311" s="4">
        <v>0</v>
      </c>
      <c r="U311" s="4" t="str">
        <f t="shared" si="60"/>
        <v>Nein</v>
      </c>
      <c r="V311" s="4">
        <f t="shared" si="61"/>
        <v>0</v>
      </c>
      <c r="W311" s="19">
        <f t="shared" si="62"/>
        <v>1.19</v>
      </c>
      <c r="X311" s="5">
        <v>0</v>
      </c>
      <c r="Y311" s="28">
        <f t="shared" si="63"/>
        <v>0</v>
      </c>
      <c r="Z311" s="31" t="s">
        <v>172</v>
      </c>
      <c r="AA311" t="str">
        <f t="shared" si="64"/>
        <v>Prozessfehler</v>
      </c>
    </row>
    <row r="312" spans="1:27" x14ac:dyDescent="0.35">
      <c r="A312" s="32" t="s">
        <v>15</v>
      </c>
      <c r="B312" s="2" t="str">
        <f>VLOOKUP(A312,Stammdaten!$A$3:$B$7,2,FALSE)</f>
        <v>Filiale Süd</v>
      </c>
      <c r="C312" s="3" t="str" cm="1">
        <f t="array" ref="C312">INDEX(Stammdaten!$A$11:$A$25,INT((ROW()-5)/12)+1 - INT((ROW()-5)/180)*15)</f>
        <v>A011</v>
      </c>
      <c r="D312" s="2" t="str">
        <f>VLOOKUP(C312,Stammdaten!$A$11:$B$25,2,FALSE)</f>
        <v>Mozzarella 125g</v>
      </c>
      <c r="E312" s="3" t="str">
        <f>VLOOKUP(C312,Stammdaten!$A$11:$C$25,3,FALSE)</f>
        <v>Käse</v>
      </c>
      <c r="F312" s="19">
        <f>VLOOKUP(C312,Stammdaten!$A$11:$D$25,4,FALSE)</f>
        <v>1.19</v>
      </c>
      <c r="G312" s="4">
        <f t="shared" si="52"/>
        <v>8</v>
      </c>
      <c r="H312" s="20" t="str">
        <f>VLOOKUP(G312,Stammdaten!$A$30:$B$41,2,FALSE)</f>
        <v>August</v>
      </c>
      <c r="I312" s="4">
        <v>287</v>
      </c>
      <c r="J312" s="4">
        <v>280</v>
      </c>
      <c r="K312" s="4">
        <f t="shared" si="53"/>
        <v>-7</v>
      </c>
      <c r="L312" s="27">
        <f t="shared" si="54"/>
        <v>-2.4390243902439024</v>
      </c>
      <c r="M312" s="52" t="str">
        <f t="shared" si="55"/>
        <v>Schwund</v>
      </c>
      <c r="N312" s="28">
        <f t="shared" si="56"/>
        <v>8.33</v>
      </c>
      <c r="O312" s="5">
        <v>1</v>
      </c>
      <c r="P312" s="4">
        <v>3</v>
      </c>
      <c r="Q312" s="28">
        <f t="shared" si="57"/>
        <v>2.0825</v>
      </c>
      <c r="R312" s="50">
        <f t="shared" si="58"/>
        <v>2.4990000000000001</v>
      </c>
      <c r="S312" s="2" t="str">
        <f t="shared" si="59"/>
        <v>Normal</v>
      </c>
      <c r="T312" s="4">
        <v>0</v>
      </c>
      <c r="U312" s="4" t="str">
        <f t="shared" si="60"/>
        <v>Ja - 20% Reduzierung</v>
      </c>
      <c r="V312" s="4">
        <f t="shared" si="61"/>
        <v>20</v>
      </c>
      <c r="W312" s="19">
        <f t="shared" si="62"/>
        <v>0.95</v>
      </c>
      <c r="X312" s="5">
        <v>34</v>
      </c>
      <c r="Y312" s="28">
        <f t="shared" si="63"/>
        <v>8.09</v>
      </c>
      <c r="Z312" s="31" t="s">
        <v>173</v>
      </c>
      <c r="AA312" t="str">
        <f t="shared" si="64"/>
        <v>Prozessfehler</v>
      </c>
    </row>
    <row r="313" spans="1:27" x14ac:dyDescent="0.35">
      <c r="A313" s="32" t="s">
        <v>15</v>
      </c>
      <c r="B313" s="2" t="str">
        <f>VLOOKUP(A313,Stammdaten!$A$3:$B$7,2,FALSE)</f>
        <v>Filiale Süd</v>
      </c>
      <c r="C313" s="3" t="str" cm="1">
        <f t="array" ref="C313">INDEX(Stammdaten!$A$11:$A$25,INT((ROW()-5)/12)+1 - INT((ROW()-5)/180)*15)</f>
        <v>A011</v>
      </c>
      <c r="D313" s="2" t="str">
        <f>VLOOKUP(C313,Stammdaten!$A$11:$B$25,2,FALSE)</f>
        <v>Mozzarella 125g</v>
      </c>
      <c r="E313" s="3" t="str">
        <f>VLOOKUP(C313,Stammdaten!$A$11:$C$25,3,FALSE)</f>
        <v>Käse</v>
      </c>
      <c r="F313" s="19">
        <f>VLOOKUP(C313,Stammdaten!$A$11:$D$25,4,FALSE)</f>
        <v>1.19</v>
      </c>
      <c r="G313" s="4">
        <f t="shared" si="52"/>
        <v>9</v>
      </c>
      <c r="H313" s="20" t="str">
        <f>VLOOKUP(G313,Stammdaten!$A$30:$B$41,2,FALSE)</f>
        <v>September</v>
      </c>
      <c r="I313" s="4">
        <v>217</v>
      </c>
      <c r="J313" s="4">
        <v>222</v>
      </c>
      <c r="K313" s="4">
        <f t="shared" si="53"/>
        <v>5</v>
      </c>
      <c r="L313" s="27">
        <f t="shared" si="54"/>
        <v>2.3041474654377883</v>
      </c>
      <c r="M313" s="52" t="str">
        <f t="shared" si="55"/>
        <v>Überbestand</v>
      </c>
      <c r="N313" s="28">
        <f t="shared" si="56"/>
        <v>5.9499999999999993</v>
      </c>
      <c r="O313" s="5">
        <v>9</v>
      </c>
      <c r="P313" s="4">
        <v>4</v>
      </c>
      <c r="Q313" s="28">
        <f t="shared" si="57"/>
        <v>0</v>
      </c>
      <c r="R313" s="50">
        <f t="shared" si="58"/>
        <v>0</v>
      </c>
      <c r="S313" s="2" t="str">
        <f t="shared" si="59"/>
        <v>Normal</v>
      </c>
      <c r="T313" s="4">
        <v>5</v>
      </c>
      <c r="U313" s="4" t="str">
        <f t="shared" si="60"/>
        <v>Nein</v>
      </c>
      <c r="V313" s="4">
        <f t="shared" si="61"/>
        <v>0</v>
      </c>
      <c r="W313" s="19">
        <f t="shared" si="62"/>
        <v>1.19</v>
      </c>
      <c r="X313" s="5">
        <v>0</v>
      </c>
      <c r="Y313" s="28">
        <f t="shared" si="63"/>
        <v>0</v>
      </c>
      <c r="Z313" s="31" t="s">
        <v>172</v>
      </c>
      <c r="AA313" t="str">
        <f t="shared" si="64"/>
        <v>Kassenfehler (Überbestand)</v>
      </c>
    </row>
    <row r="314" spans="1:27" x14ac:dyDescent="0.35">
      <c r="A314" s="32" t="s">
        <v>15</v>
      </c>
      <c r="B314" s="2" t="str">
        <f>VLOOKUP(A314,Stammdaten!$A$3:$B$7,2,FALSE)</f>
        <v>Filiale Süd</v>
      </c>
      <c r="C314" s="3" t="str" cm="1">
        <f t="array" ref="C314">INDEX(Stammdaten!$A$11:$A$25,INT((ROW()-5)/12)+1 - INT((ROW()-5)/180)*15)</f>
        <v>A011</v>
      </c>
      <c r="D314" s="2" t="str">
        <f>VLOOKUP(C314,Stammdaten!$A$11:$B$25,2,FALSE)</f>
        <v>Mozzarella 125g</v>
      </c>
      <c r="E314" s="3" t="str">
        <f>VLOOKUP(C314,Stammdaten!$A$11:$C$25,3,FALSE)</f>
        <v>Käse</v>
      </c>
      <c r="F314" s="19">
        <f>VLOOKUP(C314,Stammdaten!$A$11:$D$25,4,FALSE)</f>
        <v>1.19</v>
      </c>
      <c r="G314" s="4">
        <f t="shared" si="52"/>
        <v>10</v>
      </c>
      <c r="H314" s="20" t="str">
        <f>VLOOKUP(G314,Stammdaten!$A$30:$B$41,2,FALSE)</f>
        <v>Oktober</v>
      </c>
      <c r="I314" s="4">
        <v>230</v>
      </c>
      <c r="J314" s="4">
        <v>223</v>
      </c>
      <c r="K314" s="4">
        <f t="shared" si="53"/>
        <v>-7</v>
      </c>
      <c r="L314" s="27">
        <f t="shared" si="54"/>
        <v>-3.0434782608695654</v>
      </c>
      <c r="M314" s="52" t="str">
        <f t="shared" si="55"/>
        <v>Schwund</v>
      </c>
      <c r="N314" s="28">
        <f t="shared" si="56"/>
        <v>8.33</v>
      </c>
      <c r="O314" s="5">
        <v>0</v>
      </c>
      <c r="P314" s="4">
        <v>0</v>
      </c>
      <c r="Q314" s="28">
        <f t="shared" si="57"/>
        <v>2.0825</v>
      </c>
      <c r="R314" s="50">
        <f t="shared" si="58"/>
        <v>2.4990000000000001</v>
      </c>
      <c r="S314" s="2" t="str">
        <f t="shared" si="59"/>
        <v>Normal</v>
      </c>
      <c r="T314" s="4">
        <v>0</v>
      </c>
      <c r="U314" s="4" t="str">
        <f t="shared" si="60"/>
        <v>Abschreibung</v>
      </c>
      <c r="V314" s="4">
        <f t="shared" si="61"/>
        <v>100</v>
      </c>
      <c r="W314" s="19">
        <f t="shared" si="62"/>
        <v>0</v>
      </c>
      <c r="X314" s="5">
        <v>7</v>
      </c>
      <c r="Y314" s="28">
        <f t="shared" si="63"/>
        <v>8.33</v>
      </c>
      <c r="Z314" s="31" t="s">
        <v>173</v>
      </c>
      <c r="AA314" t="str">
        <f t="shared" si="64"/>
        <v>Verderb - Abgelaufen</v>
      </c>
    </row>
    <row r="315" spans="1:27" x14ac:dyDescent="0.35">
      <c r="A315" s="32" t="s">
        <v>15</v>
      </c>
      <c r="B315" s="2" t="str">
        <f>VLOOKUP(A315,Stammdaten!$A$3:$B$7,2,FALSE)</f>
        <v>Filiale Süd</v>
      </c>
      <c r="C315" s="3" t="str" cm="1">
        <f t="array" ref="C315">INDEX(Stammdaten!$A$11:$A$25,INT((ROW()-5)/12)+1 - INT((ROW()-5)/180)*15)</f>
        <v>A011</v>
      </c>
      <c r="D315" s="2" t="str">
        <f>VLOOKUP(C315,Stammdaten!$A$11:$B$25,2,FALSE)</f>
        <v>Mozzarella 125g</v>
      </c>
      <c r="E315" s="3" t="str">
        <f>VLOOKUP(C315,Stammdaten!$A$11:$C$25,3,FALSE)</f>
        <v>Käse</v>
      </c>
      <c r="F315" s="19">
        <f>VLOOKUP(C315,Stammdaten!$A$11:$D$25,4,FALSE)</f>
        <v>1.19</v>
      </c>
      <c r="G315" s="4">
        <f t="shared" si="52"/>
        <v>11</v>
      </c>
      <c r="H315" s="20" t="str">
        <f>VLOOKUP(G315,Stammdaten!$A$30:$B$41,2,FALSE)</f>
        <v>November</v>
      </c>
      <c r="I315" s="4">
        <v>272</v>
      </c>
      <c r="J315" s="4">
        <v>262</v>
      </c>
      <c r="K315" s="4">
        <f t="shared" si="53"/>
        <v>-10</v>
      </c>
      <c r="L315" s="27">
        <f t="shared" si="54"/>
        <v>-3.6764705882352944</v>
      </c>
      <c r="M315" s="52" t="str">
        <f t="shared" si="55"/>
        <v>Schwund</v>
      </c>
      <c r="N315" s="28">
        <f t="shared" si="56"/>
        <v>11.899999999999999</v>
      </c>
      <c r="O315" s="5">
        <v>10</v>
      </c>
      <c r="P315" s="4">
        <v>0</v>
      </c>
      <c r="Q315" s="28">
        <f t="shared" si="57"/>
        <v>2.9749999999999996</v>
      </c>
      <c r="R315" s="50">
        <f t="shared" si="58"/>
        <v>3.5699999999999994</v>
      </c>
      <c r="S315" s="2" t="str">
        <f t="shared" si="59"/>
        <v>Black Friday</v>
      </c>
      <c r="T315" s="4">
        <v>0</v>
      </c>
      <c r="U315" s="4" t="str">
        <f t="shared" si="60"/>
        <v>Nein</v>
      </c>
      <c r="V315" s="4">
        <f t="shared" si="61"/>
        <v>0</v>
      </c>
      <c r="W315" s="19">
        <f t="shared" si="62"/>
        <v>1.19</v>
      </c>
      <c r="X315" s="5">
        <v>0</v>
      </c>
      <c r="Y315" s="28">
        <f t="shared" si="63"/>
        <v>0</v>
      </c>
      <c r="Z315" s="31" t="s">
        <v>172</v>
      </c>
      <c r="AA315" t="str">
        <f t="shared" si="64"/>
        <v>Buchungsfehler Wareneingang</v>
      </c>
    </row>
    <row r="316" spans="1:27" x14ac:dyDescent="0.35">
      <c r="A316" s="32" t="s">
        <v>15</v>
      </c>
      <c r="B316" s="2" t="str">
        <f>VLOOKUP(A316,Stammdaten!$A$3:$B$7,2,FALSE)</f>
        <v>Filiale Süd</v>
      </c>
      <c r="C316" s="3" t="str" cm="1">
        <f t="array" ref="C316">INDEX(Stammdaten!$A$11:$A$25,INT((ROW()-5)/12)+1 - INT((ROW()-5)/180)*15)</f>
        <v>A011</v>
      </c>
      <c r="D316" s="2" t="str">
        <f>VLOOKUP(C316,Stammdaten!$A$11:$B$25,2,FALSE)</f>
        <v>Mozzarella 125g</v>
      </c>
      <c r="E316" s="3" t="str">
        <f>VLOOKUP(C316,Stammdaten!$A$11:$C$25,3,FALSE)</f>
        <v>Käse</v>
      </c>
      <c r="F316" s="19">
        <f>VLOOKUP(C316,Stammdaten!$A$11:$D$25,4,FALSE)</f>
        <v>1.19</v>
      </c>
      <c r="G316" s="4">
        <f t="shared" si="52"/>
        <v>12</v>
      </c>
      <c r="H316" s="20" t="str">
        <f>VLOOKUP(G316,Stammdaten!$A$30:$B$41,2,FALSE)</f>
        <v>Dezember</v>
      </c>
      <c r="I316" s="4">
        <v>329</v>
      </c>
      <c r="J316" s="4">
        <v>318</v>
      </c>
      <c r="K316" s="4">
        <f t="shared" si="53"/>
        <v>-11</v>
      </c>
      <c r="L316" s="27">
        <f t="shared" si="54"/>
        <v>-3.3434650455927049</v>
      </c>
      <c r="M316" s="52" t="str">
        <f t="shared" si="55"/>
        <v>Schwund</v>
      </c>
      <c r="N316" s="28">
        <f t="shared" si="56"/>
        <v>13.09</v>
      </c>
      <c r="O316" s="5">
        <v>8</v>
      </c>
      <c r="P316" s="4">
        <v>1</v>
      </c>
      <c r="Q316" s="28">
        <f t="shared" si="57"/>
        <v>3.2725</v>
      </c>
      <c r="R316" s="50">
        <f t="shared" si="58"/>
        <v>3.9269999999999996</v>
      </c>
      <c r="S316" s="2" t="str">
        <f t="shared" si="59"/>
        <v>Weihnachten/Silvester</v>
      </c>
      <c r="T316" s="4">
        <v>0</v>
      </c>
      <c r="U316" s="4" t="str">
        <f t="shared" si="60"/>
        <v>Nein</v>
      </c>
      <c r="V316" s="4">
        <f t="shared" si="61"/>
        <v>0</v>
      </c>
      <c r="W316" s="19">
        <f t="shared" si="62"/>
        <v>1.19</v>
      </c>
      <c r="X316" s="5">
        <v>0</v>
      </c>
      <c r="Y316" s="28">
        <f t="shared" si="63"/>
        <v>0</v>
      </c>
      <c r="Z316" s="31" t="s">
        <v>172</v>
      </c>
      <c r="AA316" t="str">
        <f t="shared" si="64"/>
        <v>Buchungsfehler Wareneingang</v>
      </c>
    </row>
    <row r="317" spans="1:27" x14ac:dyDescent="0.35">
      <c r="A317" s="32" t="s">
        <v>15</v>
      </c>
      <c r="B317" s="2" t="str">
        <f>VLOOKUP(A317,Stammdaten!$A$3:$B$7,2,FALSE)</f>
        <v>Filiale Süd</v>
      </c>
      <c r="C317" s="3" t="str" cm="1">
        <f t="array" ref="C317">INDEX(Stammdaten!$A$11:$A$25,INT((ROW()-5)/12)+1 - INT((ROW()-5)/180)*15)</f>
        <v>A012</v>
      </c>
      <c r="D317" s="2" t="str">
        <f>VLOOKUP(C317,Stammdaten!$A$11:$B$25,2,FALSE)</f>
        <v>Quark 500g</v>
      </c>
      <c r="E317" s="3" t="str">
        <f>VLOOKUP(C317,Stammdaten!$A$11:$C$25,3,FALSE)</f>
        <v>Quark</v>
      </c>
      <c r="F317" s="19">
        <f>VLOOKUP(C317,Stammdaten!$A$11:$D$25,4,FALSE)</f>
        <v>1.39</v>
      </c>
      <c r="G317" s="4">
        <f t="shared" si="52"/>
        <v>1</v>
      </c>
      <c r="H317" s="20" t="str">
        <f>VLOOKUP(G317,Stammdaten!$A$30:$B$41,2,FALSE)</f>
        <v>Januar</v>
      </c>
      <c r="I317" s="4">
        <v>274</v>
      </c>
      <c r="J317" s="4">
        <v>274</v>
      </c>
      <c r="K317" s="4">
        <f t="shared" si="53"/>
        <v>0</v>
      </c>
      <c r="L317" s="27">
        <f t="shared" si="54"/>
        <v>0</v>
      </c>
      <c r="M317" s="52" t="str">
        <f t="shared" si="55"/>
        <v>Perfekt</v>
      </c>
      <c r="N317" s="28">
        <f t="shared" si="56"/>
        <v>0</v>
      </c>
      <c r="O317" s="5">
        <v>13</v>
      </c>
      <c r="P317" s="4">
        <v>1</v>
      </c>
      <c r="Q317" s="28">
        <f t="shared" si="57"/>
        <v>0</v>
      </c>
      <c r="R317" s="50">
        <f t="shared" si="58"/>
        <v>0</v>
      </c>
      <c r="S317" s="2" t="str">
        <f t="shared" si="59"/>
        <v>Normal</v>
      </c>
      <c r="T317" s="4">
        <v>0</v>
      </c>
      <c r="U317" s="4" t="str">
        <f t="shared" si="60"/>
        <v>Nein</v>
      </c>
      <c r="V317" s="4">
        <f t="shared" si="61"/>
        <v>0</v>
      </c>
      <c r="W317" s="19">
        <f t="shared" si="62"/>
        <v>1.39</v>
      </c>
      <c r="X317" s="5">
        <v>0</v>
      </c>
      <c r="Y317" s="28">
        <f t="shared" si="63"/>
        <v>0</v>
      </c>
      <c r="Z317" s="31" t="s">
        <v>172</v>
      </c>
      <c r="AA317" t="str">
        <f t="shared" si="64"/>
        <v>Normal/Gering</v>
      </c>
    </row>
    <row r="318" spans="1:27" x14ac:dyDescent="0.35">
      <c r="A318" s="32" t="s">
        <v>15</v>
      </c>
      <c r="B318" s="2" t="str">
        <f>VLOOKUP(A318,Stammdaten!$A$3:$B$7,2,FALSE)</f>
        <v>Filiale Süd</v>
      </c>
      <c r="C318" s="3" t="str" cm="1">
        <f t="array" ref="C318">INDEX(Stammdaten!$A$11:$A$25,INT((ROW()-5)/12)+1 - INT((ROW()-5)/180)*15)</f>
        <v>A012</v>
      </c>
      <c r="D318" s="2" t="str">
        <f>VLOOKUP(C318,Stammdaten!$A$11:$B$25,2,FALSE)</f>
        <v>Quark 500g</v>
      </c>
      <c r="E318" s="3" t="str">
        <f>VLOOKUP(C318,Stammdaten!$A$11:$C$25,3,FALSE)</f>
        <v>Quark</v>
      </c>
      <c r="F318" s="19">
        <f>VLOOKUP(C318,Stammdaten!$A$11:$D$25,4,FALSE)</f>
        <v>1.39</v>
      </c>
      <c r="G318" s="4">
        <f t="shared" si="52"/>
        <v>2</v>
      </c>
      <c r="H318" s="20" t="str">
        <f>VLOOKUP(G318,Stammdaten!$A$30:$B$41,2,FALSE)</f>
        <v>Februar</v>
      </c>
      <c r="I318" s="4">
        <v>261</v>
      </c>
      <c r="J318" s="4">
        <v>257</v>
      </c>
      <c r="K318" s="4">
        <f t="shared" si="53"/>
        <v>-4</v>
      </c>
      <c r="L318" s="27">
        <f t="shared" si="54"/>
        <v>-1.5325670498084289</v>
      </c>
      <c r="M318" s="52" t="str">
        <f t="shared" si="55"/>
        <v>Schwund</v>
      </c>
      <c r="N318" s="28">
        <f t="shared" si="56"/>
        <v>5.56</v>
      </c>
      <c r="O318" s="5">
        <v>0</v>
      </c>
      <c r="P318" s="4">
        <v>3</v>
      </c>
      <c r="Q318" s="28">
        <f t="shared" si="57"/>
        <v>1.39</v>
      </c>
      <c r="R318" s="50">
        <f t="shared" si="58"/>
        <v>1.6679999999999999</v>
      </c>
      <c r="S318" s="2" t="str">
        <f t="shared" si="59"/>
        <v>Karneval</v>
      </c>
      <c r="T318" s="4">
        <v>0</v>
      </c>
      <c r="U318" s="4" t="str">
        <f t="shared" si="60"/>
        <v>Abschreibung</v>
      </c>
      <c r="V318" s="4">
        <f t="shared" si="61"/>
        <v>100</v>
      </c>
      <c r="W318" s="19">
        <f t="shared" si="62"/>
        <v>0</v>
      </c>
      <c r="X318" s="5">
        <v>8</v>
      </c>
      <c r="Y318" s="28">
        <f t="shared" si="63"/>
        <v>11.12</v>
      </c>
      <c r="Z318" s="31" t="s">
        <v>164</v>
      </c>
      <c r="AA318" t="str">
        <f t="shared" si="64"/>
        <v>Verderb - Abgelaufen</v>
      </c>
    </row>
    <row r="319" spans="1:27" x14ac:dyDescent="0.35">
      <c r="A319" s="32" t="s">
        <v>15</v>
      </c>
      <c r="B319" s="2" t="str">
        <f>VLOOKUP(A319,Stammdaten!$A$3:$B$7,2,FALSE)</f>
        <v>Filiale Süd</v>
      </c>
      <c r="C319" s="3" t="str" cm="1">
        <f t="array" ref="C319">INDEX(Stammdaten!$A$11:$A$25,INT((ROW()-5)/12)+1 - INT((ROW()-5)/180)*15)</f>
        <v>A012</v>
      </c>
      <c r="D319" s="2" t="str">
        <f>VLOOKUP(C319,Stammdaten!$A$11:$B$25,2,FALSE)</f>
        <v>Quark 500g</v>
      </c>
      <c r="E319" s="3" t="str">
        <f>VLOOKUP(C319,Stammdaten!$A$11:$C$25,3,FALSE)</f>
        <v>Quark</v>
      </c>
      <c r="F319" s="19">
        <f>VLOOKUP(C319,Stammdaten!$A$11:$D$25,4,FALSE)</f>
        <v>1.39</v>
      </c>
      <c r="G319" s="4">
        <f t="shared" si="52"/>
        <v>3</v>
      </c>
      <c r="H319" s="20" t="str">
        <f>VLOOKUP(G319,Stammdaten!$A$30:$B$41,2,FALSE)</f>
        <v>März</v>
      </c>
      <c r="I319" s="4">
        <v>339</v>
      </c>
      <c r="J319" s="4">
        <v>328</v>
      </c>
      <c r="K319" s="4">
        <f t="shared" si="53"/>
        <v>-11</v>
      </c>
      <c r="L319" s="27">
        <f t="shared" si="54"/>
        <v>-3.2448377581120944</v>
      </c>
      <c r="M319" s="52" t="str">
        <f t="shared" si="55"/>
        <v>Schwund</v>
      </c>
      <c r="N319" s="28">
        <f t="shared" si="56"/>
        <v>15.29</v>
      </c>
      <c r="O319" s="5">
        <v>2</v>
      </c>
      <c r="P319" s="4">
        <v>0</v>
      </c>
      <c r="Q319" s="28">
        <f t="shared" si="57"/>
        <v>3.8224999999999998</v>
      </c>
      <c r="R319" s="50">
        <f t="shared" si="58"/>
        <v>4.5869999999999997</v>
      </c>
      <c r="S319" s="2" t="str">
        <f t="shared" si="59"/>
        <v>Normal</v>
      </c>
      <c r="T319" s="4">
        <v>0</v>
      </c>
      <c r="U319" s="4" t="str">
        <f t="shared" si="60"/>
        <v>Ja - 20% Reduzierung</v>
      </c>
      <c r="V319" s="4">
        <f t="shared" si="61"/>
        <v>20</v>
      </c>
      <c r="W319" s="19">
        <f t="shared" si="62"/>
        <v>1.1100000000000001</v>
      </c>
      <c r="X319" s="5">
        <v>20</v>
      </c>
      <c r="Y319" s="28">
        <f t="shared" si="63"/>
        <v>5.56</v>
      </c>
      <c r="Z319" s="31" t="s">
        <v>173</v>
      </c>
      <c r="AA319" t="str">
        <f t="shared" si="64"/>
        <v>Buchungsfehler Wareneingang</v>
      </c>
    </row>
    <row r="320" spans="1:27" x14ac:dyDescent="0.35">
      <c r="A320" s="32" t="s">
        <v>15</v>
      </c>
      <c r="B320" s="2" t="str">
        <f>VLOOKUP(A320,Stammdaten!$A$3:$B$7,2,FALSE)</f>
        <v>Filiale Süd</v>
      </c>
      <c r="C320" s="3" t="str" cm="1">
        <f t="array" ref="C320">INDEX(Stammdaten!$A$11:$A$25,INT((ROW()-5)/12)+1 - INT((ROW()-5)/180)*15)</f>
        <v>A012</v>
      </c>
      <c r="D320" s="2" t="str">
        <f>VLOOKUP(C320,Stammdaten!$A$11:$B$25,2,FALSE)</f>
        <v>Quark 500g</v>
      </c>
      <c r="E320" s="3" t="str">
        <f>VLOOKUP(C320,Stammdaten!$A$11:$C$25,3,FALSE)</f>
        <v>Quark</v>
      </c>
      <c r="F320" s="19">
        <f>VLOOKUP(C320,Stammdaten!$A$11:$D$25,4,FALSE)</f>
        <v>1.39</v>
      </c>
      <c r="G320" s="4">
        <f t="shared" si="52"/>
        <v>4</v>
      </c>
      <c r="H320" s="20" t="str">
        <f>VLOOKUP(G320,Stammdaten!$A$30:$B$41,2,FALSE)</f>
        <v>April</v>
      </c>
      <c r="I320" s="4">
        <v>396</v>
      </c>
      <c r="J320" s="4">
        <v>396</v>
      </c>
      <c r="K320" s="4">
        <f t="shared" si="53"/>
        <v>0</v>
      </c>
      <c r="L320" s="27">
        <f t="shared" si="54"/>
        <v>0</v>
      </c>
      <c r="M320" s="52" t="str">
        <f t="shared" si="55"/>
        <v>Perfekt</v>
      </c>
      <c r="N320" s="28">
        <f t="shared" si="56"/>
        <v>0</v>
      </c>
      <c r="O320" s="5">
        <v>2</v>
      </c>
      <c r="P320" s="4">
        <v>5</v>
      </c>
      <c r="Q320" s="28">
        <f t="shared" si="57"/>
        <v>0</v>
      </c>
      <c r="R320" s="50">
        <f t="shared" si="58"/>
        <v>0</v>
      </c>
      <c r="S320" s="2" t="str">
        <f t="shared" si="59"/>
        <v>Ostern</v>
      </c>
      <c r="T320" s="4">
        <v>0</v>
      </c>
      <c r="U320" s="4" t="str">
        <f t="shared" si="60"/>
        <v>Ja - 20% Reduzierung</v>
      </c>
      <c r="V320" s="4">
        <f t="shared" si="61"/>
        <v>20</v>
      </c>
      <c r="W320" s="19">
        <f t="shared" si="62"/>
        <v>1.1100000000000001</v>
      </c>
      <c r="X320" s="5">
        <v>40</v>
      </c>
      <c r="Y320" s="28">
        <f t="shared" si="63"/>
        <v>11.12</v>
      </c>
      <c r="Z320" s="31" t="s">
        <v>173</v>
      </c>
      <c r="AA320" t="str">
        <f t="shared" si="64"/>
        <v>Normal/Gering</v>
      </c>
    </row>
    <row r="321" spans="1:27" x14ac:dyDescent="0.35">
      <c r="A321" s="32" t="s">
        <v>15</v>
      </c>
      <c r="B321" s="2" t="str">
        <f>VLOOKUP(A321,Stammdaten!$A$3:$B$7,2,FALSE)</f>
        <v>Filiale Süd</v>
      </c>
      <c r="C321" s="3" t="str" cm="1">
        <f t="array" ref="C321">INDEX(Stammdaten!$A$11:$A$25,INT((ROW()-5)/12)+1 - INT((ROW()-5)/180)*15)</f>
        <v>A012</v>
      </c>
      <c r="D321" s="2" t="str">
        <f>VLOOKUP(C321,Stammdaten!$A$11:$B$25,2,FALSE)</f>
        <v>Quark 500g</v>
      </c>
      <c r="E321" s="3" t="str">
        <f>VLOOKUP(C321,Stammdaten!$A$11:$C$25,3,FALSE)</f>
        <v>Quark</v>
      </c>
      <c r="F321" s="19">
        <f>VLOOKUP(C321,Stammdaten!$A$11:$D$25,4,FALSE)</f>
        <v>1.39</v>
      </c>
      <c r="G321" s="4">
        <f t="shared" si="52"/>
        <v>5</v>
      </c>
      <c r="H321" s="20" t="str">
        <f>VLOOKUP(G321,Stammdaten!$A$30:$B$41,2,FALSE)</f>
        <v>Mai</v>
      </c>
      <c r="I321" s="4">
        <v>314</v>
      </c>
      <c r="J321" s="4">
        <v>314</v>
      </c>
      <c r="K321" s="4">
        <f t="shared" si="53"/>
        <v>0</v>
      </c>
      <c r="L321" s="27">
        <f t="shared" si="54"/>
        <v>0</v>
      </c>
      <c r="M321" s="52" t="str">
        <f t="shared" si="55"/>
        <v>Perfekt</v>
      </c>
      <c r="N321" s="28">
        <f t="shared" si="56"/>
        <v>0</v>
      </c>
      <c r="O321" s="5">
        <v>4</v>
      </c>
      <c r="P321" s="4">
        <v>0</v>
      </c>
      <c r="Q321" s="28">
        <f t="shared" si="57"/>
        <v>0</v>
      </c>
      <c r="R321" s="50">
        <f t="shared" si="58"/>
        <v>0</v>
      </c>
      <c r="S321" s="2" t="str">
        <f t="shared" si="59"/>
        <v>Normal</v>
      </c>
      <c r="T321" s="4">
        <v>0</v>
      </c>
      <c r="U321" s="4" t="str">
        <f t="shared" si="60"/>
        <v>Nein</v>
      </c>
      <c r="V321" s="4">
        <f t="shared" si="61"/>
        <v>0</v>
      </c>
      <c r="W321" s="19">
        <f t="shared" si="62"/>
        <v>1.39</v>
      </c>
      <c r="X321" s="5">
        <v>0</v>
      </c>
      <c r="Y321" s="28">
        <f t="shared" si="63"/>
        <v>0</v>
      </c>
      <c r="Z321" s="31" t="s">
        <v>172</v>
      </c>
      <c r="AA321" t="str">
        <f t="shared" si="64"/>
        <v>Normal/Gering</v>
      </c>
    </row>
    <row r="322" spans="1:27" x14ac:dyDescent="0.35">
      <c r="A322" s="32" t="s">
        <v>15</v>
      </c>
      <c r="B322" s="2" t="str">
        <f>VLOOKUP(A322,Stammdaten!$A$3:$B$7,2,FALSE)</f>
        <v>Filiale Süd</v>
      </c>
      <c r="C322" s="3" t="str" cm="1">
        <f t="array" ref="C322">INDEX(Stammdaten!$A$11:$A$25,INT((ROW()-5)/12)+1 - INT((ROW()-5)/180)*15)</f>
        <v>A012</v>
      </c>
      <c r="D322" s="2" t="str">
        <f>VLOOKUP(C322,Stammdaten!$A$11:$B$25,2,FALSE)</f>
        <v>Quark 500g</v>
      </c>
      <c r="E322" s="3" t="str">
        <f>VLOOKUP(C322,Stammdaten!$A$11:$C$25,3,FALSE)</f>
        <v>Quark</v>
      </c>
      <c r="F322" s="19">
        <f>VLOOKUP(C322,Stammdaten!$A$11:$D$25,4,FALSE)</f>
        <v>1.39</v>
      </c>
      <c r="G322" s="4">
        <f t="shared" si="52"/>
        <v>6</v>
      </c>
      <c r="H322" s="20" t="str">
        <f>VLOOKUP(G322,Stammdaten!$A$30:$B$41,2,FALSE)</f>
        <v>Juni</v>
      </c>
      <c r="I322" s="4">
        <v>338</v>
      </c>
      <c r="J322" s="4">
        <v>327</v>
      </c>
      <c r="K322" s="4">
        <f t="shared" si="53"/>
        <v>-11</v>
      </c>
      <c r="L322" s="27">
        <f t="shared" si="54"/>
        <v>-3.2544378698224854</v>
      </c>
      <c r="M322" s="52" t="str">
        <f t="shared" si="55"/>
        <v>Schwund</v>
      </c>
      <c r="N322" s="28">
        <f t="shared" si="56"/>
        <v>15.29</v>
      </c>
      <c r="O322" s="5">
        <v>11</v>
      </c>
      <c r="P322" s="4">
        <v>3</v>
      </c>
      <c r="Q322" s="28">
        <f t="shared" si="57"/>
        <v>3.8224999999999998</v>
      </c>
      <c r="R322" s="50">
        <f t="shared" si="58"/>
        <v>4.5869999999999997</v>
      </c>
      <c r="S322" s="2" t="str">
        <f t="shared" si="59"/>
        <v>Normal</v>
      </c>
      <c r="T322" s="4">
        <v>0</v>
      </c>
      <c r="U322" s="4" t="str">
        <f t="shared" si="60"/>
        <v>Nein</v>
      </c>
      <c r="V322" s="4">
        <f t="shared" si="61"/>
        <v>0</v>
      </c>
      <c r="W322" s="19">
        <f t="shared" si="62"/>
        <v>1.39</v>
      </c>
      <c r="X322" s="5">
        <v>0</v>
      </c>
      <c r="Y322" s="28">
        <f t="shared" si="63"/>
        <v>0</v>
      </c>
      <c r="Z322" s="31" t="s">
        <v>172</v>
      </c>
      <c r="AA322" t="str">
        <f t="shared" si="64"/>
        <v>Prozessfehler</v>
      </c>
    </row>
    <row r="323" spans="1:27" x14ac:dyDescent="0.35">
      <c r="A323" s="32" t="s">
        <v>15</v>
      </c>
      <c r="B323" s="2" t="str">
        <f>VLOOKUP(A323,Stammdaten!$A$3:$B$7,2,FALSE)</f>
        <v>Filiale Süd</v>
      </c>
      <c r="C323" s="3" t="str" cm="1">
        <f t="array" ref="C323">INDEX(Stammdaten!$A$11:$A$25,INT((ROW()-5)/12)+1 - INT((ROW()-5)/180)*15)</f>
        <v>A012</v>
      </c>
      <c r="D323" s="2" t="str">
        <f>VLOOKUP(C323,Stammdaten!$A$11:$B$25,2,FALSE)</f>
        <v>Quark 500g</v>
      </c>
      <c r="E323" s="3" t="str">
        <f>VLOOKUP(C323,Stammdaten!$A$11:$C$25,3,FALSE)</f>
        <v>Quark</v>
      </c>
      <c r="F323" s="19">
        <f>VLOOKUP(C323,Stammdaten!$A$11:$D$25,4,FALSE)</f>
        <v>1.39</v>
      </c>
      <c r="G323" s="4">
        <f t="shared" si="52"/>
        <v>7</v>
      </c>
      <c r="H323" s="20" t="str">
        <f>VLOOKUP(G323,Stammdaten!$A$30:$B$41,2,FALSE)</f>
        <v>Juli</v>
      </c>
      <c r="I323" s="4">
        <v>399</v>
      </c>
      <c r="J323" s="4">
        <v>391</v>
      </c>
      <c r="K323" s="4">
        <f t="shared" si="53"/>
        <v>-8</v>
      </c>
      <c r="L323" s="27">
        <f t="shared" si="54"/>
        <v>-2.0050125313283207</v>
      </c>
      <c r="M323" s="52" t="str">
        <f t="shared" si="55"/>
        <v>Schwund</v>
      </c>
      <c r="N323" s="28">
        <f t="shared" si="56"/>
        <v>11.12</v>
      </c>
      <c r="O323" s="5">
        <v>11</v>
      </c>
      <c r="P323" s="4">
        <v>2</v>
      </c>
      <c r="Q323" s="28">
        <f t="shared" si="57"/>
        <v>2.78</v>
      </c>
      <c r="R323" s="50">
        <f t="shared" si="58"/>
        <v>3.3359999999999999</v>
      </c>
      <c r="S323" s="2" t="str">
        <f t="shared" si="59"/>
        <v>Normal</v>
      </c>
      <c r="T323" s="4">
        <v>0</v>
      </c>
      <c r="U323" s="4" t="str">
        <f t="shared" si="60"/>
        <v>Nein</v>
      </c>
      <c r="V323" s="4">
        <f t="shared" si="61"/>
        <v>0</v>
      </c>
      <c r="W323" s="19">
        <f t="shared" si="62"/>
        <v>1.39</v>
      </c>
      <c r="X323" s="5">
        <v>0</v>
      </c>
      <c r="Y323" s="28">
        <f t="shared" si="63"/>
        <v>0</v>
      </c>
      <c r="Z323" s="31" t="s">
        <v>172</v>
      </c>
      <c r="AA323" t="str">
        <f t="shared" si="64"/>
        <v>Prozessfehler</v>
      </c>
    </row>
    <row r="324" spans="1:27" x14ac:dyDescent="0.35">
      <c r="A324" s="32" t="s">
        <v>15</v>
      </c>
      <c r="B324" s="2" t="str">
        <f>VLOOKUP(A324,Stammdaten!$A$3:$B$7,2,FALSE)</f>
        <v>Filiale Süd</v>
      </c>
      <c r="C324" s="3" t="str" cm="1">
        <f t="array" ref="C324">INDEX(Stammdaten!$A$11:$A$25,INT((ROW()-5)/12)+1 - INT((ROW()-5)/180)*15)</f>
        <v>A012</v>
      </c>
      <c r="D324" s="2" t="str">
        <f>VLOOKUP(C324,Stammdaten!$A$11:$B$25,2,FALSE)</f>
        <v>Quark 500g</v>
      </c>
      <c r="E324" s="3" t="str">
        <f>VLOOKUP(C324,Stammdaten!$A$11:$C$25,3,FALSE)</f>
        <v>Quark</v>
      </c>
      <c r="F324" s="19">
        <f>VLOOKUP(C324,Stammdaten!$A$11:$D$25,4,FALSE)</f>
        <v>1.39</v>
      </c>
      <c r="G324" s="4">
        <f t="shared" si="52"/>
        <v>8</v>
      </c>
      <c r="H324" s="20" t="str">
        <f>VLOOKUP(G324,Stammdaten!$A$30:$B$41,2,FALSE)</f>
        <v>August</v>
      </c>
      <c r="I324" s="4">
        <v>379</v>
      </c>
      <c r="J324" s="4">
        <v>381</v>
      </c>
      <c r="K324" s="4">
        <f t="shared" si="53"/>
        <v>2</v>
      </c>
      <c r="L324" s="27">
        <f t="shared" si="54"/>
        <v>0.52770448548812665</v>
      </c>
      <c r="M324" s="52" t="str">
        <f t="shared" si="55"/>
        <v>Überbestand</v>
      </c>
      <c r="N324" s="28">
        <f t="shared" si="56"/>
        <v>2.78</v>
      </c>
      <c r="O324" s="5">
        <v>1</v>
      </c>
      <c r="P324" s="4">
        <v>5</v>
      </c>
      <c r="Q324" s="28">
        <f t="shared" si="57"/>
        <v>0</v>
      </c>
      <c r="R324" s="50">
        <f t="shared" si="58"/>
        <v>0</v>
      </c>
      <c r="S324" s="2" t="str">
        <f t="shared" si="59"/>
        <v>Normal</v>
      </c>
      <c r="T324" s="4">
        <v>2</v>
      </c>
      <c r="U324" s="4" t="str">
        <f t="shared" si="60"/>
        <v>Ja - 20% Reduzierung</v>
      </c>
      <c r="V324" s="4">
        <f t="shared" si="61"/>
        <v>20</v>
      </c>
      <c r="W324" s="19">
        <f t="shared" si="62"/>
        <v>1.1100000000000001</v>
      </c>
      <c r="X324" s="5">
        <v>49</v>
      </c>
      <c r="Y324" s="28">
        <f t="shared" si="63"/>
        <v>13.62</v>
      </c>
      <c r="Z324" s="31" t="s">
        <v>173</v>
      </c>
      <c r="AA324" t="str">
        <f t="shared" si="64"/>
        <v>Kassenfehler (Überbestand)</v>
      </c>
    </row>
    <row r="325" spans="1:27" x14ac:dyDescent="0.35">
      <c r="A325" s="32" t="s">
        <v>15</v>
      </c>
      <c r="B325" s="2" t="str">
        <f>VLOOKUP(A325,Stammdaten!$A$3:$B$7,2,FALSE)</f>
        <v>Filiale Süd</v>
      </c>
      <c r="C325" s="3" t="str" cm="1">
        <f t="array" ref="C325">INDEX(Stammdaten!$A$11:$A$25,INT((ROW()-5)/12)+1 - INT((ROW()-5)/180)*15)</f>
        <v>A012</v>
      </c>
      <c r="D325" s="2" t="str">
        <f>VLOOKUP(C325,Stammdaten!$A$11:$B$25,2,FALSE)</f>
        <v>Quark 500g</v>
      </c>
      <c r="E325" s="3" t="str">
        <f>VLOOKUP(C325,Stammdaten!$A$11:$C$25,3,FALSE)</f>
        <v>Quark</v>
      </c>
      <c r="F325" s="19">
        <f>VLOOKUP(C325,Stammdaten!$A$11:$D$25,4,FALSE)</f>
        <v>1.39</v>
      </c>
      <c r="G325" s="4">
        <f t="shared" si="52"/>
        <v>9</v>
      </c>
      <c r="H325" s="20" t="str">
        <f>VLOOKUP(G325,Stammdaten!$A$30:$B$41,2,FALSE)</f>
        <v>September</v>
      </c>
      <c r="I325" s="4">
        <v>289</v>
      </c>
      <c r="J325" s="4">
        <v>279</v>
      </c>
      <c r="K325" s="4">
        <f t="shared" si="53"/>
        <v>-10</v>
      </c>
      <c r="L325" s="27">
        <f t="shared" si="54"/>
        <v>-3.4602076124567476</v>
      </c>
      <c r="M325" s="52" t="str">
        <f t="shared" si="55"/>
        <v>Schwund</v>
      </c>
      <c r="N325" s="28">
        <f t="shared" si="56"/>
        <v>13.899999999999999</v>
      </c>
      <c r="O325" s="5">
        <v>8</v>
      </c>
      <c r="P325" s="4">
        <v>5</v>
      </c>
      <c r="Q325" s="28">
        <f t="shared" si="57"/>
        <v>3.4749999999999996</v>
      </c>
      <c r="R325" s="50">
        <f t="shared" si="58"/>
        <v>4.169999999999999</v>
      </c>
      <c r="S325" s="2" t="str">
        <f t="shared" si="59"/>
        <v>Normal</v>
      </c>
      <c r="T325" s="4">
        <v>0</v>
      </c>
      <c r="U325" s="4" t="str">
        <f t="shared" si="60"/>
        <v>Nein</v>
      </c>
      <c r="V325" s="4">
        <f t="shared" si="61"/>
        <v>0</v>
      </c>
      <c r="W325" s="19">
        <f t="shared" si="62"/>
        <v>1.39</v>
      </c>
      <c r="X325" s="5">
        <v>0</v>
      </c>
      <c r="Y325" s="28">
        <f t="shared" si="63"/>
        <v>0</v>
      </c>
      <c r="Z325" s="31" t="s">
        <v>172</v>
      </c>
      <c r="AA325" t="str">
        <f t="shared" si="64"/>
        <v>Prozessfehler</v>
      </c>
    </row>
    <row r="326" spans="1:27" x14ac:dyDescent="0.35">
      <c r="A326" s="32" t="s">
        <v>15</v>
      </c>
      <c r="B326" s="2" t="str">
        <f>VLOOKUP(A326,Stammdaten!$A$3:$B$7,2,FALSE)</f>
        <v>Filiale Süd</v>
      </c>
      <c r="C326" s="3" t="str" cm="1">
        <f t="array" ref="C326">INDEX(Stammdaten!$A$11:$A$25,INT((ROW()-5)/12)+1 - INT((ROW()-5)/180)*15)</f>
        <v>A012</v>
      </c>
      <c r="D326" s="2" t="str">
        <f>VLOOKUP(C326,Stammdaten!$A$11:$B$25,2,FALSE)</f>
        <v>Quark 500g</v>
      </c>
      <c r="E326" s="3" t="str">
        <f>VLOOKUP(C326,Stammdaten!$A$11:$C$25,3,FALSE)</f>
        <v>Quark</v>
      </c>
      <c r="F326" s="19">
        <f>VLOOKUP(C326,Stammdaten!$A$11:$D$25,4,FALSE)</f>
        <v>1.39</v>
      </c>
      <c r="G326" s="4">
        <f t="shared" ref="G326:G389" si="65">MOD(ROW()-5,12)+1</f>
        <v>10</v>
      </c>
      <c r="H326" s="20" t="str">
        <f>VLOOKUP(G326,Stammdaten!$A$30:$B$41,2,FALSE)</f>
        <v>Oktober</v>
      </c>
      <c r="I326" s="4">
        <v>330</v>
      </c>
      <c r="J326" s="4">
        <v>337</v>
      </c>
      <c r="K326" s="4">
        <f t="shared" ref="K326:K389" si="66">J326-I326</f>
        <v>7</v>
      </c>
      <c r="L326" s="27">
        <f t="shared" ref="L326:L389" si="67">IF(I326=0,0,(K326)/I326*100)</f>
        <v>2.1212121212121215</v>
      </c>
      <c r="M326" s="52" t="str">
        <f t="shared" ref="M326:M389" si="68">IF(K326=0,"Perfekt",IF(K326&lt;0,"Schwund","Überbestand"))</f>
        <v>Überbestand</v>
      </c>
      <c r="N326" s="28">
        <f t="shared" ref="N326:N389" si="69">ABS(K326)*F326</f>
        <v>9.7299999999999986</v>
      </c>
      <c r="O326" s="5">
        <v>12</v>
      </c>
      <c r="P326" s="4">
        <v>0</v>
      </c>
      <c r="Q326" s="28">
        <f t="shared" ref="Q326:Q389" si="70">IF(K326&lt;0,ABS(N326)*0.25,0)</f>
        <v>0</v>
      </c>
      <c r="R326" s="50">
        <f t="shared" ref="R326:R389" si="71">IF(K326&lt;0,ABS(N326)*0.3,0)</f>
        <v>0</v>
      </c>
      <c r="S326" s="2" t="str">
        <f t="shared" ref="S326:S389" si="72">IF(G326=4,"Ostern",IF(G326=12,"Weihnachten/Silvester",IF(G326=11,"Black Friday",IF(G326=2,"Karneval","Normal"))))</f>
        <v>Normal</v>
      </c>
      <c r="T326" s="4">
        <v>7</v>
      </c>
      <c r="U326" s="4" t="str">
        <f t="shared" ref="U326:U389" si="73">IF(O326&lt;=0,"Abschreibung",IF(O326&lt;=3,"Ja - 20% Reduzierung","Nein"))</f>
        <v>Nein</v>
      </c>
      <c r="V326" s="4">
        <f t="shared" ref="V326:V389" si="74">IF(O326&lt;=0,100,IF(O326&lt;=3,20,0))</f>
        <v>0</v>
      </c>
      <c r="W326" s="19">
        <f t="shared" ref="W326:W389" si="75">IF(V326=100,0,ROUND(F326*(1-V326/100),2))</f>
        <v>1.39</v>
      </c>
      <c r="X326" s="5">
        <v>0</v>
      </c>
      <c r="Y326" s="28">
        <f t="shared" ref="Y326:Y389" si="76">ROUND(X326*F326*(V326/100),2)</f>
        <v>0</v>
      </c>
      <c r="Z326" s="31" t="s">
        <v>172</v>
      </c>
      <c r="AA326" t="str">
        <f t="shared" ref="AA326:AA389" si="77">IF(O326&lt;=0,"Verderb - Abgelaufen",IF(AND(O326&lt;=3,Z326&lt;&gt;"Korrekt",Z326&lt;&gt;"Kein MHD - Prozess"),"MHD - Prozessfehler",IF(K326&gt;0,"Kassenfehler (Überbestand)",IF(AND(ABS(L326)&gt;3,A326="F005"),"Diebstahlrisiko",IF(AND(ABS(L326)&gt;2,P326&lt;2),"Buchungsfehler Wareneingang",IF(ABS(L326)&gt;2,"Prozessfehler","Normal/Gering"))))))</f>
        <v>Kassenfehler (Überbestand)</v>
      </c>
    </row>
    <row r="327" spans="1:27" x14ac:dyDescent="0.35">
      <c r="A327" s="32" t="s">
        <v>15</v>
      </c>
      <c r="B327" s="2" t="str">
        <f>VLOOKUP(A327,Stammdaten!$A$3:$B$7,2,FALSE)</f>
        <v>Filiale Süd</v>
      </c>
      <c r="C327" s="3" t="str" cm="1">
        <f t="array" ref="C327">INDEX(Stammdaten!$A$11:$A$25,INT((ROW()-5)/12)+1 - INT((ROW()-5)/180)*15)</f>
        <v>A012</v>
      </c>
      <c r="D327" s="2" t="str">
        <f>VLOOKUP(C327,Stammdaten!$A$11:$B$25,2,FALSE)</f>
        <v>Quark 500g</v>
      </c>
      <c r="E327" s="3" t="str">
        <f>VLOOKUP(C327,Stammdaten!$A$11:$C$25,3,FALSE)</f>
        <v>Quark</v>
      </c>
      <c r="F327" s="19">
        <f>VLOOKUP(C327,Stammdaten!$A$11:$D$25,4,FALSE)</f>
        <v>1.39</v>
      </c>
      <c r="G327" s="4">
        <f t="shared" si="65"/>
        <v>11</v>
      </c>
      <c r="H327" s="20" t="str">
        <f>VLOOKUP(G327,Stammdaten!$A$30:$B$41,2,FALSE)</f>
        <v>November</v>
      </c>
      <c r="I327" s="4">
        <v>370</v>
      </c>
      <c r="J327" s="4">
        <v>357</v>
      </c>
      <c r="K327" s="4">
        <f t="shared" si="66"/>
        <v>-13</v>
      </c>
      <c r="L327" s="27">
        <f t="shared" si="67"/>
        <v>-3.5135135135135136</v>
      </c>
      <c r="M327" s="52" t="str">
        <f t="shared" si="68"/>
        <v>Schwund</v>
      </c>
      <c r="N327" s="28">
        <f t="shared" si="69"/>
        <v>18.07</v>
      </c>
      <c r="O327" s="5">
        <v>9</v>
      </c>
      <c r="P327" s="4">
        <v>5</v>
      </c>
      <c r="Q327" s="28">
        <f t="shared" si="70"/>
        <v>4.5175000000000001</v>
      </c>
      <c r="R327" s="50">
        <f t="shared" si="71"/>
        <v>5.4210000000000003</v>
      </c>
      <c r="S327" s="2" t="str">
        <f t="shared" si="72"/>
        <v>Black Friday</v>
      </c>
      <c r="T327" s="4">
        <v>0</v>
      </c>
      <c r="U327" s="4" t="str">
        <f t="shared" si="73"/>
        <v>Nein</v>
      </c>
      <c r="V327" s="4">
        <f t="shared" si="74"/>
        <v>0</v>
      </c>
      <c r="W327" s="19">
        <f t="shared" si="75"/>
        <v>1.39</v>
      </c>
      <c r="X327" s="5">
        <v>0</v>
      </c>
      <c r="Y327" s="28">
        <f t="shared" si="76"/>
        <v>0</v>
      </c>
      <c r="Z327" s="31" t="s">
        <v>172</v>
      </c>
      <c r="AA327" t="str">
        <f t="shared" si="77"/>
        <v>Prozessfehler</v>
      </c>
    </row>
    <row r="328" spans="1:27" x14ac:dyDescent="0.35">
      <c r="A328" s="32" t="s">
        <v>15</v>
      </c>
      <c r="B328" s="2" t="str">
        <f>VLOOKUP(A328,Stammdaten!$A$3:$B$7,2,FALSE)</f>
        <v>Filiale Süd</v>
      </c>
      <c r="C328" s="3" t="str" cm="1">
        <f t="array" ref="C328">INDEX(Stammdaten!$A$11:$A$25,INT((ROW()-5)/12)+1 - INT((ROW()-5)/180)*15)</f>
        <v>A012</v>
      </c>
      <c r="D328" s="2" t="str">
        <f>VLOOKUP(C328,Stammdaten!$A$11:$B$25,2,FALSE)</f>
        <v>Quark 500g</v>
      </c>
      <c r="E328" s="3" t="str">
        <f>VLOOKUP(C328,Stammdaten!$A$11:$C$25,3,FALSE)</f>
        <v>Quark</v>
      </c>
      <c r="F328" s="19">
        <f>VLOOKUP(C328,Stammdaten!$A$11:$D$25,4,FALSE)</f>
        <v>1.39</v>
      </c>
      <c r="G328" s="4">
        <f t="shared" si="65"/>
        <v>12</v>
      </c>
      <c r="H328" s="20" t="str">
        <f>VLOOKUP(G328,Stammdaten!$A$30:$B$41,2,FALSE)</f>
        <v>Dezember</v>
      </c>
      <c r="I328" s="4">
        <v>439</v>
      </c>
      <c r="J328" s="4">
        <v>417</v>
      </c>
      <c r="K328" s="4">
        <f t="shared" si="66"/>
        <v>-22</v>
      </c>
      <c r="L328" s="27">
        <f t="shared" si="67"/>
        <v>-5.0113895216400905</v>
      </c>
      <c r="M328" s="52" t="str">
        <f t="shared" si="68"/>
        <v>Schwund</v>
      </c>
      <c r="N328" s="28">
        <f t="shared" si="69"/>
        <v>30.58</v>
      </c>
      <c r="O328" s="5">
        <v>10</v>
      </c>
      <c r="P328" s="4">
        <v>0</v>
      </c>
      <c r="Q328" s="28">
        <f t="shared" si="70"/>
        <v>7.6449999999999996</v>
      </c>
      <c r="R328" s="50">
        <f t="shared" si="71"/>
        <v>9.1739999999999995</v>
      </c>
      <c r="S328" s="2" t="str">
        <f t="shared" si="72"/>
        <v>Weihnachten/Silvester</v>
      </c>
      <c r="T328" s="4">
        <v>0</v>
      </c>
      <c r="U328" s="4" t="str">
        <f t="shared" si="73"/>
        <v>Nein</v>
      </c>
      <c r="V328" s="4">
        <f t="shared" si="74"/>
        <v>0</v>
      </c>
      <c r="W328" s="19">
        <f t="shared" si="75"/>
        <v>1.39</v>
      </c>
      <c r="X328" s="5">
        <v>0</v>
      </c>
      <c r="Y328" s="28">
        <f t="shared" si="76"/>
        <v>0</v>
      </c>
      <c r="Z328" s="31" t="s">
        <v>172</v>
      </c>
      <c r="AA328" t="str">
        <f t="shared" si="77"/>
        <v>Buchungsfehler Wareneingang</v>
      </c>
    </row>
    <row r="329" spans="1:27" x14ac:dyDescent="0.35">
      <c r="A329" s="32" t="s">
        <v>15</v>
      </c>
      <c r="B329" s="2" t="str">
        <f>VLOOKUP(A329,Stammdaten!$A$3:$B$7,2,FALSE)</f>
        <v>Filiale Süd</v>
      </c>
      <c r="C329" s="3" t="str" cm="1">
        <f t="array" ref="C329">INDEX(Stammdaten!$A$11:$A$25,INT((ROW()-5)/12)+1 - INT((ROW()-5)/180)*15)</f>
        <v>A013</v>
      </c>
      <c r="D329" s="2" t="str">
        <f>VLOOKUP(C329,Stammdaten!$A$11:$B$25,2,FALSE)</f>
        <v>Skyr 450g</v>
      </c>
      <c r="E329" s="3" t="str">
        <f>VLOOKUP(C329,Stammdaten!$A$11:$C$25,3,FALSE)</f>
        <v>Joghurt</v>
      </c>
      <c r="F329" s="19">
        <f>VLOOKUP(C329,Stammdaten!$A$11:$D$25,4,FALSE)</f>
        <v>1.99</v>
      </c>
      <c r="G329" s="4">
        <f t="shared" si="65"/>
        <v>1</v>
      </c>
      <c r="H329" s="20" t="str">
        <f>VLOOKUP(G329,Stammdaten!$A$30:$B$41,2,FALSE)</f>
        <v>Januar</v>
      </c>
      <c r="I329" s="4">
        <v>184</v>
      </c>
      <c r="J329" s="4">
        <v>181</v>
      </c>
      <c r="K329" s="4">
        <f t="shared" si="66"/>
        <v>-3</v>
      </c>
      <c r="L329" s="27">
        <f t="shared" si="67"/>
        <v>-1.6304347826086956</v>
      </c>
      <c r="M329" s="52" t="str">
        <f t="shared" si="68"/>
        <v>Schwund</v>
      </c>
      <c r="N329" s="28">
        <f t="shared" si="69"/>
        <v>5.97</v>
      </c>
      <c r="O329" s="5">
        <v>13</v>
      </c>
      <c r="P329" s="4">
        <v>6</v>
      </c>
      <c r="Q329" s="28">
        <f t="shared" si="70"/>
        <v>1.4924999999999999</v>
      </c>
      <c r="R329" s="50">
        <f t="shared" si="71"/>
        <v>1.7909999999999999</v>
      </c>
      <c r="S329" s="2" t="str">
        <f t="shared" si="72"/>
        <v>Normal</v>
      </c>
      <c r="T329" s="4">
        <v>0</v>
      </c>
      <c r="U329" s="4" t="str">
        <f t="shared" si="73"/>
        <v>Nein</v>
      </c>
      <c r="V329" s="4">
        <f t="shared" si="74"/>
        <v>0</v>
      </c>
      <c r="W329" s="19">
        <f t="shared" si="75"/>
        <v>1.99</v>
      </c>
      <c r="X329" s="5">
        <v>0</v>
      </c>
      <c r="Y329" s="28">
        <f t="shared" si="76"/>
        <v>0</v>
      </c>
      <c r="Z329" s="31" t="s">
        <v>172</v>
      </c>
      <c r="AA329" t="str">
        <f t="shared" si="77"/>
        <v>Normal/Gering</v>
      </c>
    </row>
    <row r="330" spans="1:27" x14ac:dyDescent="0.35">
      <c r="A330" s="32" t="s">
        <v>15</v>
      </c>
      <c r="B330" s="2" t="str">
        <f>VLOOKUP(A330,Stammdaten!$A$3:$B$7,2,FALSE)</f>
        <v>Filiale Süd</v>
      </c>
      <c r="C330" s="3" t="str" cm="1">
        <f t="array" ref="C330">INDEX(Stammdaten!$A$11:$A$25,INT((ROW()-5)/12)+1 - INT((ROW()-5)/180)*15)</f>
        <v>A013</v>
      </c>
      <c r="D330" s="2" t="str">
        <f>VLOOKUP(C330,Stammdaten!$A$11:$B$25,2,FALSE)</f>
        <v>Skyr 450g</v>
      </c>
      <c r="E330" s="3" t="str">
        <f>VLOOKUP(C330,Stammdaten!$A$11:$C$25,3,FALSE)</f>
        <v>Joghurt</v>
      </c>
      <c r="F330" s="19">
        <f>VLOOKUP(C330,Stammdaten!$A$11:$D$25,4,FALSE)</f>
        <v>1.99</v>
      </c>
      <c r="G330" s="4">
        <f t="shared" si="65"/>
        <v>2</v>
      </c>
      <c r="H330" s="20" t="str">
        <f>VLOOKUP(G330,Stammdaten!$A$30:$B$41,2,FALSE)</f>
        <v>Februar</v>
      </c>
      <c r="I330" s="4">
        <v>162</v>
      </c>
      <c r="J330" s="4">
        <v>164</v>
      </c>
      <c r="K330" s="4">
        <f t="shared" si="66"/>
        <v>2</v>
      </c>
      <c r="L330" s="27">
        <f t="shared" si="67"/>
        <v>1.2345679012345678</v>
      </c>
      <c r="M330" s="52" t="str">
        <f t="shared" si="68"/>
        <v>Überbestand</v>
      </c>
      <c r="N330" s="28">
        <f t="shared" si="69"/>
        <v>3.98</v>
      </c>
      <c r="O330" s="5">
        <v>4</v>
      </c>
      <c r="P330" s="4">
        <v>3</v>
      </c>
      <c r="Q330" s="28">
        <f t="shared" si="70"/>
        <v>0</v>
      </c>
      <c r="R330" s="50">
        <f t="shared" si="71"/>
        <v>0</v>
      </c>
      <c r="S330" s="2" t="str">
        <f t="shared" si="72"/>
        <v>Karneval</v>
      </c>
      <c r="T330" s="4">
        <v>2</v>
      </c>
      <c r="U330" s="4" t="str">
        <f t="shared" si="73"/>
        <v>Nein</v>
      </c>
      <c r="V330" s="4">
        <f t="shared" si="74"/>
        <v>0</v>
      </c>
      <c r="W330" s="19">
        <f t="shared" si="75"/>
        <v>1.99</v>
      </c>
      <c r="X330" s="5">
        <v>0</v>
      </c>
      <c r="Y330" s="28">
        <f t="shared" si="76"/>
        <v>0</v>
      </c>
      <c r="Z330" s="31" t="s">
        <v>172</v>
      </c>
      <c r="AA330" t="str">
        <f t="shared" si="77"/>
        <v>Kassenfehler (Überbestand)</v>
      </c>
    </row>
    <row r="331" spans="1:27" x14ac:dyDescent="0.35">
      <c r="A331" s="32" t="s">
        <v>15</v>
      </c>
      <c r="B331" s="2" t="str">
        <f>VLOOKUP(A331,Stammdaten!$A$3:$B$7,2,FALSE)</f>
        <v>Filiale Süd</v>
      </c>
      <c r="C331" s="3" t="str" cm="1">
        <f t="array" ref="C331">INDEX(Stammdaten!$A$11:$A$25,INT((ROW()-5)/12)+1 - INT((ROW()-5)/180)*15)</f>
        <v>A013</v>
      </c>
      <c r="D331" s="2" t="str">
        <f>VLOOKUP(C331,Stammdaten!$A$11:$B$25,2,FALSE)</f>
        <v>Skyr 450g</v>
      </c>
      <c r="E331" s="3" t="str">
        <f>VLOOKUP(C331,Stammdaten!$A$11:$C$25,3,FALSE)</f>
        <v>Joghurt</v>
      </c>
      <c r="F331" s="19">
        <f>VLOOKUP(C331,Stammdaten!$A$11:$D$25,4,FALSE)</f>
        <v>1.99</v>
      </c>
      <c r="G331" s="4">
        <f t="shared" si="65"/>
        <v>3</v>
      </c>
      <c r="H331" s="20" t="str">
        <f>VLOOKUP(G331,Stammdaten!$A$30:$B$41,2,FALSE)</f>
        <v>März</v>
      </c>
      <c r="I331" s="4">
        <v>212</v>
      </c>
      <c r="J331" s="4">
        <v>214</v>
      </c>
      <c r="K331" s="4">
        <f t="shared" si="66"/>
        <v>2</v>
      </c>
      <c r="L331" s="27">
        <f t="shared" si="67"/>
        <v>0.94339622641509435</v>
      </c>
      <c r="M331" s="52" t="str">
        <f t="shared" si="68"/>
        <v>Überbestand</v>
      </c>
      <c r="N331" s="28">
        <f t="shared" si="69"/>
        <v>3.98</v>
      </c>
      <c r="O331" s="5">
        <v>20</v>
      </c>
      <c r="P331" s="4">
        <v>0</v>
      </c>
      <c r="Q331" s="28">
        <f t="shared" si="70"/>
        <v>0</v>
      </c>
      <c r="R331" s="50">
        <f t="shared" si="71"/>
        <v>0</v>
      </c>
      <c r="S331" s="2" t="str">
        <f t="shared" si="72"/>
        <v>Normal</v>
      </c>
      <c r="T331" s="4">
        <v>2</v>
      </c>
      <c r="U331" s="4" t="str">
        <f t="shared" si="73"/>
        <v>Nein</v>
      </c>
      <c r="V331" s="4">
        <f t="shared" si="74"/>
        <v>0</v>
      </c>
      <c r="W331" s="19">
        <f t="shared" si="75"/>
        <v>1.99</v>
      </c>
      <c r="X331" s="5">
        <v>0</v>
      </c>
      <c r="Y331" s="28">
        <f t="shared" si="76"/>
        <v>0</v>
      </c>
      <c r="Z331" s="31" t="s">
        <v>172</v>
      </c>
      <c r="AA331" t="str">
        <f t="shared" si="77"/>
        <v>Kassenfehler (Überbestand)</v>
      </c>
    </row>
    <row r="332" spans="1:27" x14ac:dyDescent="0.35">
      <c r="A332" s="32" t="s">
        <v>15</v>
      </c>
      <c r="B332" s="2" t="str">
        <f>VLOOKUP(A332,Stammdaten!$A$3:$B$7,2,FALSE)</f>
        <v>Filiale Süd</v>
      </c>
      <c r="C332" s="3" t="str" cm="1">
        <f t="array" ref="C332">INDEX(Stammdaten!$A$11:$A$25,INT((ROW()-5)/12)+1 - INT((ROW()-5)/180)*15)</f>
        <v>A013</v>
      </c>
      <c r="D332" s="2" t="str">
        <f>VLOOKUP(C332,Stammdaten!$A$11:$B$25,2,FALSE)</f>
        <v>Skyr 450g</v>
      </c>
      <c r="E332" s="3" t="str">
        <f>VLOOKUP(C332,Stammdaten!$A$11:$C$25,3,FALSE)</f>
        <v>Joghurt</v>
      </c>
      <c r="F332" s="19">
        <f>VLOOKUP(C332,Stammdaten!$A$11:$D$25,4,FALSE)</f>
        <v>1.99</v>
      </c>
      <c r="G332" s="4">
        <f t="shared" si="65"/>
        <v>4</v>
      </c>
      <c r="H332" s="20" t="str">
        <f>VLOOKUP(G332,Stammdaten!$A$30:$B$41,2,FALSE)</f>
        <v>April</v>
      </c>
      <c r="I332" s="4">
        <v>248</v>
      </c>
      <c r="J332" s="4">
        <v>239</v>
      </c>
      <c r="K332" s="4">
        <f t="shared" si="66"/>
        <v>-9</v>
      </c>
      <c r="L332" s="27">
        <f t="shared" si="67"/>
        <v>-3.6290322580645165</v>
      </c>
      <c r="M332" s="52" t="str">
        <f t="shared" si="68"/>
        <v>Schwund</v>
      </c>
      <c r="N332" s="28">
        <f t="shared" si="69"/>
        <v>17.91</v>
      </c>
      <c r="O332" s="5">
        <v>16</v>
      </c>
      <c r="P332" s="4">
        <v>6</v>
      </c>
      <c r="Q332" s="28">
        <f t="shared" si="70"/>
        <v>4.4775</v>
      </c>
      <c r="R332" s="50">
        <f t="shared" si="71"/>
        <v>5.3730000000000002</v>
      </c>
      <c r="S332" s="2" t="str">
        <f t="shared" si="72"/>
        <v>Ostern</v>
      </c>
      <c r="T332" s="4">
        <v>0</v>
      </c>
      <c r="U332" s="4" t="str">
        <f t="shared" si="73"/>
        <v>Nein</v>
      </c>
      <c r="V332" s="4">
        <f t="shared" si="74"/>
        <v>0</v>
      </c>
      <c r="W332" s="19">
        <f t="shared" si="75"/>
        <v>1.99</v>
      </c>
      <c r="X332" s="5">
        <v>0</v>
      </c>
      <c r="Y332" s="28">
        <f t="shared" si="76"/>
        <v>0</v>
      </c>
      <c r="Z332" s="31" t="s">
        <v>172</v>
      </c>
      <c r="AA332" t="str">
        <f t="shared" si="77"/>
        <v>Prozessfehler</v>
      </c>
    </row>
    <row r="333" spans="1:27" x14ac:dyDescent="0.35">
      <c r="A333" s="32" t="s">
        <v>15</v>
      </c>
      <c r="B333" s="2" t="str">
        <f>VLOOKUP(A333,Stammdaten!$A$3:$B$7,2,FALSE)</f>
        <v>Filiale Süd</v>
      </c>
      <c r="C333" s="3" t="str" cm="1">
        <f t="array" ref="C333">INDEX(Stammdaten!$A$11:$A$25,INT((ROW()-5)/12)+1 - INT((ROW()-5)/180)*15)</f>
        <v>A013</v>
      </c>
      <c r="D333" s="2" t="str">
        <f>VLOOKUP(C333,Stammdaten!$A$11:$B$25,2,FALSE)</f>
        <v>Skyr 450g</v>
      </c>
      <c r="E333" s="3" t="str">
        <f>VLOOKUP(C333,Stammdaten!$A$11:$C$25,3,FALSE)</f>
        <v>Joghurt</v>
      </c>
      <c r="F333" s="19">
        <f>VLOOKUP(C333,Stammdaten!$A$11:$D$25,4,FALSE)</f>
        <v>1.99</v>
      </c>
      <c r="G333" s="4">
        <f t="shared" si="65"/>
        <v>5</v>
      </c>
      <c r="H333" s="20" t="str">
        <f>VLOOKUP(G333,Stammdaten!$A$30:$B$41,2,FALSE)</f>
        <v>Mai</v>
      </c>
      <c r="I333" s="4">
        <v>194</v>
      </c>
      <c r="J333" s="4">
        <v>187</v>
      </c>
      <c r="K333" s="4">
        <f t="shared" si="66"/>
        <v>-7</v>
      </c>
      <c r="L333" s="27">
        <f t="shared" si="67"/>
        <v>-3.608247422680412</v>
      </c>
      <c r="M333" s="52" t="str">
        <f t="shared" si="68"/>
        <v>Schwund</v>
      </c>
      <c r="N333" s="28">
        <f t="shared" si="69"/>
        <v>13.93</v>
      </c>
      <c r="O333" s="5">
        <v>11</v>
      </c>
      <c r="P333" s="4">
        <v>6</v>
      </c>
      <c r="Q333" s="28">
        <f t="shared" si="70"/>
        <v>3.4824999999999999</v>
      </c>
      <c r="R333" s="50">
        <f t="shared" si="71"/>
        <v>4.1789999999999994</v>
      </c>
      <c r="S333" s="2" t="str">
        <f t="shared" si="72"/>
        <v>Normal</v>
      </c>
      <c r="T333" s="4">
        <v>0</v>
      </c>
      <c r="U333" s="4" t="str">
        <f t="shared" si="73"/>
        <v>Nein</v>
      </c>
      <c r="V333" s="4">
        <f t="shared" si="74"/>
        <v>0</v>
      </c>
      <c r="W333" s="19">
        <f t="shared" si="75"/>
        <v>1.99</v>
      </c>
      <c r="X333" s="5">
        <v>0</v>
      </c>
      <c r="Y333" s="28">
        <f t="shared" si="76"/>
        <v>0</v>
      </c>
      <c r="Z333" s="31" t="s">
        <v>172</v>
      </c>
      <c r="AA333" t="str">
        <f t="shared" si="77"/>
        <v>Prozessfehler</v>
      </c>
    </row>
    <row r="334" spans="1:27" x14ac:dyDescent="0.35">
      <c r="A334" s="32" t="s">
        <v>15</v>
      </c>
      <c r="B334" s="2" t="str">
        <f>VLOOKUP(A334,Stammdaten!$A$3:$B$7,2,FALSE)</f>
        <v>Filiale Süd</v>
      </c>
      <c r="C334" s="3" t="str" cm="1">
        <f t="array" ref="C334">INDEX(Stammdaten!$A$11:$A$25,INT((ROW()-5)/12)+1 - INT((ROW()-5)/180)*15)</f>
        <v>A013</v>
      </c>
      <c r="D334" s="2" t="str">
        <f>VLOOKUP(C334,Stammdaten!$A$11:$B$25,2,FALSE)</f>
        <v>Skyr 450g</v>
      </c>
      <c r="E334" s="3" t="str">
        <f>VLOOKUP(C334,Stammdaten!$A$11:$C$25,3,FALSE)</f>
        <v>Joghurt</v>
      </c>
      <c r="F334" s="19">
        <f>VLOOKUP(C334,Stammdaten!$A$11:$D$25,4,FALSE)</f>
        <v>1.99</v>
      </c>
      <c r="G334" s="4">
        <f t="shared" si="65"/>
        <v>6</v>
      </c>
      <c r="H334" s="20" t="str">
        <f>VLOOKUP(G334,Stammdaten!$A$30:$B$41,2,FALSE)</f>
        <v>Juni</v>
      </c>
      <c r="I334" s="4">
        <v>216</v>
      </c>
      <c r="J334" s="4">
        <v>217</v>
      </c>
      <c r="K334" s="4">
        <f t="shared" si="66"/>
        <v>1</v>
      </c>
      <c r="L334" s="27">
        <f t="shared" si="67"/>
        <v>0.46296296296296291</v>
      </c>
      <c r="M334" s="52" t="str">
        <f t="shared" si="68"/>
        <v>Überbestand</v>
      </c>
      <c r="N334" s="28">
        <f t="shared" si="69"/>
        <v>1.99</v>
      </c>
      <c r="O334" s="5">
        <v>13</v>
      </c>
      <c r="P334" s="4">
        <v>6</v>
      </c>
      <c r="Q334" s="28">
        <f t="shared" si="70"/>
        <v>0</v>
      </c>
      <c r="R334" s="50">
        <f t="shared" si="71"/>
        <v>0</v>
      </c>
      <c r="S334" s="2" t="str">
        <f t="shared" si="72"/>
        <v>Normal</v>
      </c>
      <c r="T334" s="4">
        <v>1</v>
      </c>
      <c r="U334" s="4" t="str">
        <f t="shared" si="73"/>
        <v>Nein</v>
      </c>
      <c r="V334" s="4">
        <f t="shared" si="74"/>
        <v>0</v>
      </c>
      <c r="W334" s="19">
        <f t="shared" si="75"/>
        <v>1.99</v>
      </c>
      <c r="X334" s="5">
        <v>0</v>
      </c>
      <c r="Y334" s="28">
        <f t="shared" si="76"/>
        <v>0</v>
      </c>
      <c r="Z334" s="31" t="s">
        <v>172</v>
      </c>
      <c r="AA334" t="str">
        <f t="shared" si="77"/>
        <v>Kassenfehler (Überbestand)</v>
      </c>
    </row>
    <row r="335" spans="1:27" x14ac:dyDescent="0.35">
      <c r="A335" s="32" t="s">
        <v>15</v>
      </c>
      <c r="B335" s="2" t="str">
        <f>VLOOKUP(A335,Stammdaten!$A$3:$B$7,2,FALSE)</f>
        <v>Filiale Süd</v>
      </c>
      <c r="C335" s="3" t="str" cm="1">
        <f t="array" ref="C335">INDEX(Stammdaten!$A$11:$A$25,INT((ROW()-5)/12)+1 - INT((ROW()-5)/180)*15)</f>
        <v>A013</v>
      </c>
      <c r="D335" s="2" t="str">
        <f>VLOOKUP(C335,Stammdaten!$A$11:$B$25,2,FALSE)</f>
        <v>Skyr 450g</v>
      </c>
      <c r="E335" s="3" t="str">
        <f>VLOOKUP(C335,Stammdaten!$A$11:$C$25,3,FALSE)</f>
        <v>Joghurt</v>
      </c>
      <c r="F335" s="19">
        <f>VLOOKUP(C335,Stammdaten!$A$11:$D$25,4,FALSE)</f>
        <v>1.99</v>
      </c>
      <c r="G335" s="4">
        <f t="shared" si="65"/>
        <v>7</v>
      </c>
      <c r="H335" s="20" t="str">
        <f>VLOOKUP(G335,Stammdaten!$A$30:$B$41,2,FALSE)</f>
        <v>Juli</v>
      </c>
      <c r="I335" s="4">
        <v>247</v>
      </c>
      <c r="J335" s="4">
        <v>242</v>
      </c>
      <c r="K335" s="4">
        <f t="shared" si="66"/>
        <v>-5</v>
      </c>
      <c r="L335" s="27">
        <f t="shared" si="67"/>
        <v>-2.0242914979757085</v>
      </c>
      <c r="M335" s="52" t="str">
        <f t="shared" si="68"/>
        <v>Schwund</v>
      </c>
      <c r="N335" s="28">
        <f t="shared" si="69"/>
        <v>9.9499999999999993</v>
      </c>
      <c r="O335" s="5">
        <v>3</v>
      </c>
      <c r="P335" s="4">
        <v>7</v>
      </c>
      <c r="Q335" s="28">
        <f t="shared" si="70"/>
        <v>2.4874999999999998</v>
      </c>
      <c r="R335" s="50">
        <f t="shared" si="71"/>
        <v>2.9849999999999999</v>
      </c>
      <c r="S335" s="2" t="str">
        <f t="shared" si="72"/>
        <v>Normal</v>
      </c>
      <c r="T335" s="4">
        <v>0</v>
      </c>
      <c r="U335" s="4" t="str">
        <f t="shared" si="73"/>
        <v>Ja - 20% Reduzierung</v>
      </c>
      <c r="V335" s="4">
        <f t="shared" si="74"/>
        <v>20</v>
      </c>
      <c r="W335" s="19">
        <f t="shared" si="75"/>
        <v>1.59</v>
      </c>
      <c r="X335" s="5">
        <v>25</v>
      </c>
      <c r="Y335" s="28">
        <f t="shared" si="76"/>
        <v>9.9499999999999993</v>
      </c>
      <c r="Z335" s="31" t="s">
        <v>173</v>
      </c>
      <c r="AA335" t="str">
        <f t="shared" si="77"/>
        <v>Prozessfehler</v>
      </c>
    </row>
    <row r="336" spans="1:27" x14ac:dyDescent="0.35">
      <c r="A336" s="32" t="s">
        <v>15</v>
      </c>
      <c r="B336" s="2" t="str">
        <f>VLOOKUP(A336,Stammdaten!$A$3:$B$7,2,FALSE)</f>
        <v>Filiale Süd</v>
      </c>
      <c r="C336" s="3" t="str" cm="1">
        <f t="array" ref="C336">INDEX(Stammdaten!$A$11:$A$25,INT((ROW()-5)/12)+1 - INT((ROW()-5)/180)*15)</f>
        <v>A013</v>
      </c>
      <c r="D336" s="2" t="str">
        <f>VLOOKUP(C336,Stammdaten!$A$11:$B$25,2,FALSE)</f>
        <v>Skyr 450g</v>
      </c>
      <c r="E336" s="3" t="str">
        <f>VLOOKUP(C336,Stammdaten!$A$11:$C$25,3,FALSE)</f>
        <v>Joghurt</v>
      </c>
      <c r="F336" s="19">
        <f>VLOOKUP(C336,Stammdaten!$A$11:$D$25,4,FALSE)</f>
        <v>1.99</v>
      </c>
      <c r="G336" s="4">
        <f t="shared" si="65"/>
        <v>8</v>
      </c>
      <c r="H336" s="20" t="str">
        <f>VLOOKUP(G336,Stammdaten!$A$30:$B$41,2,FALSE)</f>
        <v>August</v>
      </c>
      <c r="I336" s="4">
        <v>219</v>
      </c>
      <c r="J336" s="4">
        <v>215</v>
      </c>
      <c r="K336" s="4">
        <f t="shared" si="66"/>
        <v>-4</v>
      </c>
      <c r="L336" s="27">
        <f t="shared" si="67"/>
        <v>-1.8264840182648401</v>
      </c>
      <c r="M336" s="52" t="str">
        <f t="shared" si="68"/>
        <v>Schwund</v>
      </c>
      <c r="N336" s="28">
        <f t="shared" si="69"/>
        <v>7.96</v>
      </c>
      <c r="O336" s="5">
        <v>21</v>
      </c>
      <c r="P336" s="4">
        <v>4</v>
      </c>
      <c r="Q336" s="28">
        <f t="shared" si="70"/>
        <v>1.99</v>
      </c>
      <c r="R336" s="50">
        <f t="shared" si="71"/>
        <v>2.3879999999999999</v>
      </c>
      <c r="S336" s="2" t="str">
        <f t="shared" si="72"/>
        <v>Normal</v>
      </c>
      <c r="T336" s="4">
        <v>0</v>
      </c>
      <c r="U336" s="4" t="str">
        <f t="shared" si="73"/>
        <v>Nein</v>
      </c>
      <c r="V336" s="4">
        <f t="shared" si="74"/>
        <v>0</v>
      </c>
      <c r="W336" s="19">
        <f t="shared" si="75"/>
        <v>1.99</v>
      </c>
      <c r="X336" s="5">
        <v>0</v>
      </c>
      <c r="Y336" s="28">
        <f t="shared" si="76"/>
        <v>0</v>
      </c>
      <c r="Z336" s="31" t="s">
        <v>172</v>
      </c>
      <c r="AA336" t="str">
        <f t="shared" si="77"/>
        <v>Normal/Gering</v>
      </c>
    </row>
    <row r="337" spans="1:27" x14ac:dyDescent="0.35">
      <c r="A337" s="32" t="s">
        <v>15</v>
      </c>
      <c r="B337" s="2" t="str">
        <f>VLOOKUP(A337,Stammdaten!$A$3:$B$7,2,FALSE)</f>
        <v>Filiale Süd</v>
      </c>
      <c r="C337" s="3" t="str" cm="1">
        <f t="array" ref="C337">INDEX(Stammdaten!$A$11:$A$25,INT((ROW()-5)/12)+1 - INT((ROW()-5)/180)*15)</f>
        <v>A013</v>
      </c>
      <c r="D337" s="2" t="str">
        <f>VLOOKUP(C337,Stammdaten!$A$11:$B$25,2,FALSE)</f>
        <v>Skyr 450g</v>
      </c>
      <c r="E337" s="3" t="str">
        <f>VLOOKUP(C337,Stammdaten!$A$11:$C$25,3,FALSE)</f>
        <v>Joghurt</v>
      </c>
      <c r="F337" s="19">
        <f>VLOOKUP(C337,Stammdaten!$A$11:$D$25,4,FALSE)</f>
        <v>1.99</v>
      </c>
      <c r="G337" s="4">
        <f t="shared" si="65"/>
        <v>9</v>
      </c>
      <c r="H337" s="20" t="str">
        <f>VLOOKUP(G337,Stammdaten!$A$30:$B$41,2,FALSE)</f>
        <v>September</v>
      </c>
      <c r="I337" s="4">
        <v>200</v>
      </c>
      <c r="J337" s="4">
        <v>195</v>
      </c>
      <c r="K337" s="4">
        <f t="shared" si="66"/>
        <v>-5</v>
      </c>
      <c r="L337" s="27">
        <f t="shared" si="67"/>
        <v>-2.5</v>
      </c>
      <c r="M337" s="52" t="str">
        <f t="shared" si="68"/>
        <v>Schwund</v>
      </c>
      <c r="N337" s="28">
        <f t="shared" si="69"/>
        <v>9.9499999999999993</v>
      </c>
      <c r="O337" s="5">
        <v>21</v>
      </c>
      <c r="P337" s="4">
        <v>1</v>
      </c>
      <c r="Q337" s="28">
        <f t="shared" si="70"/>
        <v>2.4874999999999998</v>
      </c>
      <c r="R337" s="50">
        <f t="shared" si="71"/>
        <v>2.9849999999999999</v>
      </c>
      <c r="S337" s="2" t="str">
        <f t="shared" si="72"/>
        <v>Normal</v>
      </c>
      <c r="T337" s="4">
        <v>0</v>
      </c>
      <c r="U337" s="4" t="str">
        <f t="shared" si="73"/>
        <v>Nein</v>
      </c>
      <c r="V337" s="4">
        <f t="shared" si="74"/>
        <v>0</v>
      </c>
      <c r="W337" s="19">
        <f t="shared" si="75"/>
        <v>1.99</v>
      </c>
      <c r="X337" s="5">
        <v>0</v>
      </c>
      <c r="Y337" s="28">
        <f t="shared" si="76"/>
        <v>0</v>
      </c>
      <c r="Z337" s="31" t="s">
        <v>172</v>
      </c>
      <c r="AA337" t="str">
        <f t="shared" si="77"/>
        <v>Buchungsfehler Wareneingang</v>
      </c>
    </row>
    <row r="338" spans="1:27" x14ac:dyDescent="0.35">
      <c r="A338" s="32" t="s">
        <v>15</v>
      </c>
      <c r="B338" s="2" t="str">
        <f>VLOOKUP(A338,Stammdaten!$A$3:$B$7,2,FALSE)</f>
        <v>Filiale Süd</v>
      </c>
      <c r="C338" s="3" t="str" cm="1">
        <f t="array" ref="C338">INDEX(Stammdaten!$A$11:$A$25,INT((ROW()-5)/12)+1 - INT((ROW()-5)/180)*15)</f>
        <v>A013</v>
      </c>
      <c r="D338" s="2" t="str">
        <f>VLOOKUP(C338,Stammdaten!$A$11:$B$25,2,FALSE)</f>
        <v>Skyr 450g</v>
      </c>
      <c r="E338" s="3" t="str">
        <f>VLOOKUP(C338,Stammdaten!$A$11:$C$25,3,FALSE)</f>
        <v>Joghurt</v>
      </c>
      <c r="F338" s="19">
        <f>VLOOKUP(C338,Stammdaten!$A$11:$D$25,4,FALSE)</f>
        <v>1.99</v>
      </c>
      <c r="G338" s="4">
        <f t="shared" si="65"/>
        <v>10</v>
      </c>
      <c r="H338" s="20" t="str">
        <f>VLOOKUP(G338,Stammdaten!$A$30:$B$41,2,FALSE)</f>
        <v>Oktober</v>
      </c>
      <c r="I338" s="4">
        <v>204</v>
      </c>
      <c r="J338" s="4">
        <v>204</v>
      </c>
      <c r="K338" s="4">
        <f t="shared" si="66"/>
        <v>0</v>
      </c>
      <c r="L338" s="27">
        <f t="shared" si="67"/>
        <v>0</v>
      </c>
      <c r="M338" s="52" t="str">
        <f t="shared" si="68"/>
        <v>Perfekt</v>
      </c>
      <c r="N338" s="28">
        <f t="shared" si="69"/>
        <v>0</v>
      </c>
      <c r="O338" s="5">
        <v>18</v>
      </c>
      <c r="P338" s="4">
        <v>5</v>
      </c>
      <c r="Q338" s="28">
        <f t="shared" si="70"/>
        <v>0</v>
      </c>
      <c r="R338" s="50">
        <f t="shared" si="71"/>
        <v>0</v>
      </c>
      <c r="S338" s="2" t="str">
        <f t="shared" si="72"/>
        <v>Normal</v>
      </c>
      <c r="T338" s="4">
        <v>0</v>
      </c>
      <c r="U338" s="4" t="str">
        <f t="shared" si="73"/>
        <v>Nein</v>
      </c>
      <c r="V338" s="4">
        <f t="shared" si="74"/>
        <v>0</v>
      </c>
      <c r="W338" s="19">
        <f t="shared" si="75"/>
        <v>1.99</v>
      </c>
      <c r="X338" s="5">
        <v>0</v>
      </c>
      <c r="Y338" s="28">
        <f t="shared" si="76"/>
        <v>0</v>
      </c>
      <c r="Z338" s="31" t="s">
        <v>172</v>
      </c>
      <c r="AA338" t="str">
        <f t="shared" si="77"/>
        <v>Normal/Gering</v>
      </c>
    </row>
    <row r="339" spans="1:27" x14ac:dyDescent="0.35">
      <c r="A339" s="32" t="s">
        <v>15</v>
      </c>
      <c r="B339" s="2" t="str">
        <f>VLOOKUP(A339,Stammdaten!$A$3:$B$7,2,FALSE)</f>
        <v>Filiale Süd</v>
      </c>
      <c r="C339" s="3" t="str" cm="1">
        <f t="array" ref="C339">INDEX(Stammdaten!$A$11:$A$25,INT((ROW()-5)/12)+1 - INT((ROW()-5)/180)*15)</f>
        <v>A013</v>
      </c>
      <c r="D339" s="2" t="str">
        <f>VLOOKUP(C339,Stammdaten!$A$11:$B$25,2,FALSE)</f>
        <v>Skyr 450g</v>
      </c>
      <c r="E339" s="3" t="str">
        <f>VLOOKUP(C339,Stammdaten!$A$11:$C$25,3,FALSE)</f>
        <v>Joghurt</v>
      </c>
      <c r="F339" s="19">
        <f>VLOOKUP(C339,Stammdaten!$A$11:$D$25,4,FALSE)</f>
        <v>1.99</v>
      </c>
      <c r="G339" s="4">
        <f t="shared" si="65"/>
        <v>11</v>
      </c>
      <c r="H339" s="20" t="str">
        <f>VLOOKUP(G339,Stammdaten!$A$30:$B$41,2,FALSE)</f>
        <v>November</v>
      </c>
      <c r="I339" s="4">
        <v>224</v>
      </c>
      <c r="J339" s="4">
        <v>218</v>
      </c>
      <c r="K339" s="4">
        <f t="shared" si="66"/>
        <v>-6</v>
      </c>
      <c r="L339" s="27">
        <f t="shared" si="67"/>
        <v>-2.6785714285714284</v>
      </c>
      <c r="M339" s="52" t="str">
        <f t="shared" si="68"/>
        <v>Schwund</v>
      </c>
      <c r="N339" s="28">
        <f t="shared" si="69"/>
        <v>11.94</v>
      </c>
      <c r="O339" s="5">
        <v>11</v>
      </c>
      <c r="P339" s="4">
        <v>6</v>
      </c>
      <c r="Q339" s="28">
        <f t="shared" si="70"/>
        <v>2.9849999999999999</v>
      </c>
      <c r="R339" s="50">
        <f t="shared" si="71"/>
        <v>3.5819999999999999</v>
      </c>
      <c r="S339" s="2" t="str">
        <f t="shared" si="72"/>
        <v>Black Friday</v>
      </c>
      <c r="T339" s="4">
        <v>0</v>
      </c>
      <c r="U339" s="4" t="str">
        <f t="shared" si="73"/>
        <v>Nein</v>
      </c>
      <c r="V339" s="4">
        <f t="shared" si="74"/>
        <v>0</v>
      </c>
      <c r="W339" s="19">
        <f t="shared" si="75"/>
        <v>1.99</v>
      </c>
      <c r="X339" s="5">
        <v>0</v>
      </c>
      <c r="Y339" s="28">
        <f t="shared" si="76"/>
        <v>0</v>
      </c>
      <c r="Z339" s="31" t="s">
        <v>172</v>
      </c>
      <c r="AA339" t="str">
        <f t="shared" si="77"/>
        <v>Prozessfehler</v>
      </c>
    </row>
    <row r="340" spans="1:27" x14ac:dyDescent="0.35">
      <c r="A340" s="32" t="s">
        <v>15</v>
      </c>
      <c r="B340" s="2" t="str">
        <f>VLOOKUP(A340,Stammdaten!$A$3:$B$7,2,FALSE)</f>
        <v>Filiale Süd</v>
      </c>
      <c r="C340" s="3" t="str" cm="1">
        <f t="array" ref="C340">INDEX(Stammdaten!$A$11:$A$25,INT((ROW()-5)/12)+1 - INT((ROW()-5)/180)*15)</f>
        <v>A013</v>
      </c>
      <c r="D340" s="2" t="str">
        <f>VLOOKUP(C340,Stammdaten!$A$11:$B$25,2,FALSE)</f>
        <v>Skyr 450g</v>
      </c>
      <c r="E340" s="3" t="str">
        <f>VLOOKUP(C340,Stammdaten!$A$11:$C$25,3,FALSE)</f>
        <v>Joghurt</v>
      </c>
      <c r="F340" s="19">
        <f>VLOOKUP(C340,Stammdaten!$A$11:$D$25,4,FALSE)</f>
        <v>1.99</v>
      </c>
      <c r="G340" s="4">
        <f t="shared" si="65"/>
        <v>12</v>
      </c>
      <c r="H340" s="20" t="str">
        <f>VLOOKUP(G340,Stammdaten!$A$30:$B$41,2,FALSE)</f>
        <v>Dezember</v>
      </c>
      <c r="I340" s="4">
        <v>274</v>
      </c>
      <c r="J340" s="4">
        <v>266</v>
      </c>
      <c r="K340" s="4">
        <f t="shared" si="66"/>
        <v>-8</v>
      </c>
      <c r="L340" s="27">
        <f t="shared" si="67"/>
        <v>-2.9197080291970803</v>
      </c>
      <c r="M340" s="52" t="str">
        <f t="shared" si="68"/>
        <v>Schwund</v>
      </c>
      <c r="N340" s="28">
        <f t="shared" si="69"/>
        <v>15.92</v>
      </c>
      <c r="O340" s="5">
        <v>19</v>
      </c>
      <c r="P340" s="4">
        <v>3</v>
      </c>
      <c r="Q340" s="28">
        <f t="shared" si="70"/>
        <v>3.98</v>
      </c>
      <c r="R340" s="50">
        <f t="shared" si="71"/>
        <v>4.7759999999999998</v>
      </c>
      <c r="S340" s="2" t="str">
        <f t="shared" si="72"/>
        <v>Weihnachten/Silvester</v>
      </c>
      <c r="T340" s="4">
        <v>0</v>
      </c>
      <c r="U340" s="4" t="str">
        <f t="shared" si="73"/>
        <v>Nein</v>
      </c>
      <c r="V340" s="4">
        <f t="shared" si="74"/>
        <v>0</v>
      </c>
      <c r="W340" s="19">
        <f t="shared" si="75"/>
        <v>1.99</v>
      </c>
      <c r="X340" s="5">
        <v>0</v>
      </c>
      <c r="Y340" s="28">
        <f t="shared" si="76"/>
        <v>0</v>
      </c>
      <c r="Z340" s="31" t="s">
        <v>172</v>
      </c>
      <c r="AA340" t="str">
        <f t="shared" si="77"/>
        <v>Prozessfehler</v>
      </c>
    </row>
    <row r="341" spans="1:27" x14ac:dyDescent="0.35">
      <c r="A341" s="32" t="s">
        <v>15</v>
      </c>
      <c r="B341" s="2" t="str">
        <f>VLOOKUP(A341,Stammdaten!$A$3:$B$7,2,FALSE)</f>
        <v>Filiale Süd</v>
      </c>
      <c r="C341" s="3" t="str" cm="1">
        <f t="array" ref="C341">INDEX(Stammdaten!$A$11:$A$25,INT((ROW()-5)/12)+1 - INT((ROW()-5)/180)*15)</f>
        <v>A014</v>
      </c>
      <c r="D341" s="2" t="str">
        <f>VLOOKUP(C341,Stammdaten!$A$11:$B$25,2,FALSE)</f>
        <v>Kefir 500ml</v>
      </c>
      <c r="E341" s="3" t="str">
        <f>VLOOKUP(C341,Stammdaten!$A$11:$C$25,3,FALSE)</f>
        <v>Milch</v>
      </c>
      <c r="F341" s="19">
        <f>VLOOKUP(C341,Stammdaten!$A$11:$D$25,4,FALSE)</f>
        <v>1.39</v>
      </c>
      <c r="G341" s="4">
        <f t="shared" si="65"/>
        <v>1</v>
      </c>
      <c r="H341" s="20" t="str">
        <f>VLOOKUP(G341,Stammdaten!$A$30:$B$41,2,FALSE)</f>
        <v>Januar</v>
      </c>
      <c r="I341" s="4">
        <v>107</v>
      </c>
      <c r="J341" s="4">
        <v>104</v>
      </c>
      <c r="K341" s="4">
        <f t="shared" si="66"/>
        <v>-3</v>
      </c>
      <c r="L341" s="27">
        <f t="shared" si="67"/>
        <v>-2.8037383177570092</v>
      </c>
      <c r="M341" s="52" t="str">
        <f t="shared" si="68"/>
        <v>Schwund</v>
      </c>
      <c r="N341" s="28">
        <f t="shared" si="69"/>
        <v>4.17</v>
      </c>
      <c r="O341" s="5">
        <v>4</v>
      </c>
      <c r="P341" s="4">
        <v>0</v>
      </c>
      <c r="Q341" s="28">
        <f t="shared" si="70"/>
        <v>1.0425</v>
      </c>
      <c r="R341" s="50">
        <f t="shared" si="71"/>
        <v>1.2509999999999999</v>
      </c>
      <c r="S341" s="2" t="str">
        <f t="shared" si="72"/>
        <v>Normal</v>
      </c>
      <c r="T341" s="4">
        <v>0</v>
      </c>
      <c r="U341" s="4" t="str">
        <f t="shared" si="73"/>
        <v>Nein</v>
      </c>
      <c r="V341" s="4">
        <f t="shared" si="74"/>
        <v>0</v>
      </c>
      <c r="W341" s="19">
        <f t="shared" si="75"/>
        <v>1.39</v>
      </c>
      <c r="X341" s="5">
        <v>0</v>
      </c>
      <c r="Y341" s="28">
        <f t="shared" si="76"/>
        <v>0</v>
      </c>
      <c r="Z341" s="31" t="s">
        <v>172</v>
      </c>
      <c r="AA341" t="str">
        <f t="shared" si="77"/>
        <v>Buchungsfehler Wareneingang</v>
      </c>
    </row>
    <row r="342" spans="1:27" x14ac:dyDescent="0.35">
      <c r="A342" s="32" t="s">
        <v>15</v>
      </c>
      <c r="B342" s="2" t="str">
        <f>VLOOKUP(A342,Stammdaten!$A$3:$B$7,2,FALSE)</f>
        <v>Filiale Süd</v>
      </c>
      <c r="C342" s="3" t="str" cm="1">
        <f t="array" ref="C342">INDEX(Stammdaten!$A$11:$A$25,INT((ROW()-5)/12)+1 - INT((ROW()-5)/180)*15)</f>
        <v>A014</v>
      </c>
      <c r="D342" s="2" t="str">
        <f>VLOOKUP(C342,Stammdaten!$A$11:$B$25,2,FALSE)</f>
        <v>Kefir 500ml</v>
      </c>
      <c r="E342" s="3" t="str">
        <f>VLOOKUP(C342,Stammdaten!$A$11:$C$25,3,FALSE)</f>
        <v>Milch</v>
      </c>
      <c r="F342" s="19">
        <f>VLOOKUP(C342,Stammdaten!$A$11:$D$25,4,FALSE)</f>
        <v>1.39</v>
      </c>
      <c r="G342" s="4">
        <f t="shared" si="65"/>
        <v>2</v>
      </c>
      <c r="H342" s="20" t="str">
        <f>VLOOKUP(G342,Stammdaten!$A$30:$B$41,2,FALSE)</f>
        <v>Februar</v>
      </c>
      <c r="I342" s="4">
        <v>99</v>
      </c>
      <c r="J342" s="4">
        <v>96</v>
      </c>
      <c r="K342" s="4">
        <f t="shared" si="66"/>
        <v>-3</v>
      </c>
      <c r="L342" s="27">
        <f t="shared" si="67"/>
        <v>-3.0303030303030303</v>
      </c>
      <c r="M342" s="52" t="str">
        <f t="shared" si="68"/>
        <v>Schwund</v>
      </c>
      <c r="N342" s="28">
        <f t="shared" si="69"/>
        <v>4.17</v>
      </c>
      <c r="O342" s="5">
        <v>10</v>
      </c>
      <c r="P342" s="4">
        <v>3</v>
      </c>
      <c r="Q342" s="28">
        <f t="shared" si="70"/>
        <v>1.0425</v>
      </c>
      <c r="R342" s="50">
        <f t="shared" si="71"/>
        <v>1.2509999999999999</v>
      </c>
      <c r="S342" s="2" t="str">
        <f t="shared" si="72"/>
        <v>Karneval</v>
      </c>
      <c r="T342" s="4">
        <v>0</v>
      </c>
      <c r="U342" s="4" t="str">
        <f t="shared" si="73"/>
        <v>Nein</v>
      </c>
      <c r="V342" s="4">
        <f t="shared" si="74"/>
        <v>0</v>
      </c>
      <c r="W342" s="19">
        <f t="shared" si="75"/>
        <v>1.39</v>
      </c>
      <c r="X342" s="5">
        <v>0</v>
      </c>
      <c r="Y342" s="28">
        <f t="shared" si="76"/>
        <v>0</v>
      </c>
      <c r="Z342" s="31" t="s">
        <v>172</v>
      </c>
      <c r="AA342" t="str">
        <f t="shared" si="77"/>
        <v>Prozessfehler</v>
      </c>
    </row>
    <row r="343" spans="1:27" x14ac:dyDescent="0.35">
      <c r="A343" s="32" t="s">
        <v>15</v>
      </c>
      <c r="B343" s="2" t="str">
        <f>VLOOKUP(A343,Stammdaten!$A$3:$B$7,2,FALSE)</f>
        <v>Filiale Süd</v>
      </c>
      <c r="C343" s="3" t="str" cm="1">
        <f t="array" ref="C343">INDEX(Stammdaten!$A$11:$A$25,INT((ROW()-5)/12)+1 - INT((ROW()-5)/180)*15)</f>
        <v>A014</v>
      </c>
      <c r="D343" s="2" t="str">
        <f>VLOOKUP(C343,Stammdaten!$A$11:$B$25,2,FALSE)</f>
        <v>Kefir 500ml</v>
      </c>
      <c r="E343" s="3" t="str">
        <f>VLOOKUP(C343,Stammdaten!$A$11:$C$25,3,FALSE)</f>
        <v>Milch</v>
      </c>
      <c r="F343" s="19">
        <f>VLOOKUP(C343,Stammdaten!$A$11:$D$25,4,FALSE)</f>
        <v>1.39</v>
      </c>
      <c r="G343" s="4">
        <f t="shared" si="65"/>
        <v>3</v>
      </c>
      <c r="H343" s="20" t="str">
        <f>VLOOKUP(G343,Stammdaten!$A$30:$B$41,2,FALSE)</f>
        <v>März</v>
      </c>
      <c r="I343" s="4">
        <v>125</v>
      </c>
      <c r="J343" s="4">
        <v>121</v>
      </c>
      <c r="K343" s="4">
        <f t="shared" si="66"/>
        <v>-4</v>
      </c>
      <c r="L343" s="27">
        <f t="shared" si="67"/>
        <v>-3.2</v>
      </c>
      <c r="M343" s="52" t="str">
        <f t="shared" si="68"/>
        <v>Schwund</v>
      </c>
      <c r="N343" s="28">
        <f t="shared" si="69"/>
        <v>5.56</v>
      </c>
      <c r="O343" s="5">
        <v>3</v>
      </c>
      <c r="P343" s="4">
        <v>3</v>
      </c>
      <c r="Q343" s="28">
        <f t="shared" si="70"/>
        <v>1.39</v>
      </c>
      <c r="R343" s="50">
        <f t="shared" si="71"/>
        <v>1.6679999999999999</v>
      </c>
      <c r="S343" s="2" t="str">
        <f t="shared" si="72"/>
        <v>Normal</v>
      </c>
      <c r="T343" s="4">
        <v>0</v>
      </c>
      <c r="U343" s="4" t="str">
        <f t="shared" si="73"/>
        <v>Ja - 20% Reduzierung</v>
      </c>
      <c r="V343" s="4">
        <f t="shared" si="74"/>
        <v>20</v>
      </c>
      <c r="W343" s="19">
        <f t="shared" si="75"/>
        <v>1.1100000000000001</v>
      </c>
      <c r="X343" s="5">
        <v>11</v>
      </c>
      <c r="Y343" s="28">
        <f t="shared" si="76"/>
        <v>3.06</v>
      </c>
      <c r="Z343" s="31" t="s">
        <v>173</v>
      </c>
      <c r="AA343" t="str">
        <f t="shared" si="77"/>
        <v>Prozessfehler</v>
      </c>
    </row>
    <row r="344" spans="1:27" x14ac:dyDescent="0.35">
      <c r="A344" s="32" t="s">
        <v>15</v>
      </c>
      <c r="B344" s="2" t="str">
        <f>VLOOKUP(A344,Stammdaten!$A$3:$B$7,2,FALSE)</f>
        <v>Filiale Süd</v>
      </c>
      <c r="C344" s="3" t="str" cm="1">
        <f t="array" ref="C344">INDEX(Stammdaten!$A$11:$A$25,INT((ROW()-5)/12)+1 - INT((ROW()-5)/180)*15)</f>
        <v>A014</v>
      </c>
      <c r="D344" s="2" t="str">
        <f>VLOOKUP(C344,Stammdaten!$A$11:$B$25,2,FALSE)</f>
        <v>Kefir 500ml</v>
      </c>
      <c r="E344" s="3" t="str">
        <f>VLOOKUP(C344,Stammdaten!$A$11:$C$25,3,FALSE)</f>
        <v>Milch</v>
      </c>
      <c r="F344" s="19">
        <f>VLOOKUP(C344,Stammdaten!$A$11:$D$25,4,FALSE)</f>
        <v>1.39</v>
      </c>
      <c r="G344" s="4">
        <f t="shared" si="65"/>
        <v>4</v>
      </c>
      <c r="H344" s="20" t="str">
        <f>VLOOKUP(G344,Stammdaten!$A$30:$B$41,2,FALSE)</f>
        <v>April</v>
      </c>
      <c r="I344" s="4">
        <v>155</v>
      </c>
      <c r="J344" s="4">
        <v>148</v>
      </c>
      <c r="K344" s="4">
        <f t="shared" si="66"/>
        <v>-7</v>
      </c>
      <c r="L344" s="27">
        <f t="shared" si="67"/>
        <v>-4.5161290322580641</v>
      </c>
      <c r="M344" s="52" t="str">
        <f t="shared" si="68"/>
        <v>Schwund</v>
      </c>
      <c r="N344" s="28">
        <f t="shared" si="69"/>
        <v>9.7299999999999986</v>
      </c>
      <c r="O344" s="5">
        <v>2</v>
      </c>
      <c r="P344" s="4">
        <v>1</v>
      </c>
      <c r="Q344" s="28">
        <f t="shared" si="70"/>
        <v>2.4324999999999997</v>
      </c>
      <c r="R344" s="50">
        <f t="shared" si="71"/>
        <v>2.9189999999999996</v>
      </c>
      <c r="S344" s="2" t="str">
        <f t="shared" si="72"/>
        <v>Ostern</v>
      </c>
      <c r="T344" s="4">
        <v>0</v>
      </c>
      <c r="U344" s="4" t="str">
        <f t="shared" si="73"/>
        <v>Ja - 20% Reduzierung</v>
      </c>
      <c r="V344" s="4">
        <f t="shared" si="74"/>
        <v>20</v>
      </c>
      <c r="W344" s="19">
        <f t="shared" si="75"/>
        <v>1.1100000000000001</v>
      </c>
      <c r="X344" s="5">
        <v>9</v>
      </c>
      <c r="Y344" s="28">
        <f t="shared" si="76"/>
        <v>2.5</v>
      </c>
      <c r="Z344" s="31" t="s">
        <v>173</v>
      </c>
      <c r="AA344" t="str">
        <f t="shared" si="77"/>
        <v>Buchungsfehler Wareneingang</v>
      </c>
    </row>
    <row r="345" spans="1:27" x14ac:dyDescent="0.35">
      <c r="A345" s="32" t="s">
        <v>15</v>
      </c>
      <c r="B345" s="2" t="str">
        <f>VLOOKUP(A345,Stammdaten!$A$3:$B$7,2,FALSE)</f>
        <v>Filiale Süd</v>
      </c>
      <c r="C345" s="3" t="str" cm="1">
        <f t="array" ref="C345">INDEX(Stammdaten!$A$11:$A$25,INT((ROW()-5)/12)+1 - INT((ROW()-5)/180)*15)</f>
        <v>A014</v>
      </c>
      <c r="D345" s="2" t="str">
        <f>VLOOKUP(C345,Stammdaten!$A$11:$B$25,2,FALSE)</f>
        <v>Kefir 500ml</v>
      </c>
      <c r="E345" s="3" t="str">
        <f>VLOOKUP(C345,Stammdaten!$A$11:$C$25,3,FALSE)</f>
        <v>Milch</v>
      </c>
      <c r="F345" s="19">
        <f>VLOOKUP(C345,Stammdaten!$A$11:$D$25,4,FALSE)</f>
        <v>1.39</v>
      </c>
      <c r="G345" s="4">
        <f t="shared" si="65"/>
        <v>5</v>
      </c>
      <c r="H345" s="20" t="str">
        <f>VLOOKUP(G345,Stammdaten!$A$30:$B$41,2,FALSE)</f>
        <v>Mai</v>
      </c>
      <c r="I345" s="4">
        <v>120</v>
      </c>
      <c r="J345" s="4">
        <v>125</v>
      </c>
      <c r="K345" s="4">
        <f t="shared" si="66"/>
        <v>5</v>
      </c>
      <c r="L345" s="27">
        <f t="shared" si="67"/>
        <v>4.1666666666666661</v>
      </c>
      <c r="M345" s="52" t="str">
        <f t="shared" si="68"/>
        <v>Überbestand</v>
      </c>
      <c r="N345" s="28">
        <f t="shared" si="69"/>
        <v>6.9499999999999993</v>
      </c>
      <c r="O345" s="5">
        <v>8</v>
      </c>
      <c r="P345" s="4">
        <v>3</v>
      </c>
      <c r="Q345" s="28">
        <f t="shared" si="70"/>
        <v>0</v>
      </c>
      <c r="R345" s="50">
        <f t="shared" si="71"/>
        <v>0</v>
      </c>
      <c r="S345" s="2" t="str">
        <f t="shared" si="72"/>
        <v>Normal</v>
      </c>
      <c r="T345" s="4">
        <v>5</v>
      </c>
      <c r="U345" s="4" t="str">
        <f t="shared" si="73"/>
        <v>Nein</v>
      </c>
      <c r="V345" s="4">
        <f t="shared" si="74"/>
        <v>0</v>
      </c>
      <c r="W345" s="19">
        <f t="shared" si="75"/>
        <v>1.39</v>
      </c>
      <c r="X345" s="5">
        <v>0</v>
      </c>
      <c r="Y345" s="28">
        <f t="shared" si="76"/>
        <v>0</v>
      </c>
      <c r="Z345" s="31" t="s">
        <v>172</v>
      </c>
      <c r="AA345" t="str">
        <f t="shared" si="77"/>
        <v>Kassenfehler (Überbestand)</v>
      </c>
    </row>
    <row r="346" spans="1:27" x14ac:dyDescent="0.35">
      <c r="A346" s="32" t="s">
        <v>15</v>
      </c>
      <c r="B346" s="2" t="str">
        <f>VLOOKUP(A346,Stammdaten!$A$3:$B$7,2,FALSE)</f>
        <v>Filiale Süd</v>
      </c>
      <c r="C346" s="3" t="str" cm="1">
        <f t="array" ref="C346">INDEX(Stammdaten!$A$11:$A$25,INT((ROW()-5)/12)+1 - INT((ROW()-5)/180)*15)</f>
        <v>A014</v>
      </c>
      <c r="D346" s="2" t="str">
        <f>VLOOKUP(C346,Stammdaten!$A$11:$B$25,2,FALSE)</f>
        <v>Kefir 500ml</v>
      </c>
      <c r="E346" s="3" t="str">
        <f>VLOOKUP(C346,Stammdaten!$A$11:$C$25,3,FALSE)</f>
        <v>Milch</v>
      </c>
      <c r="F346" s="19">
        <f>VLOOKUP(C346,Stammdaten!$A$11:$D$25,4,FALSE)</f>
        <v>1.39</v>
      </c>
      <c r="G346" s="4">
        <f t="shared" si="65"/>
        <v>6</v>
      </c>
      <c r="H346" s="20" t="str">
        <f>VLOOKUP(G346,Stammdaten!$A$30:$B$41,2,FALSE)</f>
        <v>Juni</v>
      </c>
      <c r="I346" s="4">
        <v>139</v>
      </c>
      <c r="J346" s="4">
        <v>134</v>
      </c>
      <c r="K346" s="4">
        <f t="shared" si="66"/>
        <v>-5</v>
      </c>
      <c r="L346" s="27">
        <f t="shared" si="67"/>
        <v>-3.5971223021582732</v>
      </c>
      <c r="M346" s="52" t="str">
        <f t="shared" si="68"/>
        <v>Schwund</v>
      </c>
      <c r="N346" s="28">
        <f t="shared" si="69"/>
        <v>6.9499999999999993</v>
      </c>
      <c r="O346" s="5">
        <v>5</v>
      </c>
      <c r="P346" s="4">
        <v>0</v>
      </c>
      <c r="Q346" s="28">
        <f t="shared" si="70"/>
        <v>1.7374999999999998</v>
      </c>
      <c r="R346" s="50">
        <f t="shared" si="71"/>
        <v>2.0849999999999995</v>
      </c>
      <c r="S346" s="2" t="str">
        <f t="shared" si="72"/>
        <v>Normal</v>
      </c>
      <c r="T346" s="4">
        <v>0</v>
      </c>
      <c r="U346" s="4" t="str">
        <f t="shared" si="73"/>
        <v>Nein</v>
      </c>
      <c r="V346" s="4">
        <f t="shared" si="74"/>
        <v>0</v>
      </c>
      <c r="W346" s="19">
        <f t="shared" si="75"/>
        <v>1.39</v>
      </c>
      <c r="X346" s="5">
        <v>0</v>
      </c>
      <c r="Y346" s="28">
        <f t="shared" si="76"/>
        <v>0</v>
      </c>
      <c r="Z346" s="31" t="s">
        <v>172</v>
      </c>
      <c r="AA346" t="str">
        <f t="shared" si="77"/>
        <v>Buchungsfehler Wareneingang</v>
      </c>
    </row>
    <row r="347" spans="1:27" x14ac:dyDescent="0.35">
      <c r="A347" s="32" t="s">
        <v>15</v>
      </c>
      <c r="B347" s="2" t="str">
        <f>VLOOKUP(A347,Stammdaten!$A$3:$B$7,2,FALSE)</f>
        <v>Filiale Süd</v>
      </c>
      <c r="C347" s="3" t="str" cm="1">
        <f t="array" ref="C347">INDEX(Stammdaten!$A$11:$A$25,INT((ROW()-5)/12)+1 - INT((ROW()-5)/180)*15)</f>
        <v>A014</v>
      </c>
      <c r="D347" s="2" t="str">
        <f>VLOOKUP(C347,Stammdaten!$A$11:$B$25,2,FALSE)</f>
        <v>Kefir 500ml</v>
      </c>
      <c r="E347" s="3" t="str">
        <f>VLOOKUP(C347,Stammdaten!$A$11:$C$25,3,FALSE)</f>
        <v>Milch</v>
      </c>
      <c r="F347" s="19">
        <f>VLOOKUP(C347,Stammdaten!$A$11:$D$25,4,FALSE)</f>
        <v>1.39</v>
      </c>
      <c r="G347" s="4">
        <f t="shared" si="65"/>
        <v>7</v>
      </c>
      <c r="H347" s="20" t="str">
        <f>VLOOKUP(G347,Stammdaten!$A$30:$B$41,2,FALSE)</f>
        <v>Juli</v>
      </c>
      <c r="I347" s="4">
        <v>141</v>
      </c>
      <c r="J347" s="4">
        <v>136</v>
      </c>
      <c r="K347" s="4">
        <f t="shared" si="66"/>
        <v>-5</v>
      </c>
      <c r="L347" s="27">
        <f t="shared" si="67"/>
        <v>-3.5460992907801421</v>
      </c>
      <c r="M347" s="52" t="str">
        <f t="shared" si="68"/>
        <v>Schwund</v>
      </c>
      <c r="N347" s="28">
        <f t="shared" si="69"/>
        <v>6.9499999999999993</v>
      </c>
      <c r="O347" s="5">
        <v>10</v>
      </c>
      <c r="P347" s="4">
        <v>0</v>
      </c>
      <c r="Q347" s="28">
        <f t="shared" si="70"/>
        <v>1.7374999999999998</v>
      </c>
      <c r="R347" s="50">
        <f t="shared" si="71"/>
        <v>2.0849999999999995</v>
      </c>
      <c r="S347" s="2" t="str">
        <f t="shared" si="72"/>
        <v>Normal</v>
      </c>
      <c r="T347" s="4">
        <v>0</v>
      </c>
      <c r="U347" s="4" t="str">
        <f t="shared" si="73"/>
        <v>Nein</v>
      </c>
      <c r="V347" s="4">
        <f t="shared" si="74"/>
        <v>0</v>
      </c>
      <c r="W347" s="19">
        <f t="shared" si="75"/>
        <v>1.39</v>
      </c>
      <c r="X347" s="5">
        <v>0</v>
      </c>
      <c r="Y347" s="28">
        <f t="shared" si="76"/>
        <v>0</v>
      </c>
      <c r="Z347" s="31" t="s">
        <v>172</v>
      </c>
      <c r="AA347" t="str">
        <f t="shared" si="77"/>
        <v>Buchungsfehler Wareneingang</v>
      </c>
    </row>
    <row r="348" spans="1:27" x14ac:dyDescent="0.35">
      <c r="A348" s="32" t="s">
        <v>15</v>
      </c>
      <c r="B348" s="2" t="str">
        <f>VLOOKUP(A348,Stammdaten!$A$3:$B$7,2,FALSE)</f>
        <v>Filiale Süd</v>
      </c>
      <c r="C348" s="3" t="str" cm="1">
        <f t="array" ref="C348">INDEX(Stammdaten!$A$11:$A$25,INT((ROW()-5)/12)+1 - INT((ROW()-5)/180)*15)</f>
        <v>A014</v>
      </c>
      <c r="D348" s="2" t="str">
        <f>VLOOKUP(C348,Stammdaten!$A$11:$B$25,2,FALSE)</f>
        <v>Kefir 500ml</v>
      </c>
      <c r="E348" s="3" t="str">
        <f>VLOOKUP(C348,Stammdaten!$A$11:$C$25,3,FALSE)</f>
        <v>Milch</v>
      </c>
      <c r="F348" s="19">
        <f>VLOOKUP(C348,Stammdaten!$A$11:$D$25,4,FALSE)</f>
        <v>1.39</v>
      </c>
      <c r="G348" s="4">
        <f t="shared" si="65"/>
        <v>8</v>
      </c>
      <c r="H348" s="20" t="str">
        <f>VLOOKUP(G348,Stammdaten!$A$30:$B$41,2,FALSE)</f>
        <v>August</v>
      </c>
      <c r="I348" s="4">
        <v>137</v>
      </c>
      <c r="J348" s="4">
        <v>137</v>
      </c>
      <c r="K348" s="4">
        <f t="shared" si="66"/>
        <v>0</v>
      </c>
      <c r="L348" s="27">
        <f t="shared" si="67"/>
        <v>0</v>
      </c>
      <c r="M348" s="52" t="str">
        <f t="shared" si="68"/>
        <v>Perfekt</v>
      </c>
      <c r="N348" s="28">
        <f t="shared" si="69"/>
        <v>0</v>
      </c>
      <c r="O348" s="5">
        <v>3</v>
      </c>
      <c r="P348" s="4">
        <v>1</v>
      </c>
      <c r="Q348" s="28">
        <f t="shared" si="70"/>
        <v>0</v>
      </c>
      <c r="R348" s="50">
        <f t="shared" si="71"/>
        <v>0</v>
      </c>
      <c r="S348" s="2" t="str">
        <f t="shared" si="72"/>
        <v>Normal</v>
      </c>
      <c r="T348" s="4">
        <v>0</v>
      </c>
      <c r="U348" s="4" t="str">
        <f t="shared" si="73"/>
        <v>Ja - 20% Reduzierung</v>
      </c>
      <c r="V348" s="4">
        <f t="shared" si="74"/>
        <v>20</v>
      </c>
      <c r="W348" s="19">
        <f t="shared" si="75"/>
        <v>1.1100000000000001</v>
      </c>
      <c r="X348" s="5">
        <v>7</v>
      </c>
      <c r="Y348" s="28">
        <f t="shared" si="76"/>
        <v>1.95</v>
      </c>
      <c r="Z348" s="31" t="s">
        <v>173</v>
      </c>
      <c r="AA348" t="str">
        <f t="shared" si="77"/>
        <v>Normal/Gering</v>
      </c>
    </row>
    <row r="349" spans="1:27" x14ac:dyDescent="0.35">
      <c r="A349" s="32" t="s">
        <v>15</v>
      </c>
      <c r="B349" s="2" t="str">
        <f>VLOOKUP(A349,Stammdaten!$A$3:$B$7,2,FALSE)</f>
        <v>Filiale Süd</v>
      </c>
      <c r="C349" s="3" t="str" cm="1">
        <f t="array" ref="C349">INDEX(Stammdaten!$A$11:$A$25,INT((ROW()-5)/12)+1 - INT((ROW()-5)/180)*15)</f>
        <v>A014</v>
      </c>
      <c r="D349" s="2" t="str">
        <f>VLOOKUP(C349,Stammdaten!$A$11:$B$25,2,FALSE)</f>
        <v>Kefir 500ml</v>
      </c>
      <c r="E349" s="3" t="str">
        <f>VLOOKUP(C349,Stammdaten!$A$11:$C$25,3,FALSE)</f>
        <v>Milch</v>
      </c>
      <c r="F349" s="19">
        <f>VLOOKUP(C349,Stammdaten!$A$11:$D$25,4,FALSE)</f>
        <v>1.39</v>
      </c>
      <c r="G349" s="4">
        <f t="shared" si="65"/>
        <v>9</v>
      </c>
      <c r="H349" s="20" t="str">
        <f>VLOOKUP(G349,Stammdaten!$A$30:$B$41,2,FALSE)</f>
        <v>September</v>
      </c>
      <c r="I349" s="4">
        <v>113</v>
      </c>
      <c r="J349" s="4">
        <v>113</v>
      </c>
      <c r="K349" s="4">
        <f t="shared" si="66"/>
        <v>0</v>
      </c>
      <c r="L349" s="27">
        <f t="shared" si="67"/>
        <v>0</v>
      </c>
      <c r="M349" s="52" t="str">
        <f t="shared" si="68"/>
        <v>Perfekt</v>
      </c>
      <c r="N349" s="28">
        <f t="shared" si="69"/>
        <v>0</v>
      </c>
      <c r="O349" s="5">
        <v>5</v>
      </c>
      <c r="P349" s="4">
        <v>1</v>
      </c>
      <c r="Q349" s="28">
        <f t="shared" si="70"/>
        <v>0</v>
      </c>
      <c r="R349" s="50">
        <f t="shared" si="71"/>
        <v>0</v>
      </c>
      <c r="S349" s="2" t="str">
        <f t="shared" si="72"/>
        <v>Normal</v>
      </c>
      <c r="T349" s="4">
        <v>0</v>
      </c>
      <c r="U349" s="4" t="str">
        <f t="shared" si="73"/>
        <v>Nein</v>
      </c>
      <c r="V349" s="4">
        <f t="shared" si="74"/>
        <v>0</v>
      </c>
      <c r="W349" s="19">
        <f t="shared" si="75"/>
        <v>1.39</v>
      </c>
      <c r="X349" s="5">
        <v>0</v>
      </c>
      <c r="Y349" s="28">
        <f t="shared" si="76"/>
        <v>0</v>
      </c>
      <c r="Z349" s="31" t="s">
        <v>172</v>
      </c>
      <c r="AA349" t="str">
        <f t="shared" si="77"/>
        <v>Normal/Gering</v>
      </c>
    </row>
    <row r="350" spans="1:27" x14ac:dyDescent="0.35">
      <c r="A350" s="32" t="s">
        <v>15</v>
      </c>
      <c r="B350" s="2" t="str">
        <f>VLOOKUP(A350,Stammdaten!$A$3:$B$7,2,FALSE)</f>
        <v>Filiale Süd</v>
      </c>
      <c r="C350" s="3" t="str" cm="1">
        <f t="array" ref="C350">INDEX(Stammdaten!$A$11:$A$25,INT((ROW()-5)/12)+1 - INT((ROW()-5)/180)*15)</f>
        <v>A014</v>
      </c>
      <c r="D350" s="2" t="str">
        <f>VLOOKUP(C350,Stammdaten!$A$11:$B$25,2,FALSE)</f>
        <v>Kefir 500ml</v>
      </c>
      <c r="E350" s="3" t="str">
        <f>VLOOKUP(C350,Stammdaten!$A$11:$C$25,3,FALSE)</f>
        <v>Milch</v>
      </c>
      <c r="F350" s="19">
        <f>VLOOKUP(C350,Stammdaten!$A$11:$D$25,4,FALSE)</f>
        <v>1.39</v>
      </c>
      <c r="G350" s="4">
        <f t="shared" si="65"/>
        <v>10</v>
      </c>
      <c r="H350" s="20" t="str">
        <f>VLOOKUP(G350,Stammdaten!$A$30:$B$41,2,FALSE)</f>
        <v>Oktober</v>
      </c>
      <c r="I350" s="4">
        <v>114</v>
      </c>
      <c r="J350" s="4">
        <v>111</v>
      </c>
      <c r="K350" s="4">
        <f t="shared" si="66"/>
        <v>-3</v>
      </c>
      <c r="L350" s="27">
        <f t="shared" si="67"/>
        <v>-2.6315789473684208</v>
      </c>
      <c r="M350" s="52" t="str">
        <f t="shared" si="68"/>
        <v>Schwund</v>
      </c>
      <c r="N350" s="28">
        <f t="shared" si="69"/>
        <v>4.17</v>
      </c>
      <c r="O350" s="5">
        <v>10</v>
      </c>
      <c r="P350" s="4">
        <v>0</v>
      </c>
      <c r="Q350" s="28">
        <f t="shared" si="70"/>
        <v>1.0425</v>
      </c>
      <c r="R350" s="50">
        <f t="shared" si="71"/>
        <v>1.2509999999999999</v>
      </c>
      <c r="S350" s="2" t="str">
        <f t="shared" si="72"/>
        <v>Normal</v>
      </c>
      <c r="T350" s="4">
        <v>0</v>
      </c>
      <c r="U350" s="4" t="str">
        <f t="shared" si="73"/>
        <v>Nein</v>
      </c>
      <c r="V350" s="4">
        <f t="shared" si="74"/>
        <v>0</v>
      </c>
      <c r="W350" s="19">
        <f t="shared" si="75"/>
        <v>1.39</v>
      </c>
      <c r="X350" s="5">
        <v>0</v>
      </c>
      <c r="Y350" s="28">
        <f t="shared" si="76"/>
        <v>0</v>
      </c>
      <c r="Z350" s="31" t="s">
        <v>172</v>
      </c>
      <c r="AA350" t="str">
        <f t="shared" si="77"/>
        <v>Buchungsfehler Wareneingang</v>
      </c>
    </row>
    <row r="351" spans="1:27" x14ac:dyDescent="0.35">
      <c r="A351" s="32" t="s">
        <v>15</v>
      </c>
      <c r="B351" s="2" t="str">
        <f>VLOOKUP(A351,Stammdaten!$A$3:$B$7,2,FALSE)</f>
        <v>Filiale Süd</v>
      </c>
      <c r="C351" s="3" t="str" cm="1">
        <f t="array" ref="C351">INDEX(Stammdaten!$A$11:$A$25,INT((ROW()-5)/12)+1 - INT((ROW()-5)/180)*15)</f>
        <v>A014</v>
      </c>
      <c r="D351" s="2" t="str">
        <f>VLOOKUP(C351,Stammdaten!$A$11:$B$25,2,FALSE)</f>
        <v>Kefir 500ml</v>
      </c>
      <c r="E351" s="3" t="str">
        <f>VLOOKUP(C351,Stammdaten!$A$11:$C$25,3,FALSE)</f>
        <v>Milch</v>
      </c>
      <c r="F351" s="19">
        <f>VLOOKUP(C351,Stammdaten!$A$11:$D$25,4,FALSE)</f>
        <v>1.39</v>
      </c>
      <c r="G351" s="4">
        <f t="shared" si="65"/>
        <v>11</v>
      </c>
      <c r="H351" s="20" t="str">
        <f>VLOOKUP(G351,Stammdaten!$A$30:$B$41,2,FALSE)</f>
        <v>November</v>
      </c>
      <c r="I351" s="4">
        <v>128</v>
      </c>
      <c r="J351" s="4">
        <v>124</v>
      </c>
      <c r="K351" s="4">
        <f t="shared" si="66"/>
        <v>-4</v>
      </c>
      <c r="L351" s="27">
        <f t="shared" si="67"/>
        <v>-3.125</v>
      </c>
      <c r="M351" s="52" t="str">
        <f t="shared" si="68"/>
        <v>Schwund</v>
      </c>
      <c r="N351" s="28">
        <f t="shared" si="69"/>
        <v>5.56</v>
      </c>
      <c r="O351" s="5">
        <v>3</v>
      </c>
      <c r="P351" s="4">
        <v>3</v>
      </c>
      <c r="Q351" s="28">
        <f t="shared" si="70"/>
        <v>1.39</v>
      </c>
      <c r="R351" s="50">
        <f t="shared" si="71"/>
        <v>1.6679999999999999</v>
      </c>
      <c r="S351" s="2" t="str">
        <f t="shared" si="72"/>
        <v>Black Friday</v>
      </c>
      <c r="T351" s="4">
        <v>0</v>
      </c>
      <c r="U351" s="4" t="str">
        <f t="shared" si="73"/>
        <v>Ja - 20% Reduzierung</v>
      </c>
      <c r="V351" s="4">
        <f t="shared" si="74"/>
        <v>20</v>
      </c>
      <c r="W351" s="19">
        <f t="shared" si="75"/>
        <v>1.1100000000000001</v>
      </c>
      <c r="X351" s="5">
        <v>19</v>
      </c>
      <c r="Y351" s="28">
        <f t="shared" si="76"/>
        <v>5.28</v>
      </c>
      <c r="Z351" s="31" t="s">
        <v>173</v>
      </c>
      <c r="AA351" t="str">
        <f t="shared" si="77"/>
        <v>Prozessfehler</v>
      </c>
    </row>
    <row r="352" spans="1:27" x14ac:dyDescent="0.35">
      <c r="A352" s="32" t="s">
        <v>15</v>
      </c>
      <c r="B352" s="2" t="str">
        <f>VLOOKUP(A352,Stammdaten!$A$3:$B$7,2,FALSE)</f>
        <v>Filiale Süd</v>
      </c>
      <c r="C352" s="3" t="str" cm="1">
        <f t="array" ref="C352">INDEX(Stammdaten!$A$11:$A$25,INT((ROW()-5)/12)+1 - INT((ROW()-5)/180)*15)</f>
        <v>A014</v>
      </c>
      <c r="D352" s="2" t="str">
        <f>VLOOKUP(C352,Stammdaten!$A$11:$B$25,2,FALSE)</f>
        <v>Kefir 500ml</v>
      </c>
      <c r="E352" s="3" t="str">
        <f>VLOOKUP(C352,Stammdaten!$A$11:$C$25,3,FALSE)</f>
        <v>Milch</v>
      </c>
      <c r="F352" s="19">
        <f>VLOOKUP(C352,Stammdaten!$A$11:$D$25,4,FALSE)</f>
        <v>1.39</v>
      </c>
      <c r="G352" s="4">
        <f t="shared" si="65"/>
        <v>12</v>
      </c>
      <c r="H352" s="20" t="str">
        <f>VLOOKUP(G352,Stammdaten!$A$30:$B$41,2,FALSE)</f>
        <v>Dezember</v>
      </c>
      <c r="I352" s="4">
        <v>160</v>
      </c>
      <c r="J352" s="4">
        <v>155</v>
      </c>
      <c r="K352" s="4">
        <f t="shared" si="66"/>
        <v>-5</v>
      </c>
      <c r="L352" s="27">
        <f t="shared" si="67"/>
        <v>-3.125</v>
      </c>
      <c r="M352" s="52" t="str">
        <f t="shared" si="68"/>
        <v>Schwund</v>
      </c>
      <c r="N352" s="28">
        <f t="shared" si="69"/>
        <v>6.9499999999999993</v>
      </c>
      <c r="O352" s="5">
        <v>9</v>
      </c>
      <c r="P352" s="4">
        <v>4</v>
      </c>
      <c r="Q352" s="28">
        <f t="shared" si="70"/>
        <v>1.7374999999999998</v>
      </c>
      <c r="R352" s="50">
        <f t="shared" si="71"/>
        <v>2.0849999999999995</v>
      </c>
      <c r="S352" s="2" t="str">
        <f t="shared" si="72"/>
        <v>Weihnachten/Silvester</v>
      </c>
      <c r="T352" s="4">
        <v>0</v>
      </c>
      <c r="U352" s="4" t="str">
        <f t="shared" si="73"/>
        <v>Nein</v>
      </c>
      <c r="V352" s="4">
        <f t="shared" si="74"/>
        <v>0</v>
      </c>
      <c r="W352" s="19">
        <f t="shared" si="75"/>
        <v>1.39</v>
      </c>
      <c r="X352" s="5">
        <v>0</v>
      </c>
      <c r="Y352" s="28">
        <f t="shared" si="76"/>
        <v>0</v>
      </c>
      <c r="Z352" s="31" t="s">
        <v>172</v>
      </c>
      <c r="AA352" t="str">
        <f t="shared" si="77"/>
        <v>Prozessfehler</v>
      </c>
    </row>
    <row r="353" spans="1:27" x14ac:dyDescent="0.35">
      <c r="A353" s="32" t="s">
        <v>15</v>
      </c>
      <c r="B353" s="2" t="str">
        <f>VLOOKUP(A353,Stammdaten!$A$3:$B$7,2,FALSE)</f>
        <v>Filiale Süd</v>
      </c>
      <c r="C353" s="3" t="str" cm="1">
        <f t="array" ref="C353">INDEX(Stammdaten!$A$11:$A$25,INT((ROW()-5)/12)+1 - INT((ROW()-5)/180)*15)</f>
        <v>A015</v>
      </c>
      <c r="D353" s="2" t="str">
        <f>VLOOKUP(C353,Stammdaten!$A$11:$B$25,2,FALSE)</f>
        <v>Frischkäse 200g</v>
      </c>
      <c r="E353" s="3" t="str">
        <f>VLOOKUP(C353,Stammdaten!$A$11:$C$25,3,FALSE)</f>
        <v>Käse</v>
      </c>
      <c r="F353" s="19">
        <f>VLOOKUP(C353,Stammdaten!$A$11:$D$25,4,FALSE)</f>
        <v>1.49</v>
      </c>
      <c r="G353" s="4">
        <f t="shared" si="65"/>
        <v>1</v>
      </c>
      <c r="H353" s="20" t="str">
        <f>VLOOKUP(G353,Stammdaten!$A$30:$B$41,2,FALSE)</f>
        <v>Januar</v>
      </c>
      <c r="I353" s="4">
        <v>141</v>
      </c>
      <c r="J353" s="4">
        <v>139</v>
      </c>
      <c r="K353" s="4">
        <f t="shared" si="66"/>
        <v>-2</v>
      </c>
      <c r="L353" s="27">
        <f t="shared" si="67"/>
        <v>-1.4184397163120568</v>
      </c>
      <c r="M353" s="52" t="str">
        <f t="shared" si="68"/>
        <v>Schwund</v>
      </c>
      <c r="N353" s="28">
        <f t="shared" si="69"/>
        <v>2.98</v>
      </c>
      <c r="O353" s="5">
        <v>4</v>
      </c>
      <c r="P353" s="4">
        <v>5</v>
      </c>
      <c r="Q353" s="28">
        <f t="shared" si="70"/>
        <v>0.745</v>
      </c>
      <c r="R353" s="50">
        <f t="shared" si="71"/>
        <v>0.89400000000000002</v>
      </c>
      <c r="S353" s="2" t="str">
        <f t="shared" si="72"/>
        <v>Normal</v>
      </c>
      <c r="T353" s="4">
        <v>0</v>
      </c>
      <c r="U353" s="4" t="str">
        <f t="shared" si="73"/>
        <v>Nein</v>
      </c>
      <c r="V353" s="4">
        <f t="shared" si="74"/>
        <v>0</v>
      </c>
      <c r="W353" s="19">
        <f t="shared" si="75"/>
        <v>1.49</v>
      </c>
      <c r="X353" s="5">
        <v>0</v>
      </c>
      <c r="Y353" s="28">
        <f t="shared" si="76"/>
        <v>0</v>
      </c>
      <c r="Z353" s="31" t="s">
        <v>172</v>
      </c>
      <c r="AA353" t="str">
        <f t="shared" si="77"/>
        <v>Normal/Gering</v>
      </c>
    </row>
    <row r="354" spans="1:27" x14ac:dyDescent="0.35">
      <c r="A354" s="32" t="s">
        <v>15</v>
      </c>
      <c r="B354" s="2" t="str">
        <f>VLOOKUP(A354,Stammdaten!$A$3:$B$7,2,FALSE)</f>
        <v>Filiale Süd</v>
      </c>
      <c r="C354" s="3" t="str" cm="1">
        <f t="array" ref="C354">INDEX(Stammdaten!$A$11:$A$25,INT((ROW()-5)/12)+1 - INT((ROW()-5)/180)*15)</f>
        <v>A015</v>
      </c>
      <c r="D354" s="2" t="str">
        <f>VLOOKUP(C354,Stammdaten!$A$11:$B$25,2,FALSE)</f>
        <v>Frischkäse 200g</v>
      </c>
      <c r="E354" s="3" t="str">
        <f>VLOOKUP(C354,Stammdaten!$A$11:$C$25,3,FALSE)</f>
        <v>Käse</v>
      </c>
      <c r="F354" s="19">
        <f>VLOOKUP(C354,Stammdaten!$A$11:$D$25,4,FALSE)</f>
        <v>1.49</v>
      </c>
      <c r="G354" s="4">
        <f t="shared" si="65"/>
        <v>2</v>
      </c>
      <c r="H354" s="20" t="str">
        <f>VLOOKUP(G354,Stammdaten!$A$30:$B$41,2,FALSE)</f>
        <v>Februar</v>
      </c>
      <c r="I354" s="4">
        <v>140</v>
      </c>
      <c r="J354" s="4">
        <v>143</v>
      </c>
      <c r="K354" s="4">
        <f t="shared" si="66"/>
        <v>3</v>
      </c>
      <c r="L354" s="27">
        <f t="shared" si="67"/>
        <v>2.1428571428571428</v>
      </c>
      <c r="M354" s="52" t="str">
        <f t="shared" si="68"/>
        <v>Überbestand</v>
      </c>
      <c r="N354" s="28">
        <f t="shared" si="69"/>
        <v>4.47</v>
      </c>
      <c r="O354" s="5">
        <v>17</v>
      </c>
      <c r="P354" s="4">
        <v>7</v>
      </c>
      <c r="Q354" s="28">
        <f t="shared" si="70"/>
        <v>0</v>
      </c>
      <c r="R354" s="50">
        <f t="shared" si="71"/>
        <v>0</v>
      </c>
      <c r="S354" s="2" t="str">
        <f t="shared" si="72"/>
        <v>Karneval</v>
      </c>
      <c r="T354" s="4">
        <v>3</v>
      </c>
      <c r="U354" s="4" t="str">
        <f t="shared" si="73"/>
        <v>Nein</v>
      </c>
      <c r="V354" s="4">
        <f t="shared" si="74"/>
        <v>0</v>
      </c>
      <c r="W354" s="19">
        <f t="shared" si="75"/>
        <v>1.49</v>
      </c>
      <c r="X354" s="5">
        <v>0</v>
      </c>
      <c r="Y354" s="28">
        <f t="shared" si="76"/>
        <v>0</v>
      </c>
      <c r="Z354" s="31" t="s">
        <v>172</v>
      </c>
      <c r="AA354" t="str">
        <f t="shared" si="77"/>
        <v>Kassenfehler (Überbestand)</v>
      </c>
    </row>
    <row r="355" spans="1:27" x14ac:dyDescent="0.35">
      <c r="A355" s="32" t="s">
        <v>15</v>
      </c>
      <c r="B355" s="2" t="str">
        <f>VLOOKUP(A355,Stammdaten!$A$3:$B$7,2,FALSE)</f>
        <v>Filiale Süd</v>
      </c>
      <c r="C355" s="3" t="str" cm="1">
        <f t="array" ref="C355">INDEX(Stammdaten!$A$11:$A$25,INT((ROW()-5)/12)+1 - INT((ROW()-5)/180)*15)</f>
        <v>A015</v>
      </c>
      <c r="D355" s="2" t="str">
        <f>VLOOKUP(C355,Stammdaten!$A$11:$B$25,2,FALSE)</f>
        <v>Frischkäse 200g</v>
      </c>
      <c r="E355" s="3" t="str">
        <f>VLOOKUP(C355,Stammdaten!$A$11:$C$25,3,FALSE)</f>
        <v>Käse</v>
      </c>
      <c r="F355" s="19">
        <f>VLOOKUP(C355,Stammdaten!$A$11:$D$25,4,FALSE)</f>
        <v>1.49</v>
      </c>
      <c r="G355" s="4">
        <f t="shared" si="65"/>
        <v>3</v>
      </c>
      <c r="H355" s="20" t="str">
        <f>VLOOKUP(G355,Stammdaten!$A$30:$B$41,2,FALSE)</f>
        <v>März</v>
      </c>
      <c r="I355" s="4">
        <v>166</v>
      </c>
      <c r="J355" s="4">
        <v>161</v>
      </c>
      <c r="K355" s="4">
        <f t="shared" si="66"/>
        <v>-5</v>
      </c>
      <c r="L355" s="27">
        <f t="shared" si="67"/>
        <v>-3.0120481927710845</v>
      </c>
      <c r="M355" s="52" t="str">
        <f t="shared" si="68"/>
        <v>Schwund</v>
      </c>
      <c r="N355" s="28">
        <f t="shared" si="69"/>
        <v>7.45</v>
      </c>
      <c r="O355" s="5">
        <v>12</v>
      </c>
      <c r="P355" s="4">
        <v>4</v>
      </c>
      <c r="Q355" s="28">
        <f t="shared" si="70"/>
        <v>1.8625</v>
      </c>
      <c r="R355" s="50">
        <f t="shared" si="71"/>
        <v>2.2349999999999999</v>
      </c>
      <c r="S355" s="2" t="str">
        <f t="shared" si="72"/>
        <v>Normal</v>
      </c>
      <c r="T355" s="4">
        <v>0</v>
      </c>
      <c r="U355" s="4" t="str">
        <f t="shared" si="73"/>
        <v>Nein</v>
      </c>
      <c r="V355" s="4">
        <f t="shared" si="74"/>
        <v>0</v>
      </c>
      <c r="W355" s="19">
        <f t="shared" si="75"/>
        <v>1.49</v>
      </c>
      <c r="X355" s="5">
        <v>0</v>
      </c>
      <c r="Y355" s="28">
        <f t="shared" si="76"/>
        <v>0</v>
      </c>
      <c r="Z355" s="31" t="s">
        <v>172</v>
      </c>
      <c r="AA355" t="str">
        <f t="shared" si="77"/>
        <v>Prozessfehler</v>
      </c>
    </row>
    <row r="356" spans="1:27" x14ac:dyDescent="0.35">
      <c r="A356" s="32" t="s">
        <v>15</v>
      </c>
      <c r="B356" s="2" t="str">
        <f>VLOOKUP(A356,Stammdaten!$A$3:$B$7,2,FALSE)</f>
        <v>Filiale Süd</v>
      </c>
      <c r="C356" s="3" t="str" cm="1">
        <f t="array" ref="C356">INDEX(Stammdaten!$A$11:$A$25,INT((ROW()-5)/12)+1 - INT((ROW()-5)/180)*15)</f>
        <v>A015</v>
      </c>
      <c r="D356" s="2" t="str">
        <f>VLOOKUP(C356,Stammdaten!$A$11:$B$25,2,FALSE)</f>
        <v>Frischkäse 200g</v>
      </c>
      <c r="E356" s="3" t="str">
        <f>VLOOKUP(C356,Stammdaten!$A$11:$C$25,3,FALSE)</f>
        <v>Käse</v>
      </c>
      <c r="F356" s="19">
        <f>VLOOKUP(C356,Stammdaten!$A$11:$D$25,4,FALSE)</f>
        <v>1.49</v>
      </c>
      <c r="G356" s="4">
        <f t="shared" si="65"/>
        <v>4</v>
      </c>
      <c r="H356" s="20" t="str">
        <f>VLOOKUP(G356,Stammdaten!$A$30:$B$41,2,FALSE)</f>
        <v>April</v>
      </c>
      <c r="I356" s="4">
        <v>210</v>
      </c>
      <c r="J356" s="4">
        <v>206</v>
      </c>
      <c r="K356" s="4">
        <f t="shared" si="66"/>
        <v>-4</v>
      </c>
      <c r="L356" s="27">
        <f t="shared" si="67"/>
        <v>-1.9047619047619049</v>
      </c>
      <c r="M356" s="52" t="str">
        <f t="shared" si="68"/>
        <v>Schwund</v>
      </c>
      <c r="N356" s="28">
        <f t="shared" si="69"/>
        <v>5.96</v>
      </c>
      <c r="O356" s="5">
        <v>1</v>
      </c>
      <c r="P356" s="4">
        <v>4</v>
      </c>
      <c r="Q356" s="28">
        <f t="shared" si="70"/>
        <v>1.49</v>
      </c>
      <c r="R356" s="50">
        <f t="shared" si="71"/>
        <v>1.788</v>
      </c>
      <c r="S356" s="2" t="str">
        <f t="shared" si="72"/>
        <v>Ostern</v>
      </c>
      <c r="T356" s="4">
        <v>0</v>
      </c>
      <c r="U356" s="4" t="str">
        <f t="shared" si="73"/>
        <v>Ja - 20% Reduzierung</v>
      </c>
      <c r="V356" s="4">
        <f t="shared" si="74"/>
        <v>20</v>
      </c>
      <c r="W356" s="19">
        <f t="shared" si="75"/>
        <v>1.19</v>
      </c>
      <c r="X356" s="5">
        <v>23</v>
      </c>
      <c r="Y356" s="28">
        <f t="shared" si="76"/>
        <v>6.85</v>
      </c>
      <c r="Z356" s="31" t="s">
        <v>173</v>
      </c>
      <c r="AA356" t="str">
        <f t="shared" si="77"/>
        <v>Normal/Gering</v>
      </c>
    </row>
    <row r="357" spans="1:27" x14ac:dyDescent="0.35">
      <c r="A357" s="32" t="s">
        <v>15</v>
      </c>
      <c r="B357" s="2" t="str">
        <f>VLOOKUP(A357,Stammdaten!$A$3:$B$7,2,FALSE)</f>
        <v>Filiale Süd</v>
      </c>
      <c r="C357" s="3" t="str" cm="1">
        <f t="array" ref="C357">INDEX(Stammdaten!$A$11:$A$25,INT((ROW()-5)/12)+1 - INT((ROW()-5)/180)*15)</f>
        <v>A015</v>
      </c>
      <c r="D357" s="2" t="str">
        <f>VLOOKUP(C357,Stammdaten!$A$11:$B$25,2,FALSE)</f>
        <v>Frischkäse 200g</v>
      </c>
      <c r="E357" s="3" t="str">
        <f>VLOOKUP(C357,Stammdaten!$A$11:$C$25,3,FALSE)</f>
        <v>Käse</v>
      </c>
      <c r="F357" s="19">
        <f>VLOOKUP(C357,Stammdaten!$A$11:$D$25,4,FALSE)</f>
        <v>1.49</v>
      </c>
      <c r="G357" s="4">
        <f t="shared" si="65"/>
        <v>5</v>
      </c>
      <c r="H357" s="20" t="str">
        <f>VLOOKUP(G357,Stammdaten!$A$30:$B$41,2,FALSE)</f>
        <v>Mai</v>
      </c>
      <c r="I357" s="4">
        <v>155</v>
      </c>
      <c r="J357" s="4">
        <v>155</v>
      </c>
      <c r="K357" s="4">
        <f t="shared" si="66"/>
        <v>0</v>
      </c>
      <c r="L357" s="27">
        <f t="shared" si="67"/>
        <v>0</v>
      </c>
      <c r="M357" s="52" t="str">
        <f t="shared" si="68"/>
        <v>Perfekt</v>
      </c>
      <c r="N357" s="28">
        <f t="shared" si="69"/>
        <v>0</v>
      </c>
      <c r="O357" s="5">
        <v>18</v>
      </c>
      <c r="P357" s="4">
        <v>2</v>
      </c>
      <c r="Q357" s="28">
        <f t="shared" si="70"/>
        <v>0</v>
      </c>
      <c r="R357" s="50">
        <f t="shared" si="71"/>
        <v>0</v>
      </c>
      <c r="S357" s="2" t="str">
        <f t="shared" si="72"/>
        <v>Normal</v>
      </c>
      <c r="T357" s="4">
        <v>0</v>
      </c>
      <c r="U357" s="4" t="str">
        <f t="shared" si="73"/>
        <v>Nein</v>
      </c>
      <c r="V357" s="4">
        <f t="shared" si="74"/>
        <v>0</v>
      </c>
      <c r="W357" s="19">
        <f t="shared" si="75"/>
        <v>1.49</v>
      </c>
      <c r="X357" s="5">
        <v>0</v>
      </c>
      <c r="Y357" s="28">
        <f t="shared" si="76"/>
        <v>0</v>
      </c>
      <c r="Z357" s="31" t="s">
        <v>172</v>
      </c>
      <c r="AA357" t="str">
        <f t="shared" si="77"/>
        <v>Normal/Gering</v>
      </c>
    </row>
    <row r="358" spans="1:27" x14ac:dyDescent="0.35">
      <c r="A358" s="32" t="s">
        <v>15</v>
      </c>
      <c r="B358" s="2" t="str">
        <f>VLOOKUP(A358,Stammdaten!$A$3:$B$7,2,FALSE)</f>
        <v>Filiale Süd</v>
      </c>
      <c r="C358" s="3" t="str" cm="1">
        <f t="array" ref="C358">INDEX(Stammdaten!$A$11:$A$25,INT((ROW()-5)/12)+1 - INT((ROW()-5)/180)*15)</f>
        <v>A015</v>
      </c>
      <c r="D358" s="2" t="str">
        <f>VLOOKUP(C358,Stammdaten!$A$11:$B$25,2,FALSE)</f>
        <v>Frischkäse 200g</v>
      </c>
      <c r="E358" s="3" t="str">
        <f>VLOOKUP(C358,Stammdaten!$A$11:$C$25,3,FALSE)</f>
        <v>Käse</v>
      </c>
      <c r="F358" s="19">
        <f>VLOOKUP(C358,Stammdaten!$A$11:$D$25,4,FALSE)</f>
        <v>1.49</v>
      </c>
      <c r="G358" s="4">
        <f t="shared" si="65"/>
        <v>6</v>
      </c>
      <c r="H358" s="20" t="str">
        <f>VLOOKUP(G358,Stammdaten!$A$30:$B$41,2,FALSE)</f>
        <v>Juni</v>
      </c>
      <c r="I358" s="4">
        <v>171</v>
      </c>
      <c r="J358" s="4">
        <v>168</v>
      </c>
      <c r="K358" s="4">
        <f t="shared" si="66"/>
        <v>-3</v>
      </c>
      <c r="L358" s="27">
        <f t="shared" si="67"/>
        <v>-1.7543859649122806</v>
      </c>
      <c r="M358" s="52" t="str">
        <f t="shared" si="68"/>
        <v>Schwund</v>
      </c>
      <c r="N358" s="28">
        <f t="shared" si="69"/>
        <v>4.47</v>
      </c>
      <c r="O358" s="5">
        <v>15</v>
      </c>
      <c r="P358" s="4">
        <v>3</v>
      </c>
      <c r="Q358" s="28">
        <f t="shared" si="70"/>
        <v>1.1174999999999999</v>
      </c>
      <c r="R358" s="50">
        <f t="shared" si="71"/>
        <v>1.341</v>
      </c>
      <c r="S358" s="2" t="str">
        <f t="shared" si="72"/>
        <v>Normal</v>
      </c>
      <c r="T358" s="4">
        <v>0</v>
      </c>
      <c r="U358" s="4" t="str">
        <f t="shared" si="73"/>
        <v>Nein</v>
      </c>
      <c r="V358" s="4">
        <f t="shared" si="74"/>
        <v>0</v>
      </c>
      <c r="W358" s="19">
        <f t="shared" si="75"/>
        <v>1.49</v>
      </c>
      <c r="X358" s="5">
        <v>0</v>
      </c>
      <c r="Y358" s="28">
        <f t="shared" si="76"/>
        <v>0</v>
      </c>
      <c r="Z358" s="31" t="s">
        <v>172</v>
      </c>
      <c r="AA358" t="str">
        <f t="shared" si="77"/>
        <v>Normal/Gering</v>
      </c>
    </row>
    <row r="359" spans="1:27" x14ac:dyDescent="0.35">
      <c r="A359" s="32" t="s">
        <v>15</v>
      </c>
      <c r="B359" s="2" t="str">
        <f>VLOOKUP(A359,Stammdaten!$A$3:$B$7,2,FALSE)</f>
        <v>Filiale Süd</v>
      </c>
      <c r="C359" s="3" t="str" cm="1">
        <f t="array" ref="C359">INDEX(Stammdaten!$A$11:$A$25,INT((ROW()-5)/12)+1 - INT((ROW()-5)/180)*15)</f>
        <v>A015</v>
      </c>
      <c r="D359" s="2" t="str">
        <f>VLOOKUP(C359,Stammdaten!$A$11:$B$25,2,FALSE)</f>
        <v>Frischkäse 200g</v>
      </c>
      <c r="E359" s="3" t="str">
        <f>VLOOKUP(C359,Stammdaten!$A$11:$C$25,3,FALSE)</f>
        <v>Käse</v>
      </c>
      <c r="F359" s="19">
        <f>VLOOKUP(C359,Stammdaten!$A$11:$D$25,4,FALSE)</f>
        <v>1.49</v>
      </c>
      <c r="G359" s="4">
        <f t="shared" si="65"/>
        <v>7</v>
      </c>
      <c r="H359" s="20" t="str">
        <f>VLOOKUP(G359,Stammdaten!$A$30:$B$41,2,FALSE)</f>
        <v>Juli</v>
      </c>
      <c r="I359" s="4">
        <v>202</v>
      </c>
      <c r="J359" s="4">
        <v>197</v>
      </c>
      <c r="K359" s="4">
        <f t="shared" si="66"/>
        <v>-5</v>
      </c>
      <c r="L359" s="27">
        <f t="shared" si="67"/>
        <v>-2.4752475247524752</v>
      </c>
      <c r="M359" s="52" t="str">
        <f t="shared" si="68"/>
        <v>Schwund</v>
      </c>
      <c r="N359" s="28">
        <f t="shared" si="69"/>
        <v>7.45</v>
      </c>
      <c r="O359" s="5">
        <v>17</v>
      </c>
      <c r="P359" s="4">
        <v>7</v>
      </c>
      <c r="Q359" s="28">
        <f t="shared" si="70"/>
        <v>1.8625</v>
      </c>
      <c r="R359" s="50">
        <f t="shared" si="71"/>
        <v>2.2349999999999999</v>
      </c>
      <c r="S359" s="2" t="str">
        <f t="shared" si="72"/>
        <v>Normal</v>
      </c>
      <c r="T359" s="4">
        <v>0</v>
      </c>
      <c r="U359" s="4" t="str">
        <f t="shared" si="73"/>
        <v>Nein</v>
      </c>
      <c r="V359" s="4">
        <f t="shared" si="74"/>
        <v>0</v>
      </c>
      <c r="W359" s="19">
        <f t="shared" si="75"/>
        <v>1.49</v>
      </c>
      <c r="X359" s="5">
        <v>0</v>
      </c>
      <c r="Y359" s="28">
        <f t="shared" si="76"/>
        <v>0</v>
      </c>
      <c r="Z359" s="31" t="s">
        <v>172</v>
      </c>
      <c r="AA359" t="str">
        <f t="shared" si="77"/>
        <v>Prozessfehler</v>
      </c>
    </row>
    <row r="360" spans="1:27" x14ac:dyDescent="0.35">
      <c r="A360" s="32" t="s">
        <v>15</v>
      </c>
      <c r="B360" s="2" t="str">
        <f>VLOOKUP(A360,Stammdaten!$A$3:$B$7,2,FALSE)</f>
        <v>Filiale Süd</v>
      </c>
      <c r="C360" s="3" t="str" cm="1">
        <f t="array" ref="C360">INDEX(Stammdaten!$A$11:$A$25,INT((ROW()-5)/12)+1 - INT((ROW()-5)/180)*15)</f>
        <v>A015</v>
      </c>
      <c r="D360" s="2" t="str">
        <f>VLOOKUP(C360,Stammdaten!$A$11:$B$25,2,FALSE)</f>
        <v>Frischkäse 200g</v>
      </c>
      <c r="E360" s="3" t="str">
        <f>VLOOKUP(C360,Stammdaten!$A$11:$C$25,3,FALSE)</f>
        <v>Käse</v>
      </c>
      <c r="F360" s="19">
        <f>VLOOKUP(C360,Stammdaten!$A$11:$D$25,4,FALSE)</f>
        <v>1.49</v>
      </c>
      <c r="G360" s="4">
        <f t="shared" si="65"/>
        <v>8</v>
      </c>
      <c r="H360" s="20" t="str">
        <f>VLOOKUP(G360,Stammdaten!$A$30:$B$41,2,FALSE)</f>
        <v>August</v>
      </c>
      <c r="I360" s="4">
        <v>178</v>
      </c>
      <c r="J360" s="4">
        <v>178</v>
      </c>
      <c r="K360" s="4">
        <f t="shared" si="66"/>
        <v>0</v>
      </c>
      <c r="L360" s="27">
        <f t="shared" si="67"/>
        <v>0</v>
      </c>
      <c r="M360" s="52" t="str">
        <f t="shared" si="68"/>
        <v>Perfekt</v>
      </c>
      <c r="N360" s="28">
        <f t="shared" si="69"/>
        <v>0</v>
      </c>
      <c r="O360" s="5">
        <v>6</v>
      </c>
      <c r="P360" s="4">
        <v>7</v>
      </c>
      <c r="Q360" s="28">
        <f t="shared" si="70"/>
        <v>0</v>
      </c>
      <c r="R360" s="50">
        <f t="shared" si="71"/>
        <v>0</v>
      </c>
      <c r="S360" s="2" t="str">
        <f t="shared" si="72"/>
        <v>Normal</v>
      </c>
      <c r="T360" s="4">
        <v>0</v>
      </c>
      <c r="U360" s="4" t="str">
        <f t="shared" si="73"/>
        <v>Nein</v>
      </c>
      <c r="V360" s="4">
        <f t="shared" si="74"/>
        <v>0</v>
      </c>
      <c r="W360" s="19">
        <f t="shared" si="75"/>
        <v>1.49</v>
      </c>
      <c r="X360" s="5">
        <v>0</v>
      </c>
      <c r="Y360" s="28">
        <f t="shared" si="76"/>
        <v>0</v>
      </c>
      <c r="Z360" s="31" t="s">
        <v>172</v>
      </c>
      <c r="AA360" t="str">
        <f t="shared" si="77"/>
        <v>Normal/Gering</v>
      </c>
    </row>
    <row r="361" spans="1:27" x14ac:dyDescent="0.35">
      <c r="A361" s="32" t="s">
        <v>15</v>
      </c>
      <c r="B361" s="2" t="str">
        <f>VLOOKUP(A361,Stammdaten!$A$3:$B$7,2,FALSE)</f>
        <v>Filiale Süd</v>
      </c>
      <c r="C361" s="3" t="str" cm="1">
        <f t="array" ref="C361">INDEX(Stammdaten!$A$11:$A$25,INT((ROW()-5)/12)+1 - INT((ROW()-5)/180)*15)</f>
        <v>A015</v>
      </c>
      <c r="D361" s="2" t="str">
        <f>VLOOKUP(C361,Stammdaten!$A$11:$B$25,2,FALSE)</f>
        <v>Frischkäse 200g</v>
      </c>
      <c r="E361" s="3" t="str">
        <f>VLOOKUP(C361,Stammdaten!$A$11:$C$25,3,FALSE)</f>
        <v>Käse</v>
      </c>
      <c r="F361" s="19">
        <f>VLOOKUP(C361,Stammdaten!$A$11:$D$25,4,FALSE)</f>
        <v>1.49</v>
      </c>
      <c r="G361" s="4">
        <f t="shared" si="65"/>
        <v>9</v>
      </c>
      <c r="H361" s="20" t="str">
        <f>VLOOKUP(G361,Stammdaten!$A$30:$B$41,2,FALSE)</f>
        <v>September</v>
      </c>
      <c r="I361" s="4">
        <v>144</v>
      </c>
      <c r="J361" s="4">
        <v>140</v>
      </c>
      <c r="K361" s="4">
        <f t="shared" si="66"/>
        <v>-4</v>
      </c>
      <c r="L361" s="27">
        <f t="shared" si="67"/>
        <v>-2.7777777777777777</v>
      </c>
      <c r="M361" s="52" t="str">
        <f t="shared" si="68"/>
        <v>Schwund</v>
      </c>
      <c r="N361" s="28">
        <f t="shared" si="69"/>
        <v>5.96</v>
      </c>
      <c r="O361" s="5">
        <v>2</v>
      </c>
      <c r="P361" s="4">
        <v>3</v>
      </c>
      <c r="Q361" s="28">
        <f t="shared" si="70"/>
        <v>1.49</v>
      </c>
      <c r="R361" s="50">
        <f t="shared" si="71"/>
        <v>1.788</v>
      </c>
      <c r="S361" s="2" t="str">
        <f t="shared" si="72"/>
        <v>Normal</v>
      </c>
      <c r="T361" s="4">
        <v>0</v>
      </c>
      <c r="U361" s="4" t="str">
        <f t="shared" si="73"/>
        <v>Ja - 20% Reduzierung</v>
      </c>
      <c r="V361" s="4">
        <f t="shared" si="74"/>
        <v>20</v>
      </c>
      <c r="W361" s="19">
        <f t="shared" si="75"/>
        <v>1.19</v>
      </c>
      <c r="X361" s="5">
        <v>10</v>
      </c>
      <c r="Y361" s="28">
        <f t="shared" si="76"/>
        <v>2.98</v>
      </c>
      <c r="Z361" s="31" t="s">
        <v>173</v>
      </c>
      <c r="AA361" t="str">
        <f t="shared" si="77"/>
        <v>Prozessfehler</v>
      </c>
    </row>
    <row r="362" spans="1:27" x14ac:dyDescent="0.35">
      <c r="A362" s="32" t="s">
        <v>15</v>
      </c>
      <c r="B362" s="2" t="str">
        <f>VLOOKUP(A362,Stammdaten!$A$3:$B$7,2,FALSE)</f>
        <v>Filiale Süd</v>
      </c>
      <c r="C362" s="3" t="str" cm="1">
        <f t="array" ref="C362">INDEX(Stammdaten!$A$11:$A$25,INT((ROW()-5)/12)+1 - INT((ROW()-5)/180)*15)</f>
        <v>A015</v>
      </c>
      <c r="D362" s="2" t="str">
        <f>VLOOKUP(C362,Stammdaten!$A$11:$B$25,2,FALSE)</f>
        <v>Frischkäse 200g</v>
      </c>
      <c r="E362" s="3" t="str">
        <f>VLOOKUP(C362,Stammdaten!$A$11:$C$25,3,FALSE)</f>
        <v>Käse</v>
      </c>
      <c r="F362" s="19">
        <f>VLOOKUP(C362,Stammdaten!$A$11:$D$25,4,FALSE)</f>
        <v>1.49</v>
      </c>
      <c r="G362" s="4">
        <f t="shared" si="65"/>
        <v>10</v>
      </c>
      <c r="H362" s="20" t="str">
        <f>VLOOKUP(G362,Stammdaten!$A$30:$B$41,2,FALSE)</f>
        <v>Oktober</v>
      </c>
      <c r="I362" s="4">
        <v>168</v>
      </c>
      <c r="J362" s="4">
        <v>170</v>
      </c>
      <c r="K362" s="4">
        <f t="shared" si="66"/>
        <v>2</v>
      </c>
      <c r="L362" s="27">
        <f t="shared" si="67"/>
        <v>1.1904761904761905</v>
      </c>
      <c r="M362" s="52" t="str">
        <f t="shared" si="68"/>
        <v>Überbestand</v>
      </c>
      <c r="N362" s="28">
        <f t="shared" si="69"/>
        <v>2.98</v>
      </c>
      <c r="O362" s="5">
        <v>13</v>
      </c>
      <c r="P362" s="4">
        <v>2</v>
      </c>
      <c r="Q362" s="28">
        <f t="shared" si="70"/>
        <v>0</v>
      </c>
      <c r="R362" s="50">
        <f t="shared" si="71"/>
        <v>0</v>
      </c>
      <c r="S362" s="2" t="str">
        <f t="shared" si="72"/>
        <v>Normal</v>
      </c>
      <c r="T362" s="4">
        <v>2</v>
      </c>
      <c r="U362" s="4" t="str">
        <f t="shared" si="73"/>
        <v>Nein</v>
      </c>
      <c r="V362" s="4">
        <f t="shared" si="74"/>
        <v>0</v>
      </c>
      <c r="W362" s="19">
        <f t="shared" si="75"/>
        <v>1.49</v>
      </c>
      <c r="X362" s="5">
        <v>0</v>
      </c>
      <c r="Y362" s="28">
        <f t="shared" si="76"/>
        <v>0</v>
      </c>
      <c r="Z362" s="31" t="s">
        <v>172</v>
      </c>
      <c r="AA362" t="str">
        <f t="shared" si="77"/>
        <v>Kassenfehler (Überbestand)</v>
      </c>
    </row>
    <row r="363" spans="1:27" x14ac:dyDescent="0.35">
      <c r="A363" s="32" t="s">
        <v>15</v>
      </c>
      <c r="B363" s="2" t="str">
        <f>VLOOKUP(A363,Stammdaten!$A$3:$B$7,2,FALSE)</f>
        <v>Filiale Süd</v>
      </c>
      <c r="C363" s="3" t="str" cm="1">
        <f t="array" ref="C363">INDEX(Stammdaten!$A$11:$A$25,INT((ROW()-5)/12)+1 - INT((ROW()-5)/180)*15)</f>
        <v>A015</v>
      </c>
      <c r="D363" s="2" t="str">
        <f>VLOOKUP(C363,Stammdaten!$A$11:$B$25,2,FALSE)</f>
        <v>Frischkäse 200g</v>
      </c>
      <c r="E363" s="3" t="str">
        <f>VLOOKUP(C363,Stammdaten!$A$11:$C$25,3,FALSE)</f>
        <v>Käse</v>
      </c>
      <c r="F363" s="19">
        <f>VLOOKUP(C363,Stammdaten!$A$11:$D$25,4,FALSE)</f>
        <v>1.49</v>
      </c>
      <c r="G363" s="4">
        <f t="shared" si="65"/>
        <v>11</v>
      </c>
      <c r="H363" s="20" t="str">
        <f>VLOOKUP(G363,Stammdaten!$A$30:$B$41,2,FALSE)</f>
        <v>November</v>
      </c>
      <c r="I363" s="4">
        <v>181</v>
      </c>
      <c r="J363" s="4">
        <v>188</v>
      </c>
      <c r="K363" s="4">
        <f t="shared" si="66"/>
        <v>7</v>
      </c>
      <c r="L363" s="27">
        <f t="shared" si="67"/>
        <v>3.867403314917127</v>
      </c>
      <c r="M363" s="52" t="str">
        <f t="shared" si="68"/>
        <v>Überbestand</v>
      </c>
      <c r="N363" s="28">
        <f t="shared" si="69"/>
        <v>10.43</v>
      </c>
      <c r="O363" s="5">
        <v>12</v>
      </c>
      <c r="P363" s="4">
        <v>5</v>
      </c>
      <c r="Q363" s="28">
        <f t="shared" si="70"/>
        <v>0</v>
      </c>
      <c r="R363" s="50">
        <f t="shared" si="71"/>
        <v>0</v>
      </c>
      <c r="S363" s="2" t="str">
        <f t="shared" si="72"/>
        <v>Black Friday</v>
      </c>
      <c r="T363" s="4">
        <v>7</v>
      </c>
      <c r="U363" s="4" t="str">
        <f t="shared" si="73"/>
        <v>Nein</v>
      </c>
      <c r="V363" s="4">
        <f t="shared" si="74"/>
        <v>0</v>
      </c>
      <c r="W363" s="19">
        <f t="shared" si="75"/>
        <v>1.49</v>
      </c>
      <c r="X363" s="5">
        <v>0</v>
      </c>
      <c r="Y363" s="28">
        <f t="shared" si="76"/>
        <v>0</v>
      </c>
      <c r="Z363" s="31" t="s">
        <v>172</v>
      </c>
      <c r="AA363" t="str">
        <f t="shared" si="77"/>
        <v>Kassenfehler (Überbestand)</v>
      </c>
    </row>
    <row r="364" spans="1:27" x14ac:dyDescent="0.35">
      <c r="A364" s="32" t="s">
        <v>15</v>
      </c>
      <c r="B364" s="2" t="str">
        <f>VLOOKUP(A364,Stammdaten!$A$3:$B$7,2,FALSE)</f>
        <v>Filiale Süd</v>
      </c>
      <c r="C364" s="3" t="str" cm="1">
        <f t="array" ref="C364">INDEX(Stammdaten!$A$11:$A$25,INT((ROW()-5)/12)+1 - INT((ROW()-5)/180)*15)</f>
        <v>A015</v>
      </c>
      <c r="D364" s="2" t="str">
        <f>VLOOKUP(C364,Stammdaten!$A$11:$B$25,2,FALSE)</f>
        <v>Frischkäse 200g</v>
      </c>
      <c r="E364" s="3" t="str">
        <f>VLOOKUP(C364,Stammdaten!$A$11:$C$25,3,FALSE)</f>
        <v>Käse</v>
      </c>
      <c r="F364" s="19">
        <f>VLOOKUP(C364,Stammdaten!$A$11:$D$25,4,FALSE)</f>
        <v>1.49</v>
      </c>
      <c r="G364" s="4">
        <f t="shared" si="65"/>
        <v>12</v>
      </c>
      <c r="H364" s="20" t="str">
        <f>VLOOKUP(G364,Stammdaten!$A$30:$B$41,2,FALSE)</f>
        <v>Dezember</v>
      </c>
      <c r="I364" s="4">
        <v>231</v>
      </c>
      <c r="J364" s="4">
        <v>226</v>
      </c>
      <c r="K364" s="4">
        <f t="shared" si="66"/>
        <v>-5</v>
      </c>
      <c r="L364" s="27">
        <f t="shared" si="67"/>
        <v>-2.1645021645021645</v>
      </c>
      <c r="M364" s="52" t="str">
        <f t="shared" si="68"/>
        <v>Schwund</v>
      </c>
      <c r="N364" s="28">
        <f t="shared" si="69"/>
        <v>7.45</v>
      </c>
      <c r="O364" s="5">
        <v>1</v>
      </c>
      <c r="P364" s="4">
        <v>0</v>
      </c>
      <c r="Q364" s="28">
        <f t="shared" si="70"/>
        <v>1.8625</v>
      </c>
      <c r="R364" s="50">
        <f t="shared" si="71"/>
        <v>2.2349999999999999</v>
      </c>
      <c r="S364" s="2" t="str">
        <f t="shared" si="72"/>
        <v>Weihnachten/Silvester</v>
      </c>
      <c r="T364" s="4">
        <v>0</v>
      </c>
      <c r="U364" s="4" t="str">
        <f t="shared" si="73"/>
        <v>Ja - 20% Reduzierung</v>
      </c>
      <c r="V364" s="4">
        <f t="shared" si="74"/>
        <v>20</v>
      </c>
      <c r="W364" s="19">
        <f t="shared" si="75"/>
        <v>1.19</v>
      </c>
      <c r="X364" s="5">
        <v>14</v>
      </c>
      <c r="Y364" s="28">
        <f t="shared" si="76"/>
        <v>4.17</v>
      </c>
      <c r="Z364" s="31" t="s">
        <v>173</v>
      </c>
      <c r="AA364" t="str">
        <f t="shared" si="77"/>
        <v>Buchungsfehler Wareneingang</v>
      </c>
    </row>
    <row r="365" spans="1:27" x14ac:dyDescent="0.35">
      <c r="A365" s="32" t="s">
        <v>16</v>
      </c>
      <c r="B365" s="2" t="str">
        <f>VLOOKUP(A365,Stammdaten!$A$3:$B$7,2,FALSE)</f>
        <v>Filiale Ost</v>
      </c>
      <c r="C365" s="3" t="str" cm="1">
        <f t="array" ref="C365">INDEX(Stammdaten!$A$11:$A$25,INT((ROW()-5)/12)+1 - INT((ROW()-5)/180)*15)</f>
        <v>A001</v>
      </c>
      <c r="D365" s="2" t="str">
        <f>VLOOKUP(C365,Stammdaten!$A$11:$B$25,2,FALSE)</f>
        <v>Vollmilch 1L</v>
      </c>
      <c r="E365" s="3" t="str">
        <f>VLOOKUP(C365,Stammdaten!$A$11:$C$25,3,FALSE)</f>
        <v>Milch</v>
      </c>
      <c r="F365" s="19">
        <f>VLOOKUP(C365,Stammdaten!$A$11:$D$25,4,FALSE)</f>
        <v>1.19</v>
      </c>
      <c r="G365" s="4">
        <f t="shared" si="65"/>
        <v>1</v>
      </c>
      <c r="H365" s="20" t="str">
        <f>VLOOKUP(G365,Stammdaten!$A$30:$B$41,2,FALSE)</f>
        <v>Januar</v>
      </c>
      <c r="I365" s="4">
        <v>397</v>
      </c>
      <c r="J365" s="4">
        <v>378</v>
      </c>
      <c r="K365" s="4">
        <f t="shared" si="66"/>
        <v>-19</v>
      </c>
      <c r="L365" s="27">
        <f t="shared" si="67"/>
        <v>-4.7858942065491181</v>
      </c>
      <c r="M365" s="52" t="str">
        <f t="shared" si="68"/>
        <v>Schwund</v>
      </c>
      <c r="N365" s="28">
        <f t="shared" si="69"/>
        <v>22.61</v>
      </c>
      <c r="O365" s="5">
        <v>1</v>
      </c>
      <c r="P365" s="4">
        <v>3</v>
      </c>
      <c r="Q365" s="28">
        <f t="shared" si="70"/>
        <v>5.6524999999999999</v>
      </c>
      <c r="R365" s="50">
        <f t="shared" si="71"/>
        <v>6.7829999999999995</v>
      </c>
      <c r="S365" s="2" t="str">
        <f t="shared" si="72"/>
        <v>Normal</v>
      </c>
      <c r="T365" s="4">
        <v>0</v>
      </c>
      <c r="U365" s="4" t="str">
        <f t="shared" si="73"/>
        <v>Ja - 20% Reduzierung</v>
      </c>
      <c r="V365" s="4">
        <f t="shared" si="74"/>
        <v>20</v>
      </c>
      <c r="W365" s="19">
        <f t="shared" si="75"/>
        <v>0.95</v>
      </c>
      <c r="X365" s="5">
        <v>60</v>
      </c>
      <c r="Y365" s="28">
        <f t="shared" si="76"/>
        <v>14.28</v>
      </c>
      <c r="Z365" s="31" t="s">
        <v>173</v>
      </c>
      <c r="AA365" t="str">
        <f t="shared" si="77"/>
        <v>Prozessfehler</v>
      </c>
    </row>
    <row r="366" spans="1:27" x14ac:dyDescent="0.35">
      <c r="A366" s="32" t="s">
        <v>16</v>
      </c>
      <c r="B366" s="2" t="str">
        <f>VLOOKUP(A366,Stammdaten!$A$3:$B$7,2,FALSE)</f>
        <v>Filiale Ost</v>
      </c>
      <c r="C366" s="3" t="str" cm="1">
        <f t="array" ref="C366">INDEX(Stammdaten!$A$11:$A$25,INT((ROW()-5)/12)+1 - INT((ROW()-5)/180)*15)</f>
        <v>A001</v>
      </c>
      <c r="D366" s="2" t="str">
        <f>VLOOKUP(C366,Stammdaten!$A$11:$B$25,2,FALSE)</f>
        <v>Vollmilch 1L</v>
      </c>
      <c r="E366" s="3" t="str">
        <f>VLOOKUP(C366,Stammdaten!$A$11:$C$25,3,FALSE)</f>
        <v>Milch</v>
      </c>
      <c r="F366" s="19">
        <f>VLOOKUP(C366,Stammdaten!$A$11:$D$25,4,FALSE)</f>
        <v>1.19</v>
      </c>
      <c r="G366" s="4">
        <f t="shared" si="65"/>
        <v>2</v>
      </c>
      <c r="H366" s="20" t="str">
        <f>VLOOKUP(G366,Stammdaten!$A$30:$B$41,2,FALSE)</f>
        <v>Februar</v>
      </c>
      <c r="I366" s="4">
        <v>371</v>
      </c>
      <c r="J366" s="4">
        <v>356</v>
      </c>
      <c r="K366" s="4">
        <f t="shared" si="66"/>
        <v>-15</v>
      </c>
      <c r="L366" s="27">
        <f t="shared" si="67"/>
        <v>-4.0431266846361185</v>
      </c>
      <c r="M366" s="52" t="str">
        <f t="shared" si="68"/>
        <v>Schwund</v>
      </c>
      <c r="N366" s="28">
        <f t="shared" si="69"/>
        <v>17.849999999999998</v>
      </c>
      <c r="O366" s="5">
        <v>3</v>
      </c>
      <c r="P366" s="4">
        <v>3</v>
      </c>
      <c r="Q366" s="28">
        <f t="shared" si="70"/>
        <v>4.4624999999999995</v>
      </c>
      <c r="R366" s="50">
        <f t="shared" si="71"/>
        <v>5.3549999999999995</v>
      </c>
      <c r="S366" s="2" t="str">
        <f t="shared" si="72"/>
        <v>Karneval</v>
      </c>
      <c r="T366" s="4">
        <v>0</v>
      </c>
      <c r="U366" s="4" t="str">
        <f t="shared" si="73"/>
        <v>Ja - 20% Reduzierung</v>
      </c>
      <c r="V366" s="4">
        <f t="shared" si="74"/>
        <v>20</v>
      </c>
      <c r="W366" s="19">
        <f t="shared" si="75"/>
        <v>0.95</v>
      </c>
      <c r="X366" s="5">
        <v>19</v>
      </c>
      <c r="Y366" s="28">
        <f t="shared" si="76"/>
        <v>4.5199999999999996</v>
      </c>
      <c r="Z366" s="31" t="s">
        <v>167</v>
      </c>
      <c r="AA366" t="str">
        <f t="shared" si="77"/>
        <v>MHD - Prozessfehler</v>
      </c>
    </row>
    <row r="367" spans="1:27" x14ac:dyDescent="0.35">
      <c r="A367" s="32" t="s">
        <v>16</v>
      </c>
      <c r="B367" s="2" t="str">
        <f>VLOOKUP(A367,Stammdaten!$A$3:$B$7,2,FALSE)</f>
        <v>Filiale Ost</v>
      </c>
      <c r="C367" s="3" t="str" cm="1">
        <f t="array" ref="C367">INDEX(Stammdaten!$A$11:$A$25,INT((ROW()-5)/12)+1 - INT((ROW()-5)/180)*15)</f>
        <v>A001</v>
      </c>
      <c r="D367" s="2" t="str">
        <f>VLOOKUP(C367,Stammdaten!$A$11:$B$25,2,FALSE)</f>
        <v>Vollmilch 1L</v>
      </c>
      <c r="E367" s="3" t="str">
        <f>VLOOKUP(C367,Stammdaten!$A$11:$C$25,3,FALSE)</f>
        <v>Milch</v>
      </c>
      <c r="F367" s="19">
        <f>VLOOKUP(C367,Stammdaten!$A$11:$D$25,4,FALSE)</f>
        <v>1.19</v>
      </c>
      <c r="G367" s="4">
        <f t="shared" si="65"/>
        <v>3</v>
      </c>
      <c r="H367" s="20" t="str">
        <f>VLOOKUP(G367,Stammdaten!$A$30:$B$41,2,FALSE)</f>
        <v>März</v>
      </c>
      <c r="I367" s="4">
        <v>482</v>
      </c>
      <c r="J367" s="4">
        <v>483</v>
      </c>
      <c r="K367" s="4">
        <f t="shared" si="66"/>
        <v>1</v>
      </c>
      <c r="L367" s="27">
        <f t="shared" si="67"/>
        <v>0.2074688796680498</v>
      </c>
      <c r="M367" s="52" t="str">
        <f t="shared" si="68"/>
        <v>Überbestand</v>
      </c>
      <c r="N367" s="28">
        <f t="shared" si="69"/>
        <v>1.19</v>
      </c>
      <c r="O367" s="5">
        <v>6</v>
      </c>
      <c r="P367" s="4">
        <v>2</v>
      </c>
      <c r="Q367" s="28">
        <f t="shared" si="70"/>
        <v>0</v>
      </c>
      <c r="R367" s="50">
        <f t="shared" si="71"/>
        <v>0</v>
      </c>
      <c r="S367" s="2" t="str">
        <f t="shared" si="72"/>
        <v>Normal</v>
      </c>
      <c r="T367" s="4">
        <v>1</v>
      </c>
      <c r="U367" s="4" t="str">
        <f t="shared" si="73"/>
        <v>Nein</v>
      </c>
      <c r="V367" s="4">
        <f t="shared" si="74"/>
        <v>0</v>
      </c>
      <c r="W367" s="19">
        <f t="shared" si="75"/>
        <v>1.19</v>
      </c>
      <c r="X367" s="5">
        <v>0</v>
      </c>
      <c r="Y367" s="28">
        <f t="shared" si="76"/>
        <v>0</v>
      </c>
      <c r="Z367" s="31" t="s">
        <v>172</v>
      </c>
      <c r="AA367" t="str">
        <f t="shared" si="77"/>
        <v>Kassenfehler (Überbestand)</v>
      </c>
    </row>
    <row r="368" spans="1:27" x14ac:dyDescent="0.35">
      <c r="A368" s="32" t="s">
        <v>16</v>
      </c>
      <c r="B368" s="2" t="str">
        <f>VLOOKUP(A368,Stammdaten!$A$3:$B$7,2,FALSE)</f>
        <v>Filiale Ost</v>
      </c>
      <c r="C368" s="3" t="str" cm="1">
        <f t="array" ref="C368">INDEX(Stammdaten!$A$11:$A$25,INT((ROW()-5)/12)+1 - INT((ROW()-5)/180)*15)</f>
        <v>A001</v>
      </c>
      <c r="D368" s="2" t="str">
        <f>VLOOKUP(C368,Stammdaten!$A$11:$B$25,2,FALSE)</f>
        <v>Vollmilch 1L</v>
      </c>
      <c r="E368" s="3" t="str">
        <f>VLOOKUP(C368,Stammdaten!$A$11:$C$25,3,FALSE)</f>
        <v>Milch</v>
      </c>
      <c r="F368" s="19">
        <f>VLOOKUP(C368,Stammdaten!$A$11:$D$25,4,FALSE)</f>
        <v>1.19</v>
      </c>
      <c r="G368" s="4">
        <f t="shared" si="65"/>
        <v>4</v>
      </c>
      <c r="H368" s="20" t="str">
        <f>VLOOKUP(G368,Stammdaten!$A$30:$B$41,2,FALSE)</f>
        <v>April</v>
      </c>
      <c r="I368" s="4">
        <v>557</v>
      </c>
      <c r="J368" s="4">
        <v>529</v>
      </c>
      <c r="K368" s="4">
        <f t="shared" si="66"/>
        <v>-28</v>
      </c>
      <c r="L368" s="27">
        <f t="shared" si="67"/>
        <v>-5.0269299820466786</v>
      </c>
      <c r="M368" s="52" t="str">
        <f t="shared" si="68"/>
        <v>Schwund</v>
      </c>
      <c r="N368" s="28">
        <f t="shared" si="69"/>
        <v>33.32</v>
      </c>
      <c r="O368" s="5">
        <v>6</v>
      </c>
      <c r="P368" s="4">
        <v>3</v>
      </c>
      <c r="Q368" s="28">
        <f t="shared" si="70"/>
        <v>8.33</v>
      </c>
      <c r="R368" s="50">
        <f t="shared" si="71"/>
        <v>9.9960000000000004</v>
      </c>
      <c r="S368" s="2" t="str">
        <f t="shared" si="72"/>
        <v>Ostern</v>
      </c>
      <c r="T368" s="4">
        <v>0</v>
      </c>
      <c r="U368" s="4" t="str">
        <f t="shared" si="73"/>
        <v>Nein</v>
      </c>
      <c r="V368" s="4">
        <f t="shared" si="74"/>
        <v>0</v>
      </c>
      <c r="W368" s="19">
        <f t="shared" si="75"/>
        <v>1.19</v>
      </c>
      <c r="X368" s="5">
        <v>0</v>
      </c>
      <c r="Y368" s="28">
        <f t="shared" si="76"/>
        <v>0</v>
      </c>
      <c r="Z368" s="31" t="s">
        <v>172</v>
      </c>
      <c r="AA368" t="str">
        <f t="shared" si="77"/>
        <v>Prozessfehler</v>
      </c>
    </row>
    <row r="369" spans="1:27" x14ac:dyDescent="0.35">
      <c r="A369" s="32" t="s">
        <v>16</v>
      </c>
      <c r="B369" s="2" t="str">
        <f>VLOOKUP(A369,Stammdaten!$A$3:$B$7,2,FALSE)</f>
        <v>Filiale Ost</v>
      </c>
      <c r="C369" s="3" t="str" cm="1">
        <f t="array" ref="C369">INDEX(Stammdaten!$A$11:$A$25,INT((ROW()-5)/12)+1 - INT((ROW()-5)/180)*15)</f>
        <v>A001</v>
      </c>
      <c r="D369" s="2" t="str">
        <f>VLOOKUP(C369,Stammdaten!$A$11:$B$25,2,FALSE)</f>
        <v>Vollmilch 1L</v>
      </c>
      <c r="E369" s="3" t="str">
        <f>VLOOKUP(C369,Stammdaten!$A$11:$C$25,3,FALSE)</f>
        <v>Milch</v>
      </c>
      <c r="F369" s="19">
        <f>VLOOKUP(C369,Stammdaten!$A$11:$D$25,4,FALSE)</f>
        <v>1.19</v>
      </c>
      <c r="G369" s="4">
        <f t="shared" si="65"/>
        <v>5</v>
      </c>
      <c r="H369" s="20" t="str">
        <f>VLOOKUP(G369,Stammdaten!$A$30:$B$41,2,FALSE)</f>
        <v>Mai</v>
      </c>
      <c r="I369" s="4">
        <v>437</v>
      </c>
      <c r="J369" s="4">
        <v>418</v>
      </c>
      <c r="K369" s="4">
        <f t="shared" si="66"/>
        <v>-19</v>
      </c>
      <c r="L369" s="27">
        <f t="shared" si="67"/>
        <v>-4.3478260869565215</v>
      </c>
      <c r="M369" s="52" t="str">
        <f t="shared" si="68"/>
        <v>Schwund</v>
      </c>
      <c r="N369" s="28">
        <f t="shared" si="69"/>
        <v>22.61</v>
      </c>
      <c r="O369" s="5">
        <v>4</v>
      </c>
      <c r="P369" s="4">
        <v>0</v>
      </c>
      <c r="Q369" s="28">
        <f t="shared" si="70"/>
        <v>5.6524999999999999</v>
      </c>
      <c r="R369" s="50">
        <f t="shared" si="71"/>
        <v>6.7829999999999995</v>
      </c>
      <c r="S369" s="2" t="str">
        <f t="shared" si="72"/>
        <v>Normal</v>
      </c>
      <c r="T369" s="4">
        <v>0</v>
      </c>
      <c r="U369" s="4" t="str">
        <f t="shared" si="73"/>
        <v>Nein</v>
      </c>
      <c r="V369" s="4">
        <f t="shared" si="74"/>
        <v>0</v>
      </c>
      <c r="W369" s="19">
        <f t="shared" si="75"/>
        <v>1.19</v>
      </c>
      <c r="X369" s="5">
        <v>0</v>
      </c>
      <c r="Y369" s="28">
        <f t="shared" si="76"/>
        <v>0</v>
      </c>
      <c r="Z369" s="31" t="s">
        <v>172</v>
      </c>
      <c r="AA369" t="str">
        <f t="shared" si="77"/>
        <v>Buchungsfehler Wareneingang</v>
      </c>
    </row>
    <row r="370" spans="1:27" x14ac:dyDescent="0.35">
      <c r="A370" s="32" t="s">
        <v>16</v>
      </c>
      <c r="B370" s="2" t="str">
        <f>VLOOKUP(A370,Stammdaten!$A$3:$B$7,2,FALSE)</f>
        <v>Filiale Ost</v>
      </c>
      <c r="C370" s="3" t="str" cm="1">
        <f t="array" ref="C370">INDEX(Stammdaten!$A$11:$A$25,INT((ROW()-5)/12)+1 - INT((ROW()-5)/180)*15)</f>
        <v>A001</v>
      </c>
      <c r="D370" s="2" t="str">
        <f>VLOOKUP(C370,Stammdaten!$A$11:$B$25,2,FALSE)</f>
        <v>Vollmilch 1L</v>
      </c>
      <c r="E370" s="3" t="str">
        <f>VLOOKUP(C370,Stammdaten!$A$11:$C$25,3,FALSE)</f>
        <v>Milch</v>
      </c>
      <c r="F370" s="19">
        <f>VLOOKUP(C370,Stammdaten!$A$11:$D$25,4,FALSE)</f>
        <v>1.19</v>
      </c>
      <c r="G370" s="4">
        <f t="shared" si="65"/>
        <v>6</v>
      </c>
      <c r="H370" s="20" t="str">
        <f>VLOOKUP(G370,Stammdaten!$A$30:$B$41,2,FALSE)</f>
        <v>Juni</v>
      </c>
      <c r="I370" s="4">
        <v>505</v>
      </c>
      <c r="J370" s="4">
        <v>510</v>
      </c>
      <c r="K370" s="4">
        <f t="shared" si="66"/>
        <v>5</v>
      </c>
      <c r="L370" s="27">
        <f t="shared" si="67"/>
        <v>0.99009900990099009</v>
      </c>
      <c r="M370" s="52" t="str">
        <f t="shared" si="68"/>
        <v>Überbestand</v>
      </c>
      <c r="N370" s="28">
        <f t="shared" si="69"/>
        <v>5.9499999999999993</v>
      </c>
      <c r="O370" s="5">
        <v>1</v>
      </c>
      <c r="P370" s="4">
        <v>1</v>
      </c>
      <c r="Q370" s="28">
        <f t="shared" si="70"/>
        <v>0</v>
      </c>
      <c r="R370" s="50">
        <f t="shared" si="71"/>
        <v>0</v>
      </c>
      <c r="S370" s="2" t="str">
        <f t="shared" si="72"/>
        <v>Normal</v>
      </c>
      <c r="T370" s="4">
        <v>5</v>
      </c>
      <c r="U370" s="4" t="str">
        <f t="shared" si="73"/>
        <v>Ja - 20% Reduzierung</v>
      </c>
      <c r="V370" s="4">
        <f t="shared" si="74"/>
        <v>20</v>
      </c>
      <c r="W370" s="19">
        <f t="shared" si="75"/>
        <v>0.95</v>
      </c>
      <c r="X370" s="5">
        <v>61</v>
      </c>
      <c r="Y370" s="28">
        <f t="shared" si="76"/>
        <v>14.52</v>
      </c>
      <c r="Z370" s="31" t="s">
        <v>173</v>
      </c>
      <c r="AA370" t="str">
        <f t="shared" si="77"/>
        <v>Kassenfehler (Überbestand)</v>
      </c>
    </row>
    <row r="371" spans="1:27" x14ac:dyDescent="0.35">
      <c r="A371" s="32" t="s">
        <v>16</v>
      </c>
      <c r="B371" s="2" t="str">
        <f>VLOOKUP(A371,Stammdaten!$A$3:$B$7,2,FALSE)</f>
        <v>Filiale Ost</v>
      </c>
      <c r="C371" s="3" t="str" cm="1">
        <f t="array" ref="C371">INDEX(Stammdaten!$A$11:$A$25,INT((ROW()-5)/12)+1 - INT((ROW()-5)/180)*15)</f>
        <v>A001</v>
      </c>
      <c r="D371" s="2" t="str">
        <f>VLOOKUP(C371,Stammdaten!$A$11:$B$25,2,FALSE)</f>
        <v>Vollmilch 1L</v>
      </c>
      <c r="E371" s="3" t="str">
        <f>VLOOKUP(C371,Stammdaten!$A$11:$C$25,3,FALSE)</f>
        <v>Milch</v>
      </c>
      <c r="F371" s="19">
        <f>VLOOKUP(C371,Stammdaten!$A$11:$D$25,4,FALSE)</f>
        <v>1.19</v>
      </c>
      <c r="G371" s="4">
        <f t="shared" si="65"/>
        <v>7</v>
      </c>
      <c r="H371" s="20" t="str">
        <f>VLOOKUP(G371,Stammdaten!$A$30:$B$41,2,FALSE)</f>
        <v>Juli</v>
      </c>
      <c r="I371" s="4">
        <v>535</v>
      </c>
      <c r="J371" s="4">
        <v>515</v>
      </c>
      <c r="K371" s="4">
        <f t="shared" si="66"/>
        <v>-20</v>
      </c>
      <c r="L371" s="27">
        <f t="shared" si="67"/>
        <v>-3.7383177570093453</v>
      </c>
      <c r="M371" s="52" t="str">
        <f t="shared" si="68"/>
        <v>Schwund</v>
      </c>
      <c r="N371" s="28">
        <f t="shared" si="69"/>
        <v>23.799999999999997</v>
      </c>
      <c r="O371" s="5">
        <v>7</v>
      </c>
      <c r="P371" s="4">
        <v>0</v>
      </c>
      <c r="Q371" s="28">
        <f t="shared" si="70"/>
        <v>5.9499999999999993</v>
      </c>
      <c r="R371" s="50">
        <f t="shared" si="71"/>
        <v>7.1399999999999988</v>
      </c>
      <c r="S371" s="2" t="str">
        <f t="shared" si="72"/>
        <v>Normal</v>
      </c>
      <c r="T371" s="4">
        <v>0</v>
      </c>
      <c r="U371" s="4" t="str">
        <f t="shared" si="73"/>
        <v>Nein</v>
      </c>
      <c r="V371" s="4">
        <f t="shared" si="74"/>
        <v>0</v>
      </c>
      <c r="W371" s="19">
        <f t="shared" si="75"/>
        <v>1.19</v>
      </c>
      <c r="X371" s="5">
        <v>0</v>
      </c>
      <c r="Y371" s="28">
        <f t="shared" si="76"/>
        <v>0</v>
      </c>
      <c r="Z371" s="31" t="s">
        <v>172</v>
      </c>
      <c r="AA371" t="str">
        <f t="shared" si="77"/>
        <v>Buchungsfehler Wareneingang</v>
      </c>
    </row>
    <row r="372" spans="1:27" x14ac:dyDescent="0.35">
      <c r="A372" s="32" t="s">
        <v>16</v>
      </c>
      <c r="B372" s="2" t="str">
        <f>VLOOKUP(A372,Stammdaten!$A$3:$B$7,2,FALSE)</f>
        <v>Filiale Ost</v>
      </c>
      <c r="C372" s="3" t="str" cm="1">
        <f t="array" ref="C372">INDEX(Stammdaten!$A$11:$A$25,INT((ROW()-5)/12)+1 - INT((ROW()-5)/180)*15)</f>
        <v>A001</v>
      </c>
      <c r="D372" s="2" t="str">
        <f>VLOOKUP(C372,Stammdaten!$A$11:$B$25,2,FALSE)</f>
        <v>Vollmilch 1L</v>
      </c>
      <c r="E372" s="3" t="str">
        <f>VLOOKUP(C372,Stammdaten!$A$11:$C$25,3,FALSE)</f>
        <v>Milch</v>
      </c>
      <c r="F372" s="19">
        <f>VLOOKUP(C372,Stammdaten!$A$11:$D$25,4,FALSE)</f>
        <v>1.19</v>
      </c>
      <c r="G372" s="4">
        <f t="shared" si="65"/>
        <v>8</v>
      </c>
      <c r="H372" s="20" t="str">
        <f>VLOOKUP(G372,Stammdaten!$A$30:$B$41,2,FALSE)</f>
        <v>August</v>
      </c>
      <c r="I372" s="4">
        <v>507</v>
      </c>
      <c r="J372" s="4">
        <v>476</v>
      </c>
      <c r="K372" s="4">
        <f t="shared" si="66"/>
        <v>-31</v>
      </c>
      <c r="L372" s="27">
        <f t="shared" si="67"/>
        <v>-6.1143984220907299</v>
      </c>
      <c r="M372" s="52" t="str">
        <f t="shared" si="68"/>
        <v>Schwund</v>
      </c>
      <c r="N372" s="28">
        <f t="shared" si="69"/>
        <v>36.89</v>
      </c>
      <c r="O372" s="5">
        <v>5</v>
      </c>
      <c r="P372" s="4">
        <v>1</v>
      </c>
      <c r="Q372" s="28">
        <f t="shared" si="70"/>
        <v>9.2225000000000001</v>
      </c>
      <c r="R372" s="50">
        <f t="shared" si="71"/>
        <v>11.067</v>
      </c>
      <c r="S372" s="2" t="str">
        <f t="shared" si="72"/>
        <v>Normal</v>
      </c>
      <c r="T372" s="4">
        <v>0</v>
      </c>
      <c r="U372" s="4" t="str">
        <f t="shared" si="73"/>
        <v>Nein</v>
      </c>
      <c r="V372" s="4">
        <f t="shared" si="74"/>
        <v>0</v>
      </c>
      <c r="W372" s="19">
        <f t="shared" si="75"/>
        <v>1.19</v>
      </c>
      <c r="X372" s="5">
        <v>0</v>
      </c>
      <c r="Y372" s="28">
        <f t="shared" si="76"/>
        <v>0</v>
      </c>
      <c r="Z372" s="31" t="s">
        <v>172</v>
      </c>
      <c r="AA372" t="str">
        <f t="shared" si="77"/>
        <v>Buchungsfehler Wareneingang</v>
      </c>
    </row>
    <row r="373" spans="1:27" x14ac:dyDescent="0.35">
      <c r="A373" s="32" t="s">
        <v>16</v>
      </c>
      <c r="B373" s="2" t="str">
        <f>VLOOKUP(A373,Stammdaten!$A$3:$B$7,2,FALSE)</f>
        <v>Filiale Ost</v>
      </c>
      <c r="C373" s="3" t="str" cm="1">
        <f t="array" ref="C373">INDEX(Stammdaten!$A$11:$A$25,INT((ROW()-5)/12)+1 - INT((ROW()-5)/180)*15)</f>
        <v>A001</v>
      </c>
      <c r="D373" s="2" t="str">
        <f>VLOOKUP(C373,Stammdaten!$A$11:$B$25,2,FALSE)</f>
        <v>Vollmilch 1L</v>
      </c>
      <c r="E373" s="3" t="str">
        <f>VLOOKUP(C373,Stammdaten!$A$11:$C$25,3,FALSE)</f>
        <v>Milch</v>
      </c>
      <c r="F373" s="19">
        <f>VLOOKUP(C373,Stammdaten!$A$11:$D$25,4,FALSE)</f>
        <v>1.19</v>
      </c>
      <c r="G373" s="4">
        <f t="shared" si="65"/>
        <v>9</v>
      </c>
      <c r="H373" s="20" t="str">
        <f>VLOOKUP(G373,Stammdaten!$A$30:$B$41,2,FALSE)</f>
        <v>September</v>
      </c>
      <c r="I373" s="4">
        <v>428</v>
      </c>
      <c r="J373" s="4">
        <v>405</v>
      </c>
      <c r="K373" s="4">
        <f t="shared" si="66"/>
        <v>-23</v>
      </c>
      <c r="L373" s="27">
        <f t="shared" si="67"/>
        <v>-5.3738317757009346</v>
      </c>
      <c r="M373" s="52" t="str">
        <f t="shared" si="68"/>
        <v>Schwund</v>
      </c>
      <c r="N373" s="28">
        <f t="shared" si="69"/>
        <v>27.369999999999997</v>
      </c>
      <c r="O373" s="5">
        <v>6</v>
      </c>
      <c r="P373" s="4">
        <v>3</v>
      </c>
      <c r="Q373" s="28">
        <f t="shared" si="70"/>
        <v>6.8424999999999994</v>
      </c>
      <c r="R373" s="50">
        <f t="shared" si="71"/>
        <v>8.2109999999999985</v>
      </c>
      <c r="S373" s="2" t="str">
        <f t="shared" si="72"/>
        <v>Normal</v>
      </c>
      <c r="T373" s="4">
        <v>0</v>
      </c>
      <c r="U373" s="4" t="str">
        <f t="shared" si="73"/>
        <v>Nein</v>
      </c>
      <c r="V373" s="4">
        <f t="shared" si="74"/>
        <v>0</v>
      </c>
      <c r="W373" s="19">
        <f t="shared" si="75"/>
        <v>1.19</v>
      </c>
      <c r="X373" s="5">
        <v>0</v>
      </c>
      <c r="Y373" s="28">
        <f t="shared" si="76"/>
        <v>0</v>
      </c>
      <c r="Z373" s="31" t="s">
        <v>172</v>
      </c>
      <c r="AA373" t="str">
        <f t="shared" si="77"/>
        <v>Prozessfehler</v>
      </c>
    </row>
    <row r="374" spans="1:27" x14ac:dyDescent="0.35">
      <c r="A374" s="32" t="s">
        <v>16</v>
      </c>
      <c r="B374" s="2" t="str">
        <f>VLOOKUP(A374,Stammdaten!$A$3:$B$7,2,FALSE)</f>
        <v>Filiale Ost</v>
      </c>
      <c r="C374" s="3" t="str" cm="1">
        <f t="array" ref="C374">INDEX(Stammdaten!$A$11:$A$25,INT((ROW()-5)/12)+1 - INT((ROW()-5)/180)*15)</f>
        <v>A001</v>
      </c>
      <c r="D374" s="2" t="str">
        <f>VLOOKUP(C374,Stammdaten!$A$11:$B$25,2,FALSE)</f>
        <v>Vollmilch 1L</v>
      </c>
      <c r="E374" s="3" t="str">
        <f>VLOOKUP(C374,Stammdaten!$A$11:$C$25,3,FALSE)</f>
        <v>Milch</v>
      </c>
      <c r="F374" s="19">
        <f>VLOOKUP(C374,Stammdaten!$A$11:$D$25,4,FALSE)</f>
        <v>1.19</v>
      </c>
      <c r="G374" s="4">
        <f t="shared" si="65"/>
        <v>10</v>
      </c>
      <c r="H374" s="20" t="str">
        <f>VLOOKUP(G374,Stammdaten!$A$30:$B$41,2,FALSE)</f>
        <v>Oktober</v>
      </c>
      <c r="I374" s="4">
        <v>428</v>
      </c>
      <c r="J374" s="4">
        <v>428</v>
      </c>
      <c r="K374" s="4">
        <f t="shared" si="66"/>
        <v>0</v>
      </c>
      <c r="L374" s="27">
        <f t="shared" si="67"/>
        <v>0</v>
      </c>
      <c r="M374" s="52" t="str">
        <f t="shared" si="68"/>
        <v>Perfekt</v>
      </c>
      <c r="N374" s="28">
        <f t="shared" si="69"/>
        <v>0</v>
      </c>
      <c r="O374" s="5">
        <v>5</v>
      </c>
      <c r="P374" s="4">
        <v>1</v>
      </c>
      <c r="Q374" s="28">
        <f t="shared" si="70"/>
        <v>0</v>
      </c>
      <c r="R374" s="50">
        <f t="shared" si="71"/>
        <v>0</v>
      </c>
      <c r="S374" s="2" t="str">
        <f t="shared" si="72"/>
        <v>Normal</v>
      </c>
      <c r="T374" s="4">
        <v>0</v>
      </c>
      <c r="U374" s="4" t="str">
        <f t="shared" si="73"/>
        <v>Nein</v>
      </c>
      <c r="V374" s="4">
        <f t="shared" si="74"/>
        <v>0</v>
      </c>
      <c r="W374" s="19">
        <f t="shared" si="75"/>
        <v>1.19</v>
      </c>
      <c r="X374" s="5">
        <v>0</v>
      </c>
      <c r="Y374" s="28">
        <f t="shared" si="76"/>
        <v>0</v>
      </c>
      <c r="Z374" s="31" t="s">
        <v>172</v>
      </c>
      <c r="AA374" t="str">
        <f t="shared" si="77"/>
        <v>Normal/Gering</v>
      </c>
    </row>
    <row r="375" spans="1:27" x14ac:dyDescent="0.35">
      <c r="A375" s="32" t="s">
        <v>16</v>
      </c>
      <c r="B375" s="2" t="str">
        <f>VLOOKUP(A375,Stammdaten!$A$3:$B$7,2,FALSE)</f>
        <v>Filiale Ost</v>
      </c>
      <c r="C375" s="3" t="str" cm="1">
        <f t="array" ref="C375">INDEX(Stammdaten!$A$11:$A$25,INT((ROW()-5)/12)+1 - INT((ROW()-5)/180)*15)</f>
        <v>A001</v>
      </c>
      <c r="D375" s="2" t="str">
        <f>VLOOKUP(C375,Stammdaten!$A$11:$B$25,2,FALSE)</f>
        <v>Vollmilch 1L</v>
      </c>
      <c r="E375" s="3" t="str">
        <f>VLOOKUP(C375,Stammdaten!$A$11:$C$25,3,FALSE)</f>
        <v>Milch</v>
      </c>
      <c r="F375" s="19">
        <f>VLOOKUP(C375,Stammdaten!$A$11:$D$25,4,FALSE)</f>
        <v>1.19</v>
      </c>
      <c r="G375" s="4">
        <f t="shared" si="65"/>
        <v>11</v>
      </c>
      <c r="H375" s="20" t="str">
        <f>VLOOKUP(G375,Stammdaten!$A$30:$B$41,2,FALSE)</f>
        <v>November</v>
      </c>
      <c r="I375" s="4">
        <v>500</v>
      </c>
      <c r="J375" s="4">
        <v>477</v>
      </c>
      <c r="K375" s="4">
        <f t="shared" si="66"/>
        <v>-23</v>
      </c>
      <c r="L375" s="27">
        <f t="shared" si="67"/>
        <v>-4.5999999999999996</v>
      </c>
      <c r="M375" s="52" t="str">
        <f t="shared" si="68"/>
        <v>Schwund</v>
      </c>
      <c r="N375" s="28">
        <f t="shared" si="69"/>
        <v>27.369999999999997</v>
      </c>
      <c r="O375" s="5">
        <v>4</v>
      </c>
      <c r="P375" s="4">
        <v>1</v>
      </c>
      <c r="Q375" s="28">
        <f t="shared" si="70"/>
        <v>6.8424999999999994</v>
      </c>
      <c r="R375" s="50">
        <f t="shared" si="71"/>
        <v>8.2109999999999985</v>
      </c>
      <c r="S375" s="2" t="str">
        <f t="shared" si="72"/>
        <v>Black Friday</v>
      </c>
      <c r="T375" s="4">
        <v>0</v>
      </c>
      <c r="U375" s="4" t="str">
        <f t="shared" si="73"/>
        <v>Nein</v>
      </c>
      <c r="V375" s="4">
        <f t="shared" si="74"/>
        <v>0</v>
      </c>
      <c r="W375" s="19">
        <f t="shared" si="75"/>
        <v>1.19</v>
      </c>
      <c r="X375" s="5">
        <v>0</v>
      </c>
      <c r="Y375" s="28">
        <f t="shared" si="76"/>
        <v>0</v>
      </c>
      <c r="Z375" s="31" t="s">
        <v>172</v>
      </c>
      <c r="AA375" t="str">
        <f t="shared" si="77"/>
        <v>Buchungsfehler Wareneingang</v>
      </c>
    </row>
    <row r="376" spans="1:27" x14ac:dyDescent="0.35">
      <c r="A376" s="32" t="s">
        <v>16</v>
      </c>
      <c r="B376" s="2" t="str">
        <f>VLOOKUP(A376,Stammdaten!$A$3:$B$7,2,FALSE)</f>
        <v>Filiale Ost</v>
      </c>
      <c r="C376" s="3" t="str" cm="1">
        <f t="array" ref="C376">INDEX(Stammdaten!$A$11:$A$25,INT((ROW()-5)/12)+1 - INT((ROW()-5)/180)*15)</f>
        <v>A001</v>
      </c>
      <c r="D376" s="2" t="str">
        <f>VLOOKUP(C376,Stammdaten!$A$11:$B$25,2,FALSE)</f>
        <v>Vollmilch 1L</v>
      </c>
      <c r="E376" s="3" t="str">
        <f>VLOOKUP(C376,Stammdaten!$A$11:$C$25,3,FALSE)</f>
        <v>Milch</v>
      </c>
      <c r="F376" s="19">
        <f>VLOOKUP(C376,Stammdaten!$A$11:$D$25,4,FALSE)</f>
        <v>1.19</v>
      </c>
      <c r="G376" s="4">
        <f t="shared" si="65"/>
        <v>12</v>
      </c>
      <c r="H376" s="20" t="str">
        <f>VLOOKUP(G376,Stammdaten!$A$30:$B$41,2,FALSE)</f>
        <v>Dezember</v>
      </c>
      <c r="I376" s="4">
        <v>636</v>
      </c>
      <c r="J376" s="4">
        <v>588</v>
      </c>
      <c r="K376" s="4">
        <f t="shared" si="66"/>
        <v>-48</v>
      </c>
      <c r="L376" s="27">
        <f t="shared" si="67"/>
        <v>-7.5471698113207548</v>
      </c>
      <c r="M376" s="52" t="str">
        <f t="shared" si="68"/>
        <v>Schwund</v>
      </c>
      <c r="N376" s="28">
        <f t="shared" si="69"/>
        <v>57.12</v>
      </c>
      <c r="O376" s="5">
        <v>7</v>
      </c>
      <c r="P376" s="4">
        <v>2</v>
      </c>
      <c r="Q376" s="28">
        <f t="shared" si="70"/>
        <v>14.28</v>
      </c>
      <c r="R376" s="50">
        <f t="shared" si="71"/>
        <v>17.135999999999999</v>
      </c>
      <c r="S376" s="2" t="str">
        <f t="shared" si="72"/>
        <v>Weihnachten/Silvester</v>
      </c>
      <c r="T376" s="4">
        <v>0</v>
      </c>
      <c r="U376" s="4" t="str">
        <f t="shared" si="73"/>
        <v>Nein</v>
      </c>
      <c r="V376" s="4">
        <f t="shared" si="74"/>
        <v>0</v>
      </c>
      <c r="W376" s="19">
        <f t="shared" si="75"/>
        <v>1.19</v>
      </c>
      <c r="X376" s="5">
        <v>0</v>
      </c>
      <c r="Y376" s="28">
        <f t="shared" si="76"/>
        <v>0</v>
      </c>
      <c r="Z376" s="31" t="s">
        <v>172</v>
      </c>
      <c r="AA376" t="str">
        <f t="shared" si="77"/>
        <v>Prozessfehler</v>
      </c>
    </row>
    <row r="377" spans="1:27" x14ac:dyDescent="0.35">
      <c r="A377" s="32" t="s">
        <v>16</v>
      </c>
      <c r="B377" s="2" t="str">
        <f>VLOOKUP(A377,Stammdaten!$A$3:$B$7,2,FALSE)</f>
        <v>Filiale Ost</v>
      </c>
      <c r="C377" s="3" t="str" cm="1">
        <f t="array" ref="C377">INDEX(Stammdaten!$A$11:$A$25,INT((ROW()-5)/12)+1 - INT((ROW()-5)/180)*15)</f>
        <v>A002</v>
      </c>
      <c r="D377" s="2" t="str">
        <f>VLOOKUP(C377,Stammdaten!$A$11:$B$25,2,FALSE)</f>
        <v>Fettarme Milch 1L</v>
      </c>
      <c r="E377" s="3" t="str">
        <f>VLOOKUP(C377,Stammdaten!$A$11:$C$25,3,FALSE)</f>
        <v>Milch</v>
      </c>
      <c r="F377" s="19">
        <f>VLOOKUP(C377,Stammdaten!$A$11:$D$25,4,FALSE)</f>
        <v>1.0900000000000001</v>
      </c>
      <c r="G377" s="4">
        <f t="shared" si="65"/>
        <v>1</v>
      </c>
      <c r="H377" s="20" t="str">
        <f>VLOOKUP(G377,Stammdaten!$A$30:$B$41,2,FALSE)</f>
        <v>Januar</v>
      </c>
      <c r="I377" s="4">
        <v>379</v>
      </c>
      <c r="J377" s="4">
        <v>379</v>
      </c>
      <c r="K377" s="4">
        <f t="shared" si="66"/>
        <v>0</v>
      </c>
      <c r="L377" s="27">
        <f t="shared" si="67"/>
        <v>0</v>
      </c>
      <c r="M377" s="52" t="str">
        <f t="shared" si="68"/>
        <v>Perfekt</v>
      </c>
      <c r="N377" s="28">
        <f t="shared" si="69"/>
        <v>0</v>
      </c>
      <c r="O377" s="5">
        <v>3</v>
      </c>
      <c r="P377" s="4">
        <v>0</v>
      </c>
      <c r="Q377" s="28">
        <f t="shared" si="70"/>
        <v>0</v>
      </c>
      <c r="R377" s="50">
        <f t="shared" si="71"/>
        <v>0</v>
      </c>
      <c r="S377" s="2" t="str">
        <f t="shared" si="72"/>
        <v>Normal</v>
      </c>
      <c r="T377" s="4">
        <v>0</v>
      </c>
      <c r="U377" s="4" t="str">
        <f t="shared" si="73"/>
        <v>Ja - 20% Reduzierung</v>
      </c>
      <c r="V377" s="4">
        <f t="shared" si="74"/>
        <v>20</v>
      </c>
      <c r="W377" s="19">
        <f t="shared" si="75"/>
        <v>0.87</v>
      </c>
      <c r="X377" s="5">
        <v>53</v>
      </c>
      <c r="Y377" s="28">
        <f t="shared" si="76"/>
        <v>11.55</v>
      </c>
      <c r="Z377" s="31" t="s">
        <v>173</v>
      </c>
      <c r="AA377" t="str">
        <f t="shared" si="77"/>
        <v>Normal/Gering</v>
      </c>
    </row>
    <row r="378" spans="1:27" x14ac:dyDescent="0.35">
      <c r="A378" s="32" t="s">
        <v>16</v>
      </c>
      <c r="B378" s="2" t="str">
        <f>VLOOKUP(A378,Stammdaten!$A$3:$B$7,2,FALSE)</f>
        <v>Filiale Ost</v>
      </c>
      <c r="C378" s="3" t="str" cm="1">
        <f t="array" ref="C378">INDEX(Stammdaten!$A$11:$A$25,INT((ROW()-5)/12)+1 - INT((ROW()-5)/180)*15)</f>
        <v>A002</v>
      </c>
      <c r="D378" s="2" t="str">
        <f>VLOOKUP(C378,Stammdaten!$A$11:$B$25,2,FALSE)</f>
        <v>Fettarme Milch 1L</v>
      </c>
      <c r="E378" s="3" t="str">
        <f>VLOOKUP(C378,Stammdaten!$A$11:$C$25,3,FALSE)</f>
        <v>Milch</v>
      </c>
      <c r="F378" s="19">
        <f>VLOOKUP(C378,Stammdaten!$A$11:$D$25,4,FALSE)</f>
        <v>1.0900000000000001</v>
      </c>
      <c r="G378" s="4">
        <f t="shared" si="65"/>
        <v>2</v>
      </c>
      <c r="H378" s="20" t="str">
        <f>VLOOKUP(G378,Stammdaten!$A$30:$B$41,2,FALSE)</f>
        <v>Februar</v>
      </c>
      <c r="I378" s="4">
        <v>344</v>
      </c>
      <c r="J378" s="4">
        <v>345</v>
      </c>
      <c r="K378" s="4">
        <f t="shared" si="66"/>
        <v>1</v>
      </c>
      <c r="L378" s="27">
        <f t="shared" si="67"/>
        <v>0.29069767441860467</v>
      </c>
      <c r="M378" s="52" t="str">
        <f t="shared" si="68"/>
        <v>Überbestand</v>
      </c>
      <c r="N378" s="28">
        <f t="shared" si="69"/>
        <v>1.0900000000000001</v>
      </c>
      <c r="O378" s="5">
        <v>4</v>
      </c>
      <c r="P378" s="4">
        <v>1</v>
      </c>
      <c r="Q378" s="28">
        <f t="shared" si="70"/>
        <v>0</v>
      </c>
      <c r="R378" s="50">
        <f t="shared" si="71"/>
        <v>0</v>
      </c>
      <c r="S378" s="2" t="str">
        <f t="shared" si="72"/>
        <v>Karneval</v>
      </c>
      <c r="T378" s="4">
        <v>1</v>
      </c>
      <c r="U378" s="4" t="str">
        <f t="shared" si="73"/>
        <v>Nein</v>
      </c>
      <c r="V378" s="4">
        <f t="shared" si="74"/>
        <v>0</v>
      </c>
      <c r="W378" s="19">
        <f t="shared" si="75"/>
        <v>1.0900000000000001</v>
      </c>
      <c r="X378" s="5">
        <v>0</v>
      </c>
      <c r="Y378" s="28">
        <f t="shared" si="76"/>
        <v>0</v>
      </c>
      <c r="Z378" s="31" t="s">
        <v>172</v>
      </c>
      <c r="AA378" t="str">
        <f t="shared" si="77"/>
        <v>Kassenfehler (Überbestand)</v>
      </c>
    </row>
    <row r="379" spans="1:27" x14ac:dyDescent="0.35">
      <c r="A379" s="32" t="s">
        <v>16</v>
      </c>
      <c r="B379" s="2" t="str">
        <f>VLOOKUP(A379,Stammdaten!$A$3:$B$7,2,FALSE)</f>
        <v>Filiale Ost</v>
      </c>
      <c r="C379" s="3" t="str" cm="1">
        <f t="array" ref="C379">INDEX(Stammdaten!$A$11:$A$25,INT((ROW()-5)/12)+1 - INT((ROW()-5)/180)*15)</f>
        <v>A002</v>
      </c>
      <c r="D379" s="2" t="str">
        <f>VLOOKUP(C379,Stammdaten!$A$11:$B$25,2,FALSE)</f>
        <v>Fettarme Milch 1L</v>
      </c>
      <c r="E379" s="3" t="str">
        <f>VLOOKUP(C379,Stammdaten!$A$11:$C$25,3,FALSE)</f>
        <v>Milch</v>
      </c>
      <c r="F379" s="19">
        <f>VLOOKUP(C379,Stammdaten!$A$11:$D$25,4,FALSE)</f>
        <v>1.0900000000000001</v>
      </c>
      <c r="G379" s="4">
        <f t="shared" si="65"/>
        <v>3</v>
      </c>
      <c r="H379" s="20" t="str">
        <f>VLOOKUP(G379,Stammdaten!$A$30:$B$41,2,FALSE)</f>
        <v>März</v>
      </c>
      <c r="I379" s="4">
        <v>442</v>
      </c>
      <c r="J379" s="4">
        <v>424</v>
      </c>
      <c r="K379" s="4">
        <f t="shared" si="66"/>
        <v>-18</v>
      </c>
      <c r="L379" s="27">
        <f t="shared" si="67"/>
        <v>-4.0723981900452486</v>
      </c>
      <c r="M379" s="52" t="str">
        <f t="shared" si="68"/>
        <v>Schwund</v>
      </c>
      <c r="N379" s="28">
        <f t="shared" si="69"/>
        <v>19.62</v>
      </c>
      <c r="O379" s="5">
        <v>1</v>
      </c>
      <c r="P379" s="4">
        <v>1</v>
      </c>
      <c r="Q379" s="28">
        <f t="shared" si="70"/>
        <v>4.9050000000000002</v>
      </c>
      <c r="R379" s="50">
        <f t="shared" si="71"/>
        <v>5.8860000000000001</v>
      </c>
      <c r="S379" s="2" t="str">
        <f t="shared" si="72"/>
        <v>Normal</v>
      </c>
      <c r="T379" s="4">
        <v>0</v>
      </c>
      <c r="U379" s="4" t="str">
        <f t="shared" si="73"/>
        <v>Ja - 20% Reduzierung</v>
      </c>
      <c r="V379" s="4">
        <f t="shared" si="74"/>
        <v>20</v>
      </c>
      <c r="W379" s="19">
        <f t="shared" si="75"/>
        <v>0.87</v>
      </c>
      <c r="X379" s="5">
        <v>44</v>
      </c>
      <c r="Y379" s="28">
        <f t="shared" si="76"/>
        <v>9.59</v>
      </c>
      <c r="Z379" s="31" t="s">
        <v>173</v>
      </c>
      <c r="AA379" t="str">
        <f t="shared" si="77"/>
        <v>Buchungsfehler Wareneingang</v>
      </c>
    </row>
    <row r="380" spans="1:27" x14ac:dyDescent="0.35">
      <c r="A380" s="32" t="s">
        <v>16</v>
      </c>
      <c r="B380" s="2" t="str">
        <f>VLOOKUP(A380,Stammdaten!$A$3:$B$7,2,FALSE)</f>
        <v>Filiale Ost</v>
      </c>
      <c r="C380" s="3" t="str" cm="1">
        <f t="array" ref="C380">INDEX(Stammdaten!$A$11:$A$25,INT((ROW()-5)/12)+1 - INT((ROW()-5)/180)*15)</f>
        <v>A002</v>
      </c>
      <c r="D380" s="2" t="str">
        <f>VLOOKUP(C380,Stammdaten!$A$11:$B$25,2,FALSE)</f>
        <v>Fettarme Milch 1L</v>
      </c>
      <c r="E380" s="3" t="str">
        <f>VLOOKUP(C380,Stammdaten!$A$11:$C$25,3,FALSE)</f>
        <v>Milch</v>
      </c>
      <c r="F380" s="19">
        <f>VLOOKUP(C380,Stammdaten!$A$11:$D$25,4,FALSE)</f>
        <v>1.0900000000000001</v>
      </c>
      <c r="G380" s="4">
        <f t="shared" si="65"/>
        <v>4</v>
      </c>
      <c r="H380" s="20" t="str">
        <f>VLOOKUP(G380,Stammdaten!$A$30:$B$41,2,FALSE)</f>
        <v>April</v>
      </c>
      <c r="I380" s="4">
        <v>527</v>
      </c>
      <c r="J380" s="4">
        <v>493</v>
      </c>
      <c r="K380" s="4">
        <f t="shared" si="66"/>
        <v>-34</v>
      </c>
      <c r="L380" s="27">
        <f t="shared" si="67"/>
        <v>-6.4516129032258061</v>
      </c>
      <c r="M380" s="52" t="str">
        <f t="shared" si="68"/>
        <v>Schwund</v>
      </c>
      <c r="N380" s="28">
        <f t="shared" si="69"/>
        <v>37.06</v>
      </c>
      <c r="O380" s="5">
        <v>2</v>
      </c>
      <c r="P380" s="4">
        <v>2</v>
      </c>
      <c r="Q380" s="28">
        <f t="shared" si="70"/>
        <v>9.2650000000000006</v>
      </c>
      <c r="R380" s="50">
        <f t="shared" si="71"/>
        <v>11.118</v>
      </c>
      <c r="S380" s="2" t="str">
        <f t="shared" si="72"/>
        <v>Ostern</v>
      </c>
      <c r="T380" s="4">
        <v>0</v>
      </c>
      <c r="U380" s="4" t="str">
        <f t="shared" si="73"/>
        <v>Ja - 20% Reduzierung</v>
      </c>
      <c r="V380" s="4">
        <f t="shared" si="74"/>
        <v>20</v>
      </c>
      <c r="W380" s="19">
        <f t="shared" si="75"/>
        <v>0.87</v>
      </c>
      <c r="X380" s="5">
        <v>47</v>
      </c>
      <c r="Y380" s="28">
        <f t="shared" si="76"/>
        <v>10.25</v>
      </c>
      <c r="Z380" s="31" t="s">
        <v>167</v>
      </c>
      <c r="AA380" t="str">
        <f t="shared" si="77"/>
        <v>MHD - Prozessfehler</v>
      </c>
    </row>
    <row r="381" spans="1:27" x14ac:dyDescent="0.35">
      <c r="A381" s="32" t="s">
        <v>16</v>
      </c>
      <c r="B381" s="2" t="str">
        <f>VLOOKUP(A381,Stammdaten!$A$3:$B$7,2,FALSE)</f>
        <v>Filiale Ost</v>
      </c>
      <c r="C381" s="3" t="str" cm="1">
        <f t="array" ref="C381">INDEX(Stammdaten!$A$11:$A$25,INT((ROW()-5)/12)+1 - INT((ROW()-5)/180)*15)</f>
        <v>A002</v>
      </c>
      <c r="D381" s="2" t="str">
        <f>VLOOKUP(C381,Stammdaten!$A$11:$B$25,2,FALSE)</f>
        <v>Fettarme Milch 1L</v>
      </c>
      <c r="E381" s="3" t="str">
        <f>VLOOKUP(C381,Stammdaten!$A$11:$C$25,3,FALSE)</f>
        <v>Milch</v>
      </c>
      <c r="F381" s="19">
        <f>VLOOKUP(C381,Stammdaten!$A$11:$D$25,4,FALSE)</f>
        <v>1.0900000000000001</v>
      </c>
      <c r="G381" s="4">
        <f t="shared" si="65"/>
        <v>5</v>
      </c>
      <c r="H381" s="20" t="str">
        <f>VLOOKUP(G381,Stammdaten!$A$30:$B$41,2,FALSE)</f>
        <v>Mai</v>
      </c>
      <c r="I381" s="4">
        <v>389</v>
      </c>
      <c r="J381" s="4">
        <v>376</v>
      </c>
      <c r="K381" s="4">
        <f t="shared" si="66"/>
        <v>-13</v>
      </c>
      <c r="L381" s="27">
        <f t="shared" si="67"/>
        <v>-3.3419023136246784</v>
      </c>
      <c r="M381" s="52" t="str">
        <f t="shared" si="68"/>
        <v>Schwund</v>
      </c>
      <c r="N381" s="28">
        <f t="shared" si="69"/>
        <v>14.170000000000002</v>
      </c>
      <c r="O381" s="5">
        <v>6</v>
      </c>
      <c r="P381" s="4">
        <v>0</v>
      </c>
      <c r="Q381" s="28">
        <f t="shared" si="70"/>
        <v>3.5425000000000004</v>
      </c>
      <c r="R381" s="50">
        <f t="shared" si="71"/>
        <v>4.2510000000000003</v>
      </c>
      <c r="S381" s="2" t="str">
        <f t="shared" si="72"/>
        <v>Normal</v>
      </c>
      <c r="T381" s="4">
        <v>0</v>
      </c>
      <c r="U381" s="4" t="str">
        <f t="shared" si="73"/>
        <v>Nein</v>
      </c>
      <c r="V381" s="4">
        <f t="shared" si="74"/>
        <v>0</v>
      </c>
      <c r="W381" s="19">
        <f t="shared" si="75"/>
        <v>1.0900000000000001</v>
      </c>
      <c r="X381" s="5">
        <v>0</v>
      </c>
      <c r="Y381" s="28">
        <f t="shared" si="76"/>
        <v>0</v>
      </c>
      <c r="Z381" s="31" t="s">
        <v>172</v>
      </c>
      <c r="AA381" t="str">
        <f t="shared" si="77"/>
        <v>Buchungsfehler Wareneingang</v>
      </c>
    </row>
    <row r="382" spans="1:27" x14ac:dyDescent="0.35">
      <c r="A382" s="32" t="s">
        <v>16</v>
      </c>
      <c r="B382" s="2" t="str">
        <f>VLOOKUP(A382,Stammdaten!$A$3:$B$7,2,FALSE)</f>
        <v>Filiale Ost</v>
      </c>
      <c r="C382" s="3" t="str" cm="1">
        <f t="array" ref="C382">INDEX(Stammdaten!$A$11:$A$25,INT((ROW()-5)/12)+1 - INT((ROW()-5)/180)*15)</f>
        <v>A002</v>
      </c>
      <c r="D382" s="2" t="str">
        <f>VLOOKUP(C382,Stammdaten!$A$11:$B$25,2,FALSE)</f>
        <v>Fettarme Milch 1L</v>
      </c>
      <c r="E382" s="3" t="str">
        <f>VLOOKUP(C382,Stammdaten!$A$11:$C$25,3,FALSE)</f>
        <v>Milch</v>
      </c>
      <c r="F382" s="19">
        <f>VLOOKUP(C382,Stammdaten!$A$11:$D$25,4,FALSE)</f>
        <v>1.0900000000000001</v>
      </c>
      <c r="G382" s="4">
        <f t="shared" si="65"/>
        <v>6</v>
      </c>
      <c r="H382" s="20" t="str">
        <f>VLOOKUP(G382,Stammdaten!$A$30:$B$41,2,FALSE)</f>
        <v>Juni</v>
      </c>
      <c r="I382" s="4">
        <v>437</v>
      </c>
      <c r="J382" s="4">
        <v>437</v>
      </c>
      <c r="K382" s="4">
        <f t="shared" si="66"/>
        <v>0</v>
      </c>
      <c r="L382" s="27">
        <f t="shared" si="67"/>
        <v>0</v>
      </c>
      <c r="M382" s="52" t="str">
        <f t="shared" si="68"/>
        <v>Perfekt</v>
      </c>
      <c r="N382" s="28">
        <f t="shared" si="69"/>
        <v>0</v>
      </c>
      <c r="O382" s="5">
        <v>6</v>
      </c>
      <c r="P382" s="4">
        <v>0</v>
      </c>
      <c r="Q382" s="28">
        <f t="shared" si="70"/>
        <v>0</v>
      </c>
      <c r="R382" s="50">
        <f t="shared" si="71"/>
        <v>0</v>
      </c>
      <c r="S382" s="2" t="str">
        <f t="shared" si="72"/>
        <v>Normal</v>
      </c>
      <c r="T382" s="4">
        <v>0</v>
      </c>
      <c r="U382" s="4" t="str">
        <f t="shared" si="73"/>
        <v>Nein</v>
      </c>
      <c r="V382" s="4">
        <f t="shared" si="74"/>
        <v>0</v>
      </c>
      <c r="W382" s="19">
        <f t="shared" si="75"/>
        <v>1.0900000000000001</v>
      </c>
      <c r="X382" s="5">
        <v>0</v>
      </c>
      <c r="Y382" s="28">
        <f t="shared" si="76"/>
        <v>0</v>
      </c>
      <c r="Z382" s="31" t="s">
        <v>172</v>
      </c>
      <c r="AA382" t="str">
        <f t="shared" si="77"/>
        <v>Normal/Gering</v>
      </c>
    </row>
    <row r="383" spans="1:27" x14ac:dyDescent="0.35">
      <c r="A383" s="32" t="s">
        <v>16</v>
      </c>
      <c r="B383" s="2" t="str">
        <f>VLOOKUP(A383,Stammdaten!$A$3:$B$7,2,FALSE)</f>
        <v>Filiale Ost</v>
      </c>
      <c r="C383" s="3" t="str" cm="1">
        <f t="array" ref="C383">INDEX(Stammdaten!$A$11:$A$25,INT((ROW()-5)/12)+1 - INT((ROW()-5)/180)*15)</f>
        <v>A002</v>
      </c>
      <c r="D383" s="2" t="str">
        <f>VLOOKUP(C383,Stammdaten!$A$11:$B$25,2,FALSE)</f>
        <v>Fettarme Milch 1L</v>
      </c>
      <c r="E383" s="3" t="str">
        <f>VLOOKUP(C383,Stammdaten!$A$11:$C$25,3,FALSE)</f>
        <v>Milch</v>
      </c>
      <c r="F383" s="19">
        <f>VLOOKUP(C383,Stammdaten!$A$11:$D$25,4,FALSE)</f>
        <v>1.0900000000000001</v>
      </c>
      <c r="G383" s="4">
        <f t="shared" si="65"/>
        <v>7</v>
      </c>
      <c r="H383" s="20" t="str">
        <f>VLOOKUP(G383,Stammdaten!$A$30:$B$41,2,FALSE)</f>
        <v>Juli</v>
      </c>
      <c r="I383" s="4">
        <v>462</v>
      </c>
      <c r="J383" s="4">
        <v>470</v>
      </c>
      <c r="K383" s="4">
        <f t="shared" si="66"/>
        <v>8</v>
      </c>
      <c r="L383" s="27">
        <f t="shared" si="67"/>
        <v>1.7316017316017316</v>
      </c>
      <c r="M383" s="52" t="str">
        <f t="shared" si="68"/>
        <v>Überbestand</v>
      </c>
      <c r="N383" s="28">
        <f t="shared" si="69"/>
        <v>8.7200000000000006</v>
      </c>
      <c r="O383" s="5">
        <v>5</v>
      </c>
      <c r="P383" s="4">
        <v>3</v>
      </c>
      <c r="Q383" s="28">
        <f t="shared" si="70"/>
        <v>0</v>
      </c>
      <c r="R383" s="50">
        <f t="shared" si="71"/>
        <v>0</v>
      </c>
      <c r="S383" s="2" t="str">
        <f t="shared" si="72"/>
        <v>Normal</v>
      </c>
      <c r="T383" s="4">
        <v>8</v>
      </c>
      <c r="U383" s="4" t="str">
        <f t="shared" si="73"/>
        <v>Nein</v>
      </c>
      <c r="V383" s="4">
        <f t="shared" si="74"/>
        <v>0</v>
      </c>
      <c r="W383" s="19">
        <f t="shared" si="75"/>
        <v>1.0900000000000001</v>
      </c>
      <c r="X383" s="5">
        <v>0</v>
      </c>
      <c r="Y383" s="28">
        <f t="shared" si="76"/>
        <v>0</v>
      </c>
      <c r="Z383" s="31" t="s">
        <v>172</v>
      </c>
      <c r="AA383" t="str">
        <f t="shared" si="77"/>
        <v>Kassenfehler (Überbestand)</v>
      </c>
    </row>
    <row r="384" spans="1:27" x14ac:dyDescent="0.35">
      <c r="A384" s="32" t="s">
        <v>16</v>
      </c>
      <c r="B384" s="2" t="str">
        <f>VLOOKUP(A384,Stammdaten!$A$3:$B$7,2,FALSE)</f>
        <v>Filiale Ost</v>
      </c>
      <c r="C384" s="3" t="str" cm="1">
        <f t="array" ref="C384">INDEX(Stammdaten!$A$11:$A$25,INT((ROW()-5)/12)+1 - INT((ROW()-5)/180)*15)</f>
        <v>A002</v>
      </c>
      <c r="D384" s="2" t="str">
        <f>VLOOKUP(C384,Stammdaten!$A$11:$B$25,2,FALSE)</f>
        <v>Fettarme Milch 1L</v>
      </c>
      <c r="E384" s="3" t="str">
        <f>VLOOKUP(C384,Stammdaten!$A$11:$C$25,3,FALSE)</f>
        <v>Milch</v>
      </c>
      <c r="F384" s="19">
        <f>VLOOKUP(C384,Stammdaten!$A$11:$D$25,4,FALSE)</f>
        <v>1.0900000000000001</v>
      </c>
      <c r="G384" s="4">
        <f t="shared" si="65"/>
        <v>8</v>
      </c>
      <c r="H384" s="20" t="str">
        <f>VLOOKUP(G384,Stammdaten!$A$30:$B$41,2,FALSE)</f>
        <v>August</v>
      </c>
      <c r="I384" s="4">
        <v>470</v>
      </c>
      <c r="J384" s="4">
        <v>447</v>
      </c>
      <c r="K384" s="4">
        <f t="shared" si="66"/>
        <v>-23</v>
      </c>
      <c r="L384" s="27">
        <f t="shared" si="67"/>
        <v>-4.8936170212765955</v>
      </c>
      <c r="M384" s="52" t="str">
        <f t="shared" si="68"/>
        <v>Schwund</v>
      </c>
      <c r="N384" s="28">
        <f t="shared" si="69"/>
        <v>25.07</v>
      </c>
      <c r="O384" s="5">
        <v>3</v>
      </c>
      <c r="P384" s="4">
        <v>3</v>
      </c>
      <c r="Q384" s="28">
        <f t="shared" si="70"/>
        <v>6.2675000000000001</v>
      </c>
      <c r="R384" s="50">
        <f t="shared" si="71"/>
        <v>7.5209999999999999</v>
      </c>
      <c r="S384" s="2" t="str">
        <f t="shared" si="72"/>
        <v>Normal</v>
      </c>
      <c r="T384" s="4">
        <v>0</v>
      </c>
      <c r="U384" s="4" t="str">
        <f t="shared" si="73"/>
        <v>Ja - 20% Reduzierung</v>
      </c>
      <c r="V384" s="4">
        <f t="shared" si="74"/>
        <v>20</v>
      </c>
      <c r="W384" s="19">
        <f t="shared" si="75"/>
        <v>0.87</v>
      </c>
      <c r="X384" s="5">
        <v>28</v>
      </c>
      <c r="Y384" s="28">
        <f t="shared" si="76"/>
        <v>6.1</v>
      </c>
      <c r="Z384" s="31" t="s">
        <v>173</v>
      </c>
      <c r="AA384" t="str">
        <f t="shared" si="77"/>
        <v>Prozessfehler</v>
      </c>
    </row>
    <row r="385" spans="1:27" x14ac:dyDescent="0.35">
      <c r="A385" s="32" t="s">
        <v>16</v>
      </c>
      <c r="B385" s="2" t="str">
        <f>VLOOKUP(A385,Stammdaten!$A$3:$B$7,2,FALSE)</f>
        <v>Filiale Ost</v>
      </c>
      <c r="C385" s="3" t="str" cm="1">
        <f t="array" ref="C385">INDEX(Stammdaten!$A$11:$A$25,INT((ROW()-5)/12)+1 - INT((ROW()-5)/180)*15)</f>
        <v>A002</v>
      </c>
      <c r="D385" s="2" t="str">
        <f>VLOOKUP(C385,Stammdaten!$A$11:$B$25,2,FALSE)</f>
        <v>Fettarme Milch 1L</v>
      </c>
      <c r="E385" s="3" t="str">
        <f>VLOOKUP(C385,Stammdaten!$A$11:$C$25,3,FALSE)</f>
        <v>Milch</v>
      </c>
      <c r="F385" s="19">
        <f>VLOOKUP(C385,Stammdaten!$A$11:$D$25,4,FALSE)</f>
        <v>1.0900000000000001</v>
      </c>
      <c r="G385" s="4">
        <f t="shared" si="65"/>
        <v>9</v>
      </c>
      <c r="H385" s="20" t="str">
        <f>VLOOKUP(G385,Stammdaten!$A$30:$B$41,2,FALSE)</f>
        <v>September</v>
      </c>
      <c r="I385" s="4">
        <v>381</v>
      </c>
      <c r="J385" s="4">
        <v>363</v>
      </c>
      <c r="K385" s="4">
        <f t="shared" si="66"/>
        <v>-18</v>
      </c>
      <c r="L385" s="27">
        <f t="shared" si="67"/>
        <v>-4.7244094488188972</v>
      </c>
      <c r="M385" s="52" t="str">
        <f t="shared" si="68"/>
        <v>Schwund</v>
      </c>
      <c r="N385" s="28">
        <f t="shared" si="69"/>
        <v>19.62</v>
      </c>
      <c r="O385" s="5">
        <v>7</v>
      </c>
      <c r="P385" s="4">
        <v>3</v>
      </c>
      <c r="Q385" s="28">
        <f t="shared" si="70"/>
        <v>4.9050000000000002</v>
      </c>
      <c r="R385" s="50">
        <f t="shared" si="71"/>
        <v>5.8860000000000001</v>
      </c>
      <c r="S385" s="2" t="str">
        <f t="shared" si="72"/>
        <v>Normal</v>
      </c>
      <c r="T385" s="4">
        <v>0</v>
      </c>
      <c r="U385" s="4" t="str">
        <f t="shared" si="73"/>
        <v>Nein</v>
      </c>
      <c r="V385" s="4">
        <f t="shared" si="74"/>
        <v>0</v>
      </c>
      <c r="W385" s="19">
        <f t="shared" si="75"/>
        <v>1.0900000000000001</v>
      </c>
      <c r="X385" s="5">
        <v>0</v>
      </c>
      <c r="Y385" s="28">
        <f t="shared" si="76"/>
        <v>0</v>
      </c>
      <c r="Z385" s="31" t="s">
        <v>172</v>
      </c>
      <c r="AA385" t="str">
        <f t="shared" si="77"/>
        <v>Prozessfehler</v>
      </c>
    </row>
    <row r="386" spans="1:27" x14ac:dyDescent="0.35">
      <c r="A386" s="32" t="s">
        <v>16</v>
      </c>
      <c r="B386" s="2" t="str">
        <f>VLOOKUP(A386,Stammdaten!$A$3:$B$7,2,FALSE)</f>
        <v>Filiale Ost</v>
      </c>
      <c r="C386" s="3" t="str" cm="1">
        <f t="array" ref="C386">INDEX(Stammdaten!$A$11:$A$25,INT((ROW()-5)/12)+1 - INT((ROW()-5)/180)*15)</f>
        <v>A002</v>
      </c>
      <c r="D386" s="2" t="str">
        <f>VLOOKUP(C386,Stammdaten!$A$11:$B$25,2,FALSE)</f>
        <v>Fettarme Milch 1L</v>
      </c>
      <c r="E386" s="3" t="str">
        <f>VLOOKUP(C386,Stammdaten!$A$11:$C$25,3,FALSE)</f>
        <v>Milch</v>
      </c>
      <c r="F386" s="19">
        <f>VLOOKUP(C386,Stammdaten!$A$11:$D$25,4,FALSE)</f>
        <v>1.0900000000000001</v>
      </c>
      <c r="G386" s="4">
        <f t="shared" si="65"/>
        <v>10</v>
      </c>
      <c r="H386" s="20" t="str">
        <f>VLOOKUP(G386,Stammdaten!$A$30:$B$41,2,FALSE)</f>
        <v>Oktober</v>
      </c>
      <c r="I386" s="4">
        <v>425</v>
      </c>
      <c r="J386" s="4">
        <v>410</v>
      </c>
      <c r="K386" s="4">
        <f t="shared" si="66"/>
        <v>-15</v>
      </c>
      <c r="L386" s="27">
        <f t="shared" si="67"/>
        <v>-3.5294117647058822</v>
      </c>
      <c r="M386" s="52" t="str">
        <f t="shared" si="68"/>
        <v>Schwund</v>
      </c>
      <c r="N386" s="28">
        <f t="shared" si="69"/>
        <v>16.350000000000001</v>
      </c>
      <c r="O386" s="5">
        <v>5</v>
      </c>
      <c r="P386" s="4">
        <v>1</v>
      </c>
      <c r="Q386" s="28">
        <f t="shared" si="70"/>
        <v>4.0875000000000004</v>
      </c>
      <c r="R386" s="50">
        <f t="shared" si="71"/>
        <v>4.9050000000000002</v>
      </c>
      <c r="S386" s="2" t="str">
        <f t="shared" si="72"/>
        <v>Normal</v>
      </c>
      <c r="T386" s="4">
        <v>0</v>
      </c>
      <c r="U386" s="4" t="str">
        <f t="shared" si="73"/>
        <v>Nein</v>
      </c>
      <c r="V386" s="4">
        <f t="shared" si="74"/>
        <v>0</v>
      </c>
      <c r="W386" s="19">
        <f t="shared" si="75"/>
        <v>1.0900000000000001</v>
      </c>
      <c r="X386" s="5">
        <v>0</v>
      </c>
      <c r="Y386" s="28">
        <f t="shared" si="76"/>
        <v>0</v>
      </c>
      <c r="Z386" s="31" t="s">
        <v>172</v>
      </c>
      <c r="AA386" t="str">
        <f t="shared" si="77"/>
        <v>Buchungsfehler Wareneingang</v>
      </c>
    </row>
    <row r="387" spans="1:27" x14ac:dyDescent="0.35">
      <c r="A387" s="32" t="s">
        <v>16</v>
      </c>
      <c r="B387" s="2" t="str">
        <f>VLOOKUP(A387,Stammdaten!$A$3:$B$7,2,FALSE)</f>
        <v>Filiale Ost</v>
      </c>
      <c r="C387" s="3" t="str" cm="1">
        <f t="array" ref="C387">INDEX(Stammdaten!$A$11:$A$25,INT((ROW()-5)/12)+1 - INT((ROW()-5)/180)*15)</f>
        <v>A002</v>
      </c>
      <c r="D387" s="2" t="str">
        <f>VLOOKUP(C387,Stammdaten!$A$11:$B$25,2,FALSE)</f>
        <v>Fettarme Milch 1L</v>
      </c>
      <c r="E387" s="3" t="str">
        <f>VLOOKUP(C387,Stammdaten!$A$11:$C$25,3,FALSE)</f>
        <v>Milch</v>
      </c>
      <c r="F387" s="19">
        <f>VLOOKUP(C387,Stammdaten!$A$11:$D$25,4,FALSE)</f>
        <v>1.0900000000000001</v>
      </c>
      <c r="G387" s="4">
        <f t="shared" si="65"/>
        <v>11</v>
      </c>
      <c r="H387" s="20" t="str">
        <f>VLOOKUP(G387,Stammdaten!$A$30:$B$41,2,FALSE)</f>
        <v>November</v>
      </c>
      <c r="I387" s="4">
        <v>432</v>
      </c>
      <c r="J387" s="4">
        <v>418</v>
      </c>
      <c r="K387" s="4">
        <f t="shared" si="66"/>
        <v>-14</v>
      </c>
      <c r="L387" s="27">
        <f t="shared" si="67"/>
        <v>-3.2407407407407405</v>
      </c>
      <c r="M387" s="52" t="str">
        <f t="shared" si="68"/>
        <v>Schwund</v>
      </c>
      <c r="N387" s="28">
        <f t="shared" si="69"/>
        <v>15.260000000000002</v>
      </c>
      <c r="O387" s="5">
        <v>4</v>
      </c>
      <c r="P387" s="4">
        <v>0</v>
      </c>
      <c r="Q387" s="28">
        <f t="shared" si="70"/>
        <v>3.8150000000000004</v>
      </c>
      <c r="R387" s="50">
        <f t="shared" si="71"/>
        <v>4.5780000000000003</v>
      </c>
      <c r="S387" s="2" t="str">
        <f t="shared" si="72"/>
        <v>Black Friday</v>
      </c>
      <c r="T387" s="4">
        <v>0</v>
      </c>
      <c r="U387" s="4" t="str">
        <f t="shared" si="73"/>
        <v>Nein</v>
      </c>
      <c r="V387" s="4">
        <f t="shared" si="74"/>
        <v>0</v>
      </c>
      <c r="W387" s="19">
        <f t="shared" si="75"/>
        <v>1.0900000000000001</v>
      </c>
      <c r="X387" s="5">
        <v>0</v>
      </c>
      <c r="Y387" s="28">
        <f t="shared" si="76"/>
        <v>0</v>
      </c>
      <c r="Z387" s="31" t="s">
        <v>172</v>
      </c>
      <c r="AA387" t="str">
        <f t="shared" si="77"/>
        <v>Buchungsfehler Wareneingang</v>
      </c>
    </row>
    <row r="388" spans="1:27" x14ac:dyDescent="0.35">
      <c r="A388" s="32" t="s">
        <v>16</v>
      </c>
      <c r="B388" s="2" t="str">
        <f>VLOOKUP(A388,Stammdaten!$A$3:$B$7,2,FALSE)</f>
        <v>Filiale Ost</v>
      </c>
      <c r="C388" s="3" t="str" cm="1">
        <f t="array" ref="C388">INDEX(Stammdaten!$A$11:$A$25,INT((ROW()-5)/12)+1 - INT((ROW()-5)/180)*15)</f>
        <v>A002</v>
      </c>
      <c r="D388" s="2" t="str">
        <f>VLOOKUP(C388,Stammdaten!$A$11:$B$25,2,FALSE)</f>
        <v>Fettarme Milch 1L</v>
      </c>
      <c r="E388" s="3" t="str">
        <f>VLOOKUP(C388,Stammdaten!$A$11:$C$25,3,FALSE)</f>
        <v>Milch</v>
      </c>
      <c r="F388" s="19">
        <f>VLOOKUP(C388,Stammdaten!$A$11:$D$25,4,FALSE)</f>
        <v>1.0900000000000001</v>
      </c>
      <c r="G388" s="4">
        <f t="shared" si="65"/>
        <v>12</v>
      </c>
      <c r="H388" s="20" t="str">
        <f>VLOOKUP(G388,Stammdaten!$A$30:$B$41,2,FALSE)</f>
        <v>Dezember</v>
      </c>
      <c r="I388" s="4">
        <v>573</v>
      </c>
      <c r="J388" s="4">
        <v>544</v>
      </c>
      <c r="K388" s="4">
        <f t="shared" si="66"/>
        <v>-29</v>
      </c>
      <c r="L388" s="27">
        <f t="shared" si="67"/>
        <v>-5.0610820244328103</v>
      </c>
      <c r="M388" s="52" t="str">
        <f t="shared" si="68"/>
        <v>Schwund</v>
      </c>
      <c r="N388" s="28">
        <f t="shared" si="69"/>
        <v>31.610000000000003</v>
      </c>
      <c r="O388" s="5">
        <v>6</v>
      </c>
      <c r="P388" s="4">
        <v>2</v>
      </c>
      <c r="Q388" s="28">
        <f t="shared" si="70"/>
        <v>7.9025000000000007</v>
      </c>
      <c r="R388" s="50">
        <f t="shared" si="71"/>
        <v>9.4830000000000005</v>
      </c>
      <c r="S388" s="2" t="str">
        <f t="shared" si="72"/>
        <v>Weihnachten/Silvester</v>
      </c>
      <c r="T388" s="4">
        <v>0</v>
      </c>
      <c r="U388" s="4" t="str">
        <f t="shared" si="73"/>
        <v>Nein</v>
      </c>
      <c r="V388" s="4">
        <f t="shared" si="74"/>
        <v>0</v>
      </c>
      <c r="W388" s="19">
        <f t="shared" si="75"/>
        <v>1.0900000000000001</v>
      </c>
      <c r="X388" s="5">
        <v>0</v>
      </c>
      <c r="Y388" s="28">
        <f t="shared" si="76"/>
        <v>0</v>
      </c>
      <c r="Z388" s="31" t="s">
        <v>172</v>
      </c>
      <c r="AA388" t="str">
        <f t="shared" si="77"/>
        <v>Prozessfehler</v>
      </c>
    </row>
    <row r="389" spans="1:27" x14ac:dyDescent="0.35">
      <c r="A389" s="32" t="s">
        <v>16</v>
      </c>
      <c r="B389" s="2" t="str">
        <f>VLOOKUP(A389,Stammdaten!$A$3:$B$7,2,FALSE)</f>
        <v>Filiale Ost</v>
      </c>
      <c r="C389" s="3" t="str" cm="1">
        <f t="array" ref="C389">INDEX(Stammdaten!$A$11:$A$25,INT((ROW()-5)/12)+1 - INT((ROW()-5)/180)*15)</f>
        <v>A003</v>
      </c>
      <c r="D389" s="2" t="str">
        <f>VLOOKUP(C389,Stammdaten!$A$11:$B$25,2,FALSE)</f>
        <v>Bio-Milch 1L</v>
      </c>
      <c r="E389" s="3" t="str">
        <f>VLOOKUP(C389,Stammdaten!$A$11:$C$25,3,FALSE)</f>
        <v>Milch</v>
      </c>
      <c r="F389" s="19">
        <f>VLOOKUP(C389,Stammdaten!$A$11:$D$25,4,FALSE)</f>
        <v>1.59</v>
      </c>
      <c r="G389" s="4">
        <f t="shared" si="65"/>
        <v>1</v>
      </c>
      <c r="H389" s="20" t="str">
        <f>VLOOKUP(G389,Stammdaten!$A$30:$B$41,2,FALSE)</f>
        <v>Januar</v>
      </c>
      <c r="I389" s="4">
        <v>156</v>
      </c>
      <c r="J389" s="4">
        <v>152</v>
      </c>
      <c r="K389" s="4">
        <f t="shared" si="66"/>
        <v>-4</v>
      </c>
      <c r="L389" s="27">
        <f t="shared" si="67"/>
        <v>-2.5641025641025639</v>
      </c>
      <c r="M389" s="52" t="str">
        <f t="shared" si="68"/>
        <v>Schwund</v>
      </c>
      <c r="N389" s="28">
        <f t="shared" si="69"/>
        <v>6.36</v>
      </c>
      <c r="O389" s="5">
        <v>1</v>
      </c>
      <c r="P389" s="4">
        <v>0</v>
      </c>
      <c r="Q389" s="28">
        <f t="shared" si="70"/>
        <v>1.59</v>
      </c>
      <c r="R389" s="50">
        <f t="shared" si="71"/>
        <v>1.9079999999999999</v>
      </c>
      <c r="S389" s="2" t="str">
        <f t="shared" si="72"/>
        <v>Normal</v>
      </c>
      <c r="T389" s="4">
        <v>0</v>
      </c>
      <c r="U389" s="4" t="str">
        <f t="shared" si="73"/>
        <v>Ja - 20% Reduzierung</v>
      </c>
      <c r="V389" s="4">
        <f t="shared" si="74"/>
        <v>20</v>
      </c>
      <c r="W389" s="19">
        <f t="shared" si="75"/>
        <v>1.27</v>
      </c>
      <c r="X389" s="5">
        <v>20</v>
      </c>
      <c r="Y389" s="28">
        <f t="shared" si="76"/>
        <v>6.36</v>
      </c>
      <c r="Z389" s="31" t="s">
        <v>164</v>
      </c>
      <c r="AA389" t="str">
        <f t="shared" si="77"/>
        <v>MHD - Prozessfehler</v>
      </c>
    </row>
    <row r="390" spans="1:27" x14ac:dyDescent="0.35">
      <c r="A390" s="32" t="s">
        <v>16</v>
      </c>
      <c r="B390" s="2" t="str">
        <f>VLOOKUP(A390,Stammdaten!$A$3:$B$7,2,FALSE)</f>
        <v>Filiale Ost</v>
      </c>
      <c r="C390" s="3" t="str" cm="1">
        <f t="array" ref="C390">INDEX(Stammdaten!$A$11:$A$25,INT((ROW()-5)/12)+1 - INT((ROW()-5)/180)*15)</f>
        <v>A003</v>
      </c>
      <c r="D390" s="2" t="str">
        <f>VLOOKUP(C390,Stammdaten!$A$11:$B$25,2,FALSE)</f>
        <v>Bio-Milch 1L</v>
      </c>
      <c r="E390" s="3" t="str">
        <f>VLOOKUP(C390,Stammdaten!$A$11:$C$25,3,FALSE)</f>
        <v>Milch</v>
      </c>
      <c r="F390" s="19">
        <f>VLOOKUP(C390,Stammdaten!$A$11:$D$25,4,FALSE)</f>
        <v>1.59</v>
      </c>
      <c r="G390" s="4">
        <f t="shared" ref="G390:G453" si="78">MOD(ROW()-5,12)+1</f>
        <v>2</v>
      </c>
      <c r="H390" s="20" t="str">
        <f>VLOOKUP(G390,Stammdaten!$A$30:$B$41,2,FALSE)</f>
        <v>Februar</v>
      </c>
      <c r="I390" s="4">
        <v>145</v>
      </c>
      <c r="J390" s="4">
        <v>150</v>
      </c>
      <c r="K390" s="4">
        <f t="shared" ref="K390:K453" si="79">J390-I390</f>
        <v>5</v>
      </c>
      <c r="L390" s="27">
        <f t="shared" ref="L390:L453" si="80">IF(I390=0,0,(K390)/I390*100)</f>
        <v>3.4482758620689653</v>
      </c>
      <c r="M390" s="52" t="str">
        <f t="shared" ref="M390:M453" si="81">IF(K390=0,"Perfekt",IF(K390&lt;0,"Schwund","Überbestand"))</f>
        <v>Überbestand</v>
      </c>
      <c r="N390" s="28">
        <f t="shared" ref="N390:N453" si="82">ABS(K390)*F390</f>
        <v>7.95</v>
      </c>
      <c r="O390" s="5">
        <v>5</v>
      </c>
      <c r="P390" s="4">
        <v>3</v>
      </c>
      <c r="Q390" s="28">
        <f t="shared" ref="Q390:Q453" si="83">IF(K390&lt;0,ABS(N390)*0.25,0)</f>
        <v>0</v>
      </c>
      <c r="R390" s="50">
        <f t="shared" ref="R390:R453" si="84">IF(K390&lt;0,ABS(N390)*0.3,0)</f>
        <v>0</v>
      </c>
      <c r="S390" s="2" t="str">
        <f t="shared" ref="S390:S453" si="85">IF(G390=4,"Ostern",IF(G390=12,"Weihnachten/Silvester",IF(G390=11,"Black Friday",IF(G390=2,"Karneval","Normal"))))</f>
        <v>Karneval</v>
      </c>
      <c r="T390" s="4">
        <v>5</v>
      </c>
      <c r="U390" s="4" t="str">
        <f t="shared" ref="U390:U453" si="86">IF(O390&lt;=0,"Abschreibung",IF(O390&lt;=3,"Ja - 20% Reduzierung","Nein"))</f>
        <v>Nein</v>
      </c>
      <c r="V390" s="4">
        <f t="shared" ref="V390:V453" si="87">IF(O390&lt;=0,100,IF(O390&lt;=3,20,0))</f>
        <v>0</v>
      </c>
      <c r="W390" s="19">
        <f t="shared" ref="W390:W453" si="88">IF(V390=100,0,ROUND(F390*(1-V390/100),2))</f>
        <v>1.59</v>
      </c>
      <c r="X390" s="5">
        <v>0</v>
      </c>
      <c r="Y390" s="28">
        <f t="shared" ref="Y390:Y453" si="89">ROUND(X390*F390*(V390/100),2)</f>
        <v>0</v>
      </c>
      <c r="Z390" s="31" t="s">
        <v>172</v>
      </c>
      <c r="AA390" t="str">
        <f t="shared" ref="AA390:AA453" si="90">IF(O390&lt;=0,"Verderb - Abgelaufen",IF(AND(O390&lt;=3,Z390&lt;&gt;"Korrekt",Z390&lt;&gt;"Kein MHD - Prozess"),"MHD - Prozessfehler",IF(K390&gt;0,"Kassenfehler (Überbestand)",IF(AND(ABS(L390)&gt;3,A390="F005"),"Diebstahlrisiko",IF(AND(ABS(L390)&gt;2,P390&lt;2),"Buchungsfehler Wareneingang",IF(ABS(L390)&gt;2,"Prozessfehler","Normal/Gering"))))))</f>
        <v>Kassenfehler (Überbestand)</v>
      </c>
    </row>
    <row r="391" spans="1:27" x14ac:dyDescent="0.35">
      <c r="A391" s="32" t="s">
        <v>16</v>
      </c>
      <c r="B391" s="2" t="str">
        <f>VLOOKUP(A391,Stammdaten!$A$3:$B$7,2,FALSE)</f>
        <v>Filiale Ost</v>
      </c>
      <c r="C391" s="3" t="str" cm="1">
        <f t="array" ref="C391">INDEX(Stammdaten!$A$11:$A$25,INT((ROW()-5)/12)+1 - INT((ROW()-5)/180)*15)</f>
        <v>A003</v>
      </c>
      <c r="D391" s="2" t="str">
        <f>VLOOKUP(C391,Stammdaten!$A$11:$B$25,2,FALSE)</f>
        <v>Bio-Milch 1L</v>
      </c>
      <c r="E391" s="3" t="str">
        <f>VLOOKUP(C391,Stammdaten!$A$11:$C$25,3,FALSE)</f>
        <v>Milch</v>
      </c>
      <c r="F391" s="19">
        <f>VLOOKUP(C391,Stammdaten!$A$11:$D$25,4,FALSE)</f>
        <v>1.59</v>
      </c>
      <c r="G391" s="4">
        <f t="shared" si="78"/>
        <v>3</v>
      </c>
      <c r="H391" s="20" t="str">
        <f>VLOOKUP(G391,Stammdaten!$A$30:$B$41,2,FALSE)</f>
        <v>März</v>
      </c>
      <c r="I391" s="4">
        <v>198</v>
      </c>
      <c r="J391" s="4">
        <v>189</v>
      </c>
      <c r="K391" s="4">
        <f t="shared" si="79"/>
        <v>-9</v>
      </c>
      <c r="L391" s="27">
        <f t="shared" si="80"/>
        <v>-4.5454545454545459</v>
      </c>
      <c r="M391" s="52" t="str">
        <f t="shared" si="81"/>
        <v>Schwund</v>
      </c>
      <c r="N391" s="28">
        <f t="shared" si="82"/>
        <v>14.31</v>
      </c>
      <c r="O391" s="5">
        <v>5</v>
      </c>
      <c r="P391" s="4">
        <v>0</v>
      </c>
      <c r="Q391" s="28">
        <f t="shared" si="83"/>
        <v>3.5775000000000001</v>
      </c>
      <c r="R391" s="50">
        <f t="shared" si="84"/>
        <v>4.2930000000000001</v>
      </c>
      <c r="S391" s="2" t="str">
        <f t="shared" si="85"/>
        <v>Normal</v>
      </c>
      <c r="T391" s="4">
        <v>0</v>
      </c>
      <c r="U391" s="4" t="str">
        <f t="shared" si="86"/>
        <v>Nein</v>
      </c>
      <c r="V391" s="4">
        <f t="shared" si="87"/>
        <v>0</v>
      </c>
      <c r="W391" s="19">
        <f t="shared" si="88"/>
        <v>1.59</v>
      </c>
      <c r="X391" s="5">
        <v>0</v>
      </c>
      <c r="Y391" s="28">
        <f t="shared" si="89"/>
        <v>0</v>
      </c>
      <c r="Z391" s="31" t="s">
        <v>172</v>
      </c>
      <c r="AA391" t="str">
        <f t="shared" si="90"/>
        <v>Buchungsfehler Wareneingang</v>
      </c>
    </row>
    <row r="392" spans="1:27" x14ac:dyDescent="0.35">
      <c r="A392" s="32" t="s">
        <v>16</v>
      </c>
      <c r="B392" s="2" t="str">
        <f>VLOOKUP(A392,Stammdaten!$A$3:$B$7,2,FALSE)</f>
        <v>Filiale Ost</v>
      </c>
      <c r="C392" s="3" t="str" cm="1">
        <f t="array" ref="C392">INDEX(Stammdaten!$A$11:$A$25,INT((ROW()-5)/12)+1 - INT((ROW()-5)/180)*15)</f>
        <v>A003</v>
      </c>
      <c r="D392" s="2" t="str">
        <f>VLOOKUP(C392,Stammdaten!$A$11:$B$25,2,FALSE)</f>
        <v>Bio-Milch 1L</v>
      </c>
      <c r="E392" s="3" t="str">
        <f>VLOOKUP(C392,Stammdaten!$A$11:$C$25,3,FALSE)</f>
        <v>Milch</v>
      </c>
      <c r="F392" s="19">
        <f>VLOOKUP(C392,Stammdaten!$A$11:$D$25,4,FALSE)</f>
        <v>1.59</v>
      </c>
      <c r="G392" s="4">
        <f t="shared" si="78"/>
        <v>4</v>
      </c>
      <c r="H392" s="20" t="str">
        <f>VLOOKUP(G392,Stammdaten!$A$30:$B$41,2,FALSE)</f>
        <v>April</v>
      </c>
      <c r="I392" s="4">
        <v>230</v>
      </c>
      <c r="J392" s="4">
        <v>221</v>
      </c>
      <c r="K392" s="4">
        <f t="shared" si="79"/>
        <v>-9</v>
      </c>
      <c r="L392" s="27">
        <f t="shared" si="80"/>
        <v>-3.9130434782608701</v>
      </c>
      <c r="M392" s="52" t="str">
        <f t="shared" si="81"/>
        <v>Schwund</v>
      </c>
      <c r="N392" s="28">
        <f t="shared" si="82"/>
        <v>14.31</v>
      </c>
      <c r="O392" s="5">
        <v>7</v>
      </c>
      <c r="P392" s="4">
        <v>3</v>
      </c>
      <c r="Q392" s="28">
        <f t="shared" si="83"/>
        <v>3.5775000000000001</v>
      </c>
      <c r="R392" s="50">
        <f t="shared" si="84"/>
        <v>4.2930000000000001</v>
      </c>
      <c r="S392" s="2" t="str">
        <f t="shared" si="85"/>
        <v>Ostern</v>
      </c>
      <c r="T392" s="4">
        <v>0</v>
      </c>
      <c r="U392" s="4" t="str">
        <f t="shared" si="86"/>
        <v>Nein</v>
      </c>
      <c r="V392" s="4">
        <f t="shared" si="87"/>
        <v>0</v>
      </c>
      <c r="W392" s="19">
        <f t="shared" si="88"/>
        <v>1.59</v>
      </c>
      <c r="X392" s="5">
        <v>0</v>
      </c>
      <c r="Y392" s="28">
        <f t="shared" si="89"/>
        <v>0</v>
      </c>
      <c r="Z392" s="31" t="s">
        <v>172</v>
      </c>
      <c r="AA392" t="str">
        <f t="shared" si="90"/>
        <v>Prozessfehler</v>
      </c>
    </row>
    <row r="393" spans="1:27" x14ac:dyDescent="0.35">
      <c r="A393" s="32" t="s">
        <v>16</v>
      </c>
      <c r="B393" s="2" t="str">
        <f>VLOOKUP(A393,Stammdaten!$A$3:$B$7,2,FALSE)</f>
        <v>Filiale Ost</v>
      </c>
      <c r="C393" s="3" t="str" cm="1">
        <f t="array" ref="C393">INDEX(Stammdaten!$A$11:$A$25,INT((ROW()-5)/12)+1 - INT((ROW()-5)/180)*15)</f>
        <v>A003</v>
      </c>
      <c r="D393" s="2" t="str">
        <f>VLOOKUP(C393,Stammdaten!$A$11:$B$25,2,FALSE)</f>
        <v>Bio-Milch 1L</v>
      </c>
      <c r="E393" s="3" t="str">
        <f>VLOOKUP(C393,Stammdaten!$A$11:$C$25,3,FALSE)</f>
        <v>Milch</v>
      </c>
      <c r="F393" s="19">
        <f>VLOOKUP(C393,Stammdaten!$A$11:$D$25,4,FALSE)</f>
        <v>1.59</v>
      </c>
      <c r="G393" s="4">
        <f t="shared" si="78"/>
        <v>5</v>
      </c>
      <c r="H393" s="20" t="str">
        <f>VLOOKUP(G393,Stammdaten!$A$30:$B$41,2,FALSE)</f>
        <v>Mai</v>
      </c>
      <c r="I393" s="4">
        <v>178</v>
      </c>
      <c r="J393" s="4">
        <v>169</v>
      </c>
      <c r="K393" s="4">
        <f t="shared" si="79"/>
        <v>-9</v>
      </c>
      <c r="L393" s="27">
        <f t="shared" si="80"/>
        <v>-5.0561797752808983</v>
      </c>
      <c r="M393" s="52" t="str">
        <f t="shared" si="81"/>
        <v>Schwund</v>
      </c>
      <c r="N393" s="28">
        <f t="shared" si="82"/>
        <v>14.31</v>
      </c>
      <c r="O393" s="5">
        <v>1</v>
      </c>
      <c r="P393" s="4">
        <v>1</v>
      </c>
      <c r="Q393" s="28">
        <f t="shared" si="83"/>
        <v>3.5775000000000001</v>
      </c>
      <c r="R393" s="50">
        <f t="shared" si="84"/>
        <v>4.2930000000000001</v>
      </c>
      <c r="S393" s="2" t="str">
        <f t="shared" si="85"/>
        <v>Normal</v>
      </c>
      <c r="T393" s="4">
        <v>0</v>
      </c>
      <c r="U393" s="4" t="str">
        <f t="shared" si="86"/>
        <v>Ja - 20% Reduzierung</v>
      </c>
      <c r="V393" s="4">
        <f t="shared" si="87"/>
        <v>20</v>
      </c>
      <c r="W393" s="19">
        <f t="shared" si="88"/>
        <v>1.27</v>
      </c>
      <c r="X393" s="5">
        <v>25</v>
      </c>
      <c r="Y393" s="28">
        <f t="shared" si="89"/>
        <v>7.95</v>
      </c>
      <c r="Z393" s="31" t="s">
        <v>173</v>
      </c>
      <c r="AA393" t="str">
        <f t="shared" si="90"/>
        <v>Buchungsfehler Wareneingang</v>
      </c>
    </row>
    <row r="394" spans="1:27" x14ac:dyDescent="0.35">
      <c r="A394" s="32" t="s">
        <v>16</v>
      </c>
      <c r="B394" s="2" t="str">
        <f>VLOOKUP(A394,Stammdaten!$A$3:$B$7,2,FALSE)</f>
        <v>Filiale Ost</v>
      </c>
      <c r="C394" s="3" t="str" cm="1">
        <f t="array" ref="C394">INDEX(Stammdaten!$A$11:$A$25,INT((ROW()-5)/12)+1 - INT((ROW()-5)/180)*15)</f>
        <v>A003</v>
      </c>
      <c r="D394" s="2" t="str">
        <f>VLOOKUP(C394,Stammdaten!$A$11:$B$25,2,FALSE)</f>
        <v>Bio-Milch 1L</v>
      </c>
      <c r="E394" s="3" t="str">
        <f>VLOOKUP(C394,Stammdaten!$A$11:$C$25,3,FALSE)</f>
        <v>Milch</v>
      </c>
      <c r="F394" s="19">
        <f>VLOOKUP(C394,Stammdaten!$A$11:$D$25,4,FALSE)</f>
        <v>1.59</v>
      </c>
      <c r="G394" s="4">
        <f t="shared" si="78"/>
        <v>6</v>
      </c>
      <c r="H394" s="20" t="str">
        <f>VLOOKUP(G394,Stammdaten!$A$30:$B$41,2,FALSE)</f>
        <v>Juni</v>
      </c>
      <c r="I394" s="4">
        <v>192</v>
      </c>
      <c r="J394" s="4">
        <v>197</v>
      </c>
      <c r="K394" s="4">
        <f t="shared" si="79"/>
        <v>5</v>
      </c>
      <c r="L394" s="27">
        <f t="shared" si="80"/>
        <v>2.604166666666667</v>
      </c>
      <c r="M394" s="52" t="str">
        <f t="shared" si="81"/>
        <v>Überbestand</v>
      </c>
      <c r="N394" s="28">
        <f t="shared" si="82"/>
        <v>7.95</v>
      </c>
      <c r="O394" s="5">
        <v>5</v>
      </c>
      <c r="P394" s="4">
        <v>3</v>
      </c>
      <c r="Q394" s="28">
        <f t="shared" si="83"/>
        <v>0</v>
      </c>
      <c r="R394" s="50">
        <f t="shared" si="84"/>
        <v>0</v>
      </c>
      <c r="S394" s="2" t="str">
        <f t="shared" si="85"/>
        <v>Normal</v>
      </c>
      <c r="T394" s="4">
        <v>5</v>
      </c>
      <c r="U394" s="4" t="str">
        <f t="shared" si="86"/>
        <v>Nein</v>
      </c>
      <c r="V394" s="4">
        <f t="shared" si="87"/>
        <v>0</v>
      </c>
      <c r="W394" s="19">
        <f t="shared" si="88"/>
        <v>1.59</v>
      </c>
      <c r="X394" s="5">
        <v>0</v>
      </c>
      <c r="Y394" s="28">
        <f t="shared" si="89"/>
        <v>0</v>
      </c>
      <c r="Z394" s="31" t="s">
        <v>172</v>
      </c>
      <c r="AA394" t="str">
        <f t="shared" si="90"/>
        <v>Kassenfehler (Überbestand)</v>
      </c>
    </row>
    <row r="395" spans="1:27" x14ac:dyDescent="0.35">
      <c r="A395" s="32" t="s">
        <v>16</v>
      </c>
      <c r="B395" s="2" t="str">
        <f>VLOOKUP(A395,Stammdaten!$A$3:$B$7,2,FALSE)</f>
        <v>Filiale Ost</v>
      </c>
      <c r="C395" s="3" t="str" cm="1">
        <f t="array" ref="C395">INDEX(Stammdaten!$A$11:$A$25,INT((ROW()-5)/12)+1 - INT((ROW()-5)/180)*15)</f>
        <v>A003</v>
      </c>
      <c r="D395" s="2" t="str">
        <f>VLOOKUP(C395,Stammdaten!$A$11:$B$25,2,FALSE)</f>
        <v>Bio-Milch 1L</v>
      </c>
      <c r="E395" s="3" t="str">
        <f>VLOOKUP(C395,Stammdaten!$A$11:$C$25,3,FALSE)</f>
        <v>Milch</v>
      </c>
      <c r="F395" s="19">
        <f>VLOOKUP(C395,Stammdaten!$A$11:$D$25,4,FALSE)</f>
        <v>1.59</v>
      </c>
      <c r="G395" s="4">
        <f t="shared" si="78"/>
        <v>7</v>
      </c>
      <c r="H395" s="20" t="str">
        <f>VLOOKUP(G395,Stammdaten!$A$30:$B$41,2,FALSE)</f>
        <v>Juli</v>
      </c>
      <c r="I395" s="4">
        <v>220</v>
      </c>
      <c r="J395" s="4">
        <v>211</v>
      </c>
      <c r="K395" s="4">
        <f t="shared" si="79"/>
        <v>-9</v>
      </c>
      <c r="L395" s="27">
        <f t="shared" si="80"/>
        <v>-4.0909090909090908</v>
      </c>
      <c r="M395" s="52" t="str">
        <f t="shared" si="81"/>
        <v>Schwund</v>
      </c>
      <c r="N395" s="28">
        <f t="shared" si="82"/>
        <v>14.31</v>
      </c>
      <c r="O395" s="5">
        <v>4</v>
      </c>
      <c r="P395" s="4">
        <v>0</v>
      </c>
      <c r="Q395" s="28">
        <f t="shared" si="83"/>
        <v>3.5775000000000001</v>
      </c>
      <c r="R395" s="50">
        <f t="shared" si="84"/>
        <v>4.2930000000000001</v>
      </c>
      <c r="S395" s="2" t="str">
        <f t="shared" si="85"/>
        <v>Normal</v>
      </c>
      <c r="T395" s="4">
        <v>0</v>
      </c>
      <c r="U395" s="4" t="str">
        <f t="shared" si="86"/>
        <v>Nein</v>
      </c>
      <c r="V395" s="4">
        <f t="shared" si="87"/>
        <v>0</v>
      </c>
      <c r="W395" s="19">
        <f t="shared" si="88"/>
        <v>1.59</v>
      </c>
      <c r="X395" s="5">
        <v>0</v>
      </c>
      <c r="Y395" s="28">
        <f t="shared" si="89"/>
        <v>0</v>
      </c>
      <c r="Z395" s="31" t="s">
        <v>172</v>
      </c>
      <c r="AA395" t="str">
        <f t="shared" si="90"/>
        <v>Buchungsfehler Wareneingang</v>
      </c>
    </row>
    <row r="396" spans="1:27" x14ac:dyDescent="0.35">
      <c r="A396" s="32" t="s">
        <v>16</v>
      </c>
      <c r="B396" s="2" t="str">
        <f>VLOOKUP(A396,Stammdaten!$A$3:$B$7,2,FALSE)</f>
        <v>Filiale Ost</v>
      </c>
      <c r="C396" s="3" t="str" cm="1">
        <f t="array" ref="C396">INDEX(Stammdaten!$A$11:$A$25,INT((ROW()-5)/12)+1 - INT((ROW()-5)/180)*15)</f>
        <v>A003</v>
      </c>
      <c r="D396" s="2" t="str">
        <f>VLOOKUP(C396,Stammdaten!$A$11:$B$25,2,FALSE)</f>
        <v>Bio-Milch 1L</v>
      </c>
      <c r="E396" s="3" t="str">
        <f>VLOOKUP(C396,Stammdaten!$A$11:$C$25,3,FALSE)</f>
        <v>Milch</v>
      </c>
      <c r="F396" s="19">
        <f>VLOOKUP(C396,Stammdaten!$A$11:$D$25,4,FALSE)</f>
        <v>1.59</v>
      </c>
      <c r="G396" s="4">
        <f t="shared" si="78"/>
        <v>8</v>
      </c>
      <c r="H396" s="20" t="str">
        <f>VLOOKUP(G396,Stammdaten!$A$30:$B$41,2,FALSE)</f>
        <v>August</v>
      </c>
      <c r="I396" s="4">
        <v>213</v>
      </c>
      <c r="J396" s="4">
        <v>221</v>
      </c>
      <c r="K396" s="4">
        <f t="shared" si="79"/>
        <v>8</v>
      </c>
      <c r="L396" s="27">
        <f t="shared" si="80"/>
        <v>3.755868544600939</v>
      </c>
      <c r="M396" s="52" t="str">
        <f t="shared" si="81"/>
        <v>Überbestand</v>
      </c>
      <c r="N396" s="28">
        <f t="shared" si="82"/>
        <v>12.72</v>
      </c>
      <c r="O396" s="5">
        <v>3</v>
      </c>
      <c r="P396" s="4">
        <v>2</v>
      </c>
      <c r="Q396" s="28">
        <f t="shared" si="83"/>
        <v>0</v>
      </c>
      <c r="R396" s="50">
        <f t="shared" si="84"/>
        <v>0</v>
      </c>
      <c r="S396" s="2" t="str">
        <f t="shared" si="85"/>
        <v>Normal</v>
      </c>
      <c r="T396" s="4">
        <v>8</v>
      </c>
      <c r="U396" s="4" t="str">
        <f t="shared" si="86"/>
        <v>Ja - 20% Reduzierung</v>
      </c>
      <c r="V396" s="4">
        <f t="shared" si="87"/>
        <v>20</v>
      </c>
      <c r="W396" s="19">
        <f t="shared" si="88"/>
        <v>1.27</v>
      </c>
      <c r="X396" s="5">
        <v>17</v>
      </c>
      <c r="Y396" s="28">
        <f t="shared" si="89"/>
        <v>5.41</v>
      </c>
      <c r="Z396" s="31" t="s">
        <v>173</v>
      </c>
      <c r="AA396" t="str">
        <f t="shared" si="90"/>
        <v>Kassenfehler (Überbestand)</v>
      </c>
    </row>
    <row r="397" spans="1:27" x14ac:dyDescent="0.35">
      <c r="A397" s="32" t="s">
        <v>16</v>
      </c>
      <c r="B397" s="2" t="str">
        <f>VLOOKUP(A397,Stammdaten!$A$3:$B$7,2,FALSE)</f>
        <v>Filiale Ost</v>
      </c>
      <c r="C397" s="3" t="str" cm="1">
        <f t="array" ref="C397">INDEX(Stammdaten!$A$11:$A$25,INT((ROW()-5)/12)+1 - INT((ROW()-5)/180)*15)</f>
        <v>A003</v>
      </c>
      <c r="D397" s="2" t="str">
        <f>VLOOKUP(C397,Stammdaten!$A$11:$B$25,2,FALSE)</f>
        <v>Bio-Milch 1L</v>
      </c>
      <c r="E397" s="3" t="str">
        <f>VLOOKUP(C397,Stammdaten!$A$11:$C$25,3,FALSE)</f>
        <v>Milch</v>
      </c>
      <c r="F397" s="19">
        <f>VLOOKUP(C397,Stammdaten!$A$11:$D$25,4,FALSE)</f>
        <v>1.59</v>
      </c>
      <c r="G397" s="4">
        <f t="shared" si="78"/>
        <v>9</v>
      </c>
      <c r="H397" s="20" t="str">
        <f>VLOOKUP(G397,Stammdaten!$A$30:$B$41,2,FALSE)</f>
        <v>September</v>
      </c>
      <c r="I397" s="4">
        <v>169</v>
      </c>
      <c r="J397" s="4">
        <v>177</v>
      </c>
      <c r="K397" s="4">
        <f t="shared" si="79"/>
        <v>8</v>
      </c>
      <c r="L397" s="27">
        <f t="shared" si="80"/>
        <v>4.7337278106508878</v>
      </c>
      <c r="M397" s="52" t="str">
        <f t="shared" si="81"/>
        <v>Überbestand</v>
      </c>
      <c r="N397" s="28">
        <f t="shared" si="82"/>
        <v>12.72</v>
      </c>
      <c r="O397" s="5">
        <v>5</v>
      </c>
      <c r="P397" s="4">
        <v>0</v>
      </c>
      <c r="Q397" s="28">
        <f t="shared" si="83"/>
        <v>0</v>
      </c>
      <c r="R397" s="50">
        <f t="shared" si="84"/>
        <v>0</v>
      </c>
      <c r="S397" s="2" t="str">
        <f t="shared" si="85"/>
        <v>Normal</v>
      </c>
      <c r="T397" s="4">
        <v>8</v>
      </c>
      <c r="U397" s="4" t="str">
        <f t="shared" si="86"/>
        <v>Nein</v>
      </c>
      <c r="V397" s="4">
        <f t="shared" si="87"/>
        <v>0</v>
      </c>
      <c r="W397" s="19">
        <f t="shared" si="88"/>
        <v>1.59</v>
      </c>
      <c r="X397" s="5">
        <v>0</v>
      </c>
      <c r="Y397" s="28">
        <f t="shared" si="89"/>
        <v>0</v>
      </c>
      <c r="Z397" s="31" t="s">
        <v>172</v>
      </c>
      <c r="AA397" t="str">
        <f t="shared" si="90"/>
        <v>Kassenfehler (Überbestand)</v>
      </c>
    </row>
    <row r="398" spans="1:27" x14ac:dyDescent="0.35">
      <c r="A398" s="32" t="s">
        <v>16</v>
      </c>
      <c r="B398" s="2" t="str">
        <f>VLOOKUP(A398,Stammdaten!$A$3:$B$7,2,FALSE)</f>
        <v>Filiale Ost</v>
      </c>
      <c r="C398" s="3" t="str" cm="1">
        <f t="array" ref="C398">INDEX(Stammdaten!$A$11:$A$25,INT((ROW()-5)/12)+1 - INT((ROW()-5)/180)*15)</f>
        <v>A003</v>
      </c>
      <c r="D398" s="2" t="str">
        <f>VLOOKUP(C398,Stammdaten!$A$11:$B$25,2,FALSE)</f>
        <v>Bio-Milch 1L</v>
      </c>
      <c r="E398" s="3" t="str">
        <f>VLOOKUP(C398,Stammdaten!$A$11:$C$25,3,FALSE)</f>
        <v>Milch</v>
      </c>
      <c r="F398" s="19">
        <f>VLOOKUP(C398,Stammdaten!$A$11:$D$25,4,FALSE)</f>
        <v>1.59</v>
      </c>
      <c r="G398" s="4">
        <f t="shared" si="78"/>
        <v>10</v>
      </c>
      <c r="H398" s="20" t="str">
        <f>VLOOKUP(G398,Stammdaten!$A$30:$B$41,2,FALSE)</f>
        <v>Oktober</v>
      </c>
      <c r="I398" s="4">
        <v>182</v>
      </c>
      <c r="J398" s="4">
        <v>177</v>
      </c>
      <c r="K398" s="4">
        <f t="shared" si="79"/>
        <v>-5</v>
      </c>
      <c r="L398" s="27">
        <f t="shared" si="80"/>
        <v>-2.7472527472527473</v>
      </c>
      <c r="M398" s="52" t="str">
        <f t="shared" si="81"/>
        <v>Schwund</v>
      </c>
      <c r="N398" s="28">
        <f t="shared" si="82"/>
        <v>7.95</v>
      </c>
      <c r="O398" s="5">
        <v>2</v>
      </c>
      <c r="P398" s="4">
        <v>2</v>
      </c>
      <c r="Q398" s="28">
        <f t="shared" si="83"/>
        <v>1.9875</v>
      </c>
      <c r="R398" s="50">
        <f t="shared" si="84"/>
        <v>2.3849999999999998</v>
      </c>
      <c r="S398" s="2" t="str">
        <f t="shared" si="85"/>
        <v>Normal</v>
      </c>
      <c r="T398" s="4">
        <v>0</v>
      </c>
      <c r="U398" s="4" t="str">
        <f t="shared" si="86"/>
        <v>Ja - 20% Reduzierung</v>
      </c>
      <c r="V398" s="4">
        <f t="shared" si="87"/>
        <v>20</v>
      </c>
      <c r="W398" s="19">
        <f t="shared" si="88"/>
        <v>1.27</v>
      </c>
      <c r="X398" s="5">
        <v>20</v>
      </c>
      <c r="Y398" s="28">
        <f t="shared" si="89"/>
        <v>6.36</v>
      </c>
      <c r="Z398" s="31" t="s">
        <v>173</v>
      </c>
      <c r="AA398" t="str">
        <f t="shared" si="90"/>
        <v>Prozessfehler</v>
      </c>
    </row>
    <row r="399" spans="1:27" x14ac:dyDescent="0.35">
      <c r="A399" s="32" t="s">
        <v>16</v>
      </c>
      <c r="B399" s="2" t="str">
        <f>VLOOKUP(A399,Stammdaten!$A$3:$B$7,2,FALSE)</f>
        <v>Filiale Ost</v>
      </c>
      <c r="C399" s="3" t="str" cm="1">
        <f t="array" ref="C399">INDEX(Stammdaten!$A$11:$A$25,INT((ROW()-5)/12)+1 - INT((ROW()-5)/180)*15)</f>
        <v>A003</v>
      </c>
      <c r="D399" s="2" t="str">
        <f>VLOOKUP(C399,Stammdaten!$A$11:$B$25,2,FALSE)</f>
        <v>Bio-Milch 1L</v>
      </c>
      <c r="E399" s="3" t="str">
        <f>VLOOKUP(C399,Stammdaten!$A$11:$C$25,3,FALSE)</f>
        <v>Milch</v>
      </c>
      <c r="F399" s="19">
        <f>VLOOKUP(C399,Stammdaten!$A$11:$D$25,4,FALSE)</f>
        <v>1.59</v>
      </c>
      <c r="G399" s="4">
        <f t="shared" si="78"/>
        <v>11</v>
      </c>
      <c r="H399" s="20" t="str">
        <f>VLOOKUP(G399,Stammdaten!$A$30:$B$41,2,FALSE)</f>
        <v>November</v>
      </c>
      <c r="I399" s="4">
        <v>204</v>
      </c>
      <c r="J399" s="4">
        <v>193</v>
      </c>
      <c r="K399" s="4">
        <f t="shared" si="79"/>
        <v>-11</v>
      </c>
      <c r="L399" s="27">
        <f t="shared" si="80"/>
        <v>-5.3921568627450984</v>
      </c>
      <c r="M399" s="52" t="str">
        <f t="shared" si="81"/>
        <v>Schwund</v>
      </c>
      <c r="N399" s="28">
        <f t="shared" si="82"/>
        <v>17.490000000000002</v>
      </c>
      <c r="O399" s="5">
        <v>5</v>
      </c>
      <c r="P399" s="4">
        <v>1</v>
      </c>
      <c r="Q399" s="28">
        <f t="shared" si="83"/>
        <v>4.3725000000000005</v>
      </c>
      <c r="R399" s="50">
        <f t="shared" si="84"/>
        <v>5.2470000000000008</v>
      </c>
      <c r="S399" s="2" t="str">
        <f t="shared" si="85"/>
        <v>Black Friday</v>
      </c>
      <c r="T399" s="4">
        <v>0</v>
      </c>
      <c r="U399" s="4" t="str">
        <f t="shared" si="86"/>
        <v>Nein</v>
      </c>
      <c r="V399" s="4">
        <f t="shared" si="87"/>
        <v>0</v>
      </c>
      <c r="W399" s="19">
        <f t="shared" si="88"/>
        <v>1.59</v>
      </c>
      <c r="X399" s="5">
        <v>0</v>
      </c>
      <c r="Y399" s="28">
        <f t="shared" si="89"/>
        <v>0</v>
      </c>
      <c r="Z399" s="31" t="s">
        <v>172</v>
      </c>
      <c r="AA399" t="str">
        <f t="shared" si="90"/>
        <v>Buchungsfehler Wareneingang</v>
      </c>
    </row>
    <row r="400" spans="1:27" x14ac:dyDescent="0.35">
      <c r="A400" s="32" t="s">
        <v>16</v>
      </c>
      <c r="B400" s="2" t="str">
        <f>VLOOKUP(A400,Stammdaten!$A$3:$B$7,2,FALSE)</f>
        <v>Filiale Ost</v>
      </c>
      <c r="C400" s="3" t="str" cm="1">
        <f t="array" ref="C400">INDEX(Stammdaten!$A$11:$A$25,INT((ROW()-5)/12)+1 - INT((ROW()-5)/180)*15)</f>
        <v>A003</v>
      </c>
      <c r="D400" s="2" t="str">
        <f>VLOOKUP(C400,Stammdaten!$A$11:$B$25,2,FALSE)</f>
        <v>Bio-Milch 1L</v>
      </c>
      <c r="E400" s="3" t="str">
        <f>VLOOKUP(C400,Stammdaten!$A$11:$C$25,3,FALSE)</f>
        <v>Milch</v>
      </c>
      <c r="F400" s="19">
        <f>VLOOKUP(C400,Stammdaten!$A$11:$D$25,4,FALSE)</f>
        <v>1.59</v>
      </c>
      <c r="G400" s="4">
        <f t="shared" si="78"/>
        <v>12</v>
      </c>
      <c r="H400" s="20" t="str">
        <f>VLOOKUP(G400,Stammdaten!$A$30:$B$41,2,FALSE)</f>
        <v>Dezember</v>
      </c>
      <c r="I400" s="4">
        <v>244</v>
      </c>
      <c r="J400" s="4">
        <v>244</v>
      </c>
      <c r="K400" s="4">
        <f t="shared" si="79"/>
        <v>0</v>
      </c>
      <c r="L400" s="27">
        <f t="shared" si="80"/>
        <v>0</v>
      </c>
      <c r="M400" s="52" t="str">
        <f t="shared" si="81"/>
        <v>Perfekt</v>
      </c>
      <c r="N400" s="28">
        <f t="shared" si="82"/>
        <v>0</v>
      </c>
      <c r="O400" s="5">
        <v>3</v>
      </c>
      <c r="P400" s="4">
        <v>0</v>
      </c>
      <c r="Q400" s="28">
        <f t="shared" si="83"/>
        <v>0</v>
      </c>
      <c r="R400" s="50">
        <f t="shared" si="84"/>
        <v>0</v>
      </c>
      <c r="S400" s="2" t="str">
        <f t="shared" si="85"/>
        <v>Weihnachten/Silvester</v>
      </c>
      <c r="T400" s="4">
        <v>0</v>
      </c>
      <c r="U400" s="4" t="str">
        <f t="shared" si="86"/>
        <v>Ja - 20% Reduzierung</v>
      </c>
      <c r="V400" s="4">
        <f t="shared" si="87"/>
        <v>20</v>
      </c>
      <c r="W400" s="19">
        <f t="shared" si="88"/>
        <v>1.27</v>
      </c>
      <c r="X400" s="5">
        <v>34</v>
      </c>
      <c r="Y400" s="28">
        <f t="shared" si="89"/>
        <v>10.81</v>
      </c>
      <c r="Z400" s="31" t="s">
        <v>173</v>
      </c>
      <c r="AA400" t="str">
        <f t="shared" si="90"/>
        <v>Normal/Gering</v>
      </c>
    </row>
    <row r="401" spans="1:27" x14ac:dyDescent="0.35">
      <c r="A401" s="32" t="s">
        <v>16</v>
      </c>
      <c r="B401" s="2" t="str">
        <f>VLOOKUP(A401,Stammdaten!$A$3:$B$7,2,FALSE)</f>
        <v>Filiale Ost</v>
      </c>
      <c r="C401" s="3" t="str" cm="1">
        <f t="array" ref="C401">INDEX(Stammdaten!$A$11:$A$25,INT((ROW()-5)/12)+1 - INT((ROW()-5)/180)*15)</f>
        <v>A004</v>
      </c>
      <c r="D401" s="2" t="str">
        <f>VLOOKUP(C401,Stammdaten!$A$11:$B$25,2,FALSE)</f>
        <v>Butter 250g</v>
      </c>
      <c r="E401" s="3" t="str">
        <f>VLOOKUP(C401,Stammdaten!$A$11:$C$25,3,FALSE)</f>
        <v>Butter</v>
      </c>
      <c r="F401" s="19">
        <f>VLOOKUP(C401,Stammdaten!$A$11:$D$25,4,FALSE)</f>
        <v>2.29</v>
      </c>
      <c r="G401" s="4">
        <f t="shared" si="78"/>
        <v>1</v>
      </c>
      <c r="H401" s="20" t="str">
        <f>VLOOKUP(G401,Stammdaten!$A$30:$B$41,2,FALSE)</f>
        <v>Januar</v>
      </c>
      <c r="I401" s="4">
        <v>327</v>
      </c>
      <c r="J401" s="4">
        <v>333</v>
      </c>
      <c r="K401" s="4">
        <f t="shared" si="79"/>
        <v>6</v>
      </c>
      <c r="L401" s="27">
        <f t="shared" si="80"/>
        <v>1.834862385321101</v>
      </c>
      <c r="M401" s="52" t="str">
        <f t="shared" si="81"/>
        <v>Überbestand</v>
      </c>
      <c r="N401" s="28">
        <f t="shared" si="82"/>
        <v>13.74</v>
      </c>
      <c r="O401" s="5">
        <v>19</v>
      </c>
      <c r="P401" s="4">
        <v>2</v>
      </c>
      <c r="Q401" s="28">
        <f t="shared" si="83"/>
        <v>0</v>
      </c>
      <c r="R401" s="50">
        <f t="shared" si="84"/>
        <v>0</v>
      </c>
      <c r="S401" s="2" t="str">
        <f t="shared" si="85"/>
        <v>Normal</v>
      </c>
      <c r="T401" s="4">
        <v>6</v>
      </c>
      <c r="U401" s="4" t="str">
        <f t="shared" si="86"/>
        <v>Nein</v>
      </c>
      <c r="V401" s="4">
        <f t="shared" si="87"/>
        <v>0</v>
      </c>
      <c r="W401" s="19">
        <f t="shared" si="88"/>
        <v>2.29</v>
      </c>
      <c r="X401" s="5">
        <v>0</v>
      </c>
      <c r="Y401" s="28">
        <f t="shared" si="89"/>
        <v>0</v>
      </c>
      <c r="Z401" s="31" t="s">
        <v>172</v>
      </c>
      <c r="AA401" t="str">
        <f t="shared" si="90"/>
        <v>Kassenfehler (Überbestand)</v>
      </c>
    </row>
    <row r="402" spans="1:27" x14ac:dyDescent="0.35">
      <c r="A402" s="32" t="s">
        <v>16</v>
      </c>
      <c r="B402" s="2" t="str">
        <f>VLOOKUP(A402,Stammdaten!$A$3:$B$7,2,FALSE)</f>
        <v>Filiale Ost</v>
      </c>
      <c r="C402" s="3" t="str" cm="1">
        <f t="array" ref="C402">INDEX(Stammdaten!$A$11:$A$25,INT((ROW()-5)/12)+1 - INT((ROW()-5)/180)*15)</f>
        <v>A004</v>
      </c>
      <c r="D402" s="2" t="str">
        <f>VLOOKUP(C402,Stammdaten!$A$11:$B$25,2,FALSE)</f>
        <v>Butter 250g</v>
      </c>
      <c r="E402" s="3" t="str">
        <f>VLOOKUP(C402,Stammdaten!$A$11:$C$25,3,FALSE)</f>
        <v>Butter</v>
      </c>
      <c r="F402" s="19">
        <f>VLOOKUP(C402,Stammdaten!$A$11:$D$25,4,FALSE)</f>
        <v>2.29</v>
      </c>
      <c r="G402" s="4">
        <f t="shared" si="78"/>
        <v>2</v>
      </c>
      <c r="H402" s="20" t="str">
        <f>VLOOKUP(G402,Stammdaten!$A$30:$B$41,2,FALSE)</f>
        <v>Februar</v>
      </c>
      <c r="I402" s="4">
        <v>294</v>
      </c>
      <c r="J402" s="4">
        <v>291</v>
      </c>
      <c r="K402" s="4">
        <f t="shared" si="79"/>
        <v>-3</v>
      </c>
      <c r="L402" s="27">
        <f t="shared" si="80"/>
        <v>-1.0204081632653061</v>
      </c>
      <c r="M402" s="52" t="str">
        <f t="shared" si="81"/>
        <v>Schwund</v>
      </c>
      <c r="N402" s="28">
        <f t="shared" si="82"/>
        <v>6.87</v>
      </c>
      <c r="O402" s="5">
        <v>24</v>
      </c>
      <c r="P402" s="4">
        <v>8</v>
      </c>
      <c r="Q402" s="28">
        <f t="shared" si="83"/>
        <v>1.7175</v>
      </c>
      <c r="R402" s="50">
        <f t="shared" si="84"/>
        <v>2.0609999999999999</v>
      </c>
      <c r="S402" s="2" t="str">
        <f t="shared" si="85"/>
        <v>Karneval</v>
      </c>
      <c r="T402" s="4">
        <v>0</v>
      </c>
      <c r="U402" s="4" t="str">
        <f t="shared" si="86"/>
        <v>Nein</v>
      </c>
      <c r="V402" s="4">
        <f t="shared" si="87"/>
        <v>0</v>
      </c>
      <c r="W402" s="19">
        <f t="shared" si="88"/>
        <v>2.29</v>
      </c>
      <c r="X402" s="5">
        <v>0</v>
      </c>
      <c r="Y402" s="28">
        <f t="shared" si="89"/>
        <v>0</v>
      </c>
      <c r="Z402" s="31" t="s">
        <v>172</v>
      </c>
      <c r="AA402" t="str">
        <f t="shared" si="90"/>
        <v>Normal/Gering</v>
      </c>
    </row>
    <row r="403" spans="1:27" x14ac:dyDescent="0.35">
      <c r="A403" s="32" t="s">
        <v>16</v>
      </c>
      <c r="B403" s="2" t="str">
        <f>VLOOKUP(A403,Stammdaten!$A$3:$B$7,2,FALSE)</f>
        <v>Filiale Ost</v>
      </c>
      <c r="C403" s="3" t="str" cm="1">
        <f t="array" ref="C403">INDEX(Stammdaten!$A$11:$A$25,INT((ROW()-5)/12)+1 - INT((ROW()-5)/180)*15)</f>
        <v>A004</v>
      </c>
      <c r="D403" s="2" t="str">
        <f>VLOOKUP(C403,Stammdaten!$A$11:$B$25,2,FALSE)</f>
        <v>Butter 250g</v>
      </c>
      <c r="E403" s="3" t="str">
        <f>VLOOKUP(C403,Stammdaten!$A$11:$C$25,3,FALSE)</f>
        <v>Butter</v>
      </c>
      <c r="F403" s="19">
        <f>VLOOKUP(C403,Stammdaten!$A$11:$D$25,4,FALSE)</f>
        <v>2.29</v>
      </c>
      <c r="G403" s="4">
        <f t="shared" si="78"/>
        <v>3</v>
      </c>
      <c r="H403" s="20" t="str">
        <f>VLOOKUP(G403,Stammdaten!$A$30:$B$41,2,FALSE)</f>
        <v>März</v>
      </c>
      <c r="I403" s="4">
        <v>359</v>
      </c>
      <c r="J403" s="4">
        <v>355</v>
      </c>
      <c r="K403" s="4">
        <f t="shared" si="79"/>
        <v>-4</v>
      </c>
      <c r="L403" s="27">
        <f t="shared" si="80"/>
        <v>-1.1142061281337048</v>
      </c>
      <c r="M403" s="52" t="str">
        <f t="shared" si="81"/>
        <v>Schwund</v>
      </c>
      <c r="N403" s="28">
        <f t="shared" si="82"/>
        <v>9.16</v>
      </c>
      <c r="O403" s="5">
        <v>18</v>
      </c>
      <c r="P403" s="4">
        <v>0</v>
      </c>
      <c r="Q403" s="28">
        <f t="shared" si="83"/>
        <v>2.29</v>
      </c>
      <c r="R403" s="50">
        <f t="shared" si="84"/>
        <v>2.7479999999999998</v>
      </c>
      <c r="S403" s="2" t="str">
        <f t="shared" si="85"/>
        <v>Normal</v>
      </c>
      <c r="T403" s="4">
        <v>0</v>
      </c>
      <c r="U403" s="4" t="str">
        <f t="shared" si="86"/>
        <v>Nein</v>
      </c>
      <c r="V403" s="4">
        <f t="shared" si="87"/>
        <v>0</v>
      </c>
      <c r="W403" s="19">
        <f t="shared" si="88"/>
        <v>2.29</v>
      </c>
      <c r="X403" s="5">
        <v>0</v>
      </c>
      <c r="Y403" s="28">
        <f t="shared" si="89"/>
        <v>0</v>
      </c>
      <c r="Z403" s="31" t="s">
        <v>172</v>
      </c>
      <c r="AA403" t="str">
        <f t="shared" si="90"/>
        <v>Normal/Gering</v>
      </c>
    </row>
    <row r="404" spans="1:27" x14ac:dyDescent="0.35">
      <c r="A404" s="32" t="s">
        <v>16</v>
      </c>
      <c r="B404" s="2" t="str">
        <f>VLOOKUP(A404,Stammdaten!$A$3:$B$7,2,FALSE)</f>
        <v>Filiale Ost</v>
      </c>
      <c r="C404" s="3" t="str" cm="1">
        <f t="array" ref="C404">INDEX(Stammdaten!$A$11:$A$25,INT((ROW()-5)/12)+1 - INT((ROW()-5)/180)*15)</f>
        <v>A004</v>
      </c>
      <c r="D404" s="2" t="str">
        <f>VLOOKUP(C404,Stammdaten!$A$11:$B$25,2,FALSE)</f>
        <v>Butter 250g</v>
      </c>
      <c r="E404" s="3" t="str">
        <f>VLOOKUP(C404,Stammdaten!$A$11:$C$25,3,FALSE)</f>
        <v>Butter</v>
      </c>
      <c r="F404" s="19">
        <f>VLOOKUP(C404,Stammdaten!$A$11:$D$25,4,FALSE)</f>
        <v>2.29</v>
      </c>
      <c r="G404" s="4">
        <f t="shared" si="78"/>
        <v>4</v>
      </c>
      <c r="H404" s="20" t="str">
        <f>VLOOKUP(G404,Stammdaten!$A$30:$B$41,2,FALSE)</f>
        <v>April</v>
      </c>
      <c r="I404" s="4">
        <v>437</v>
      </c>
      <c r="J404" s="4">
        <v>432</v>
      </c>
      <c r="K404" s="4">
        <f t="shared" si="79"/>
        <v>-5</v>
      </c>
      <c r="L404" s="27">
        <f t="shared" si="80"/>
        <v>-1.1441647597254003</v>
      </c>
      <c r="M404" s="52" t="str">
        <f t="shared" si="81"/>
        <v>Schwund</v>
      </c>
      <c r="N404" s="28">
        <f t="shared" si="82"/>
        <v>11.45</v>
      </c>
      <c r="O404" s="5">
        <v>16</v>
      </c>
      <c r="P404" s="4">
        <v>0</v>
      </c>
      <c r="Q404" s="28">
        <f t="shared" si="83"/>
        <v>2.8624999999999998</v>
      </c>
      <c r="R404" s="50">
        <f t="shared" si="84"/>
        <v>3.4349999999999996</v>
      </c>
      <c r="S404" s="2" t="str">
        <f t="shared" si="85"/>
        <v>Ostern</v>
      </c>
      <c r="T404" s="4">
        <v>0</v>
      </c>
      <c r="U404" s="4" t="str">
        <f t="shared" si="86"/>
        <v>Nein</v>
      </c>
      <c r="V404" s="4">
        <f t="shared" si="87"/>
        <v>0</v>
      </c>
      <c r="W404" s="19">
        <f t="shared" si="88"/>
        <v>2.29</v>
      </c>
      <c r="X404" s="5">
        <v>0</v>
      </c>
      <c r="Y404" s="28">
        <f t="shared" si="89"/>
        <v>0</v>
      </c>
      <c r="Z404" s="31" t="s">
        <v>172</v>
      </c>
      <c r="AA404" t="str">
        <f t="shared" si="90"/>
        <v>Normal/Gering</v>
      </c>
    </row>
    <row r="405" spans="1:27" x14ac:dyDescent="0.35">
      <c r="A405" s="32" t="s">
        <v>16</v>
      </c>
      <c r="B405" s="2" t="str">
        <f>VLOOKUP(A405,Stammdaten!$A$3:$B$7,2,FALSE)</f>
        <v>Filiale Ost</v>
      </c>
      <c r="C405" s="3" t="str" cm="1">
        <f t="array" ref="C405">INDEX(Stammdaten!$A$11:$A$25,INT((ROW()-5)/12)+1 - INT((ROW()-5)/180)*15)</f>
        <v>A004</v>
      </c>
      <c r="D405" s="2" t="str">
        <f>VLOOKUP(C405,Stammdaten!$A$11:$B$25,2,FALSE)</f>
        <v>Butter 250g</v>
      </c>
      <c r="E405" s="3" t="str">
        <f>VLOOKUP(C405,Stammdaten!$A$11:$C$25,3,FALSE)</f>
        <v>Butter</v>
      </c>
      <c r="F405" s="19">
        <f>VLOOKUP(C405,Stammdaten!$A$11:$D$25,4,FALSE)</f>
        <v>2.29</v>
      </c>
      <c r="G405" s="4">
        <f t="shared" si="78"/>
        <v>5</v>
      </c>
      <c r="H405" s="20" t="str">
        <f>VLOOKUP(G405,Stammdaten!$A$30:$B$41,2,FALSE)</f>
        <v>Mai</v>
      </c>
      <c r="I405" s="4">
        <v>367</v>
      </c>
      <c r="J405" s="4">
        <v>363</v>
      </c>
      <c r="K405" s="4">
        <f t="shared" si="79"/>
        <v>-4</v>
      </c>
      <c r="L405" s="27">
        <f t="shared" si="80"/>
        <v>-1.0899182561307901</v>
      </c>
      <c r="M405" s="52" t="str">
        <f t="shared" si="81"/>
        <v>Schwund</v>
      </c>
      <c r="N405" s="28">
        <f t="shared" si="82"/>
        <v>9.16</v>
      </c>
      <c r="O405" s="5">
        <v>27</v>
      </c>
      <c r="P405" s="4">
        <v>0</v>
      </c>
      <c r="Q405" s="28">
        <f t="shared" si="83"/>
        <v>2.29</v>
      </c>
      <c r="R405" s="50">
        <f t="shared" si="84"/>
        <v>2.7479999999999998</v>
      </c>
      <c r="S405" s="2" t="str">
        <f t="shared" si="85"/>
        <v>Normal</v>
      </c>
      <c r="T405" s="4">
        <v>0</v>
      </c>
      <c r="U405" s="4" t="str">
        <f t="shared" si="86"/>
        <v>Nein</v>
      </c>
      <c r="V405" s="4">
        <f t="shared" si="87"/>
        <v>0</v>
      </c>
      <c r="W405" s="19">
        <f t="shared" si="88"/>
        <v>2.29</v>
      </c>
      <c r="X405" s="5">
        <v>0</v>
      </c>
      <c r="Y405" s="28">
        <f t="shared" si="89"/>
        <v>0</v>
      </c>
      <c r="Z405" s="31" t="s">
        <v>172</v>
      </c>
      <c r="AA405" t="str">
        <f t="shared" si="90"/>
        <v>Normal/Gering</v>
      </c>
    </row>
    <row r="406" spans="1:27" x14ac:dyDescent="0.35">
      <c r="A406" s="32" t="s">
        <v>16</v>
      </c>
      <c r="B406" s="2" t="str">
        <f>VLOOKUP(A406,Stammdaten!$A$3:$B$7,2,FALSE)</f>
        <v>Filiale Ost</v>
      </c>
      <c r="C406" s="3" t="str" cm="1">
        <f t="array" ref="C406">INDEX(Stammdaten!$A$11:$A$25,INT((ROW()-5)/12)+1 - INT((ROW()-5)/180)*15)</f>
        <v>A004</v>
      </c>
      <c r="D406" s="2" t="str">
        <f>VLOOKUP(C406,Stammdaten!$A$11:$B$25,2,FALSE)</f>
        <v>Butter 250g</v>
      </c>
      <c r="E406" s="3" t="str">
        <f>VLOOKUP(C406,Stammdaten!$A$11:$C$25,3,FALSE)</f>
        <v>Butter</v>
      </c>
      <c r="F406" s="19">
        <f>VLOOKUP(C406,Stammdaten!$A$11:$D$25,4,FALSE)</f>
        <v>2.29</v>
      </c>
      <c r="G406" s="4">
        <f t="shared" si="78"/>
        <v>6</v>
      </c>
      <c r="H406" s="20" t="str">
        <f>VLOOKUP(G406,Stammdaten!$A$30:$B$41,2,FALSE)</f>
        <v>Juni</v>
      </c>
      <c r="I406" s="4">
        <v>388</v>
      </c>
      <c r="J406" s="4">
        <v>380</v>
      </c>
      <c r="K406" s="4">
        <f t="shared" si="79"/>
        <v>-8</v>
      </c>
      <c r="L406" s="27">
        <f t="shared" si="80"/>
        <v>-2.0618556701030926</v>
      </c>
      <c r="M406" s="52" t="str">
        <f t="shared" si="81"/>
        <v>Schwund</v>
      </c>
      <c r="N406" s="28">
        <f t="shared" si="82"/>
        <v>18.32</v>
      </c>
      <c r="O406" s="5">
        <v>2</v>
      </c>
      <c r="P406" s="4">
        <v>8</v>
      </c>
      <c r="Q406" s="28">
        <f t="shared" si="83"/>
        <v>4.58</v>
      </c>
      <c r="R406" s="50">
        <f t="shared" si="84"/>
        <v>5.4959999999999996</v>
      </c>
      <c r="S406" s="2" t="str">
        <f t="shared" si="85"/>
        <v>Normal</v>
      </c>
      <c r="T406" s="4">
        <v>0</v>
      </c>
      <c r="U406" s="4" t="str">
        <f t="shared" si="86"/>
        <v>Ja - 20% Reduzierung</v>
      </c>
      <c r="V406" s="4">
        <f t="shared" si="87"/>
        <v>20</v>
      </c>
      <c r="W406" s="19">
        <f t="shared" si="88"/>
        <v>1.83</v>
      </c>
      <c r="X406" s="5">
        <v>58</v>
      </c>
      <c r="Y406" s="28">
        <f t="shared" si="89"/>
        <v>26.56</v>
      </c>
      <c r="Z406" s="31" t="s">
        <v>173</v>
      </c>
      <c r="AA406" t="str">
        <f t="shared" si="90"/>
        <v>Prozessfehler</v>
      </c>
    </row>
    <row r="407" spans="1:27" x14ac:dyDescent="0.35">
      <c r="A407" s="32" t="s">
        <v>16</v>
      </c>
      <c r="B407" s="2" t="str">
        <f>VLOOKUP(A407,Stammdaten!$A$3:$B$7,2,FALSE)</f>
        <v>Filiale Ost</v>
      </c>
      <c r="C407" s="3" t="str" cm="1">
        <f t="array" ref="C407">INDEX(Stammdaten!$A$11:$A$25,INT((ROW()-5)/12)+1 - INT((ROW()-5)/180)*15)</f>
        <v>A004</v>
      </c>
      <c r="D407" s="2" t="str">
        <f>VLOOKUP(C407,Stammdaten!$A$11:$B$25,2,FALSE)</f>
        <v>Butter 250g</v>
      </c>
      <c r="E407" s="3" t="str">
        <f>VLOOKUP(C407,Stammdaten!$A$11:$C$25,3,FALSE)</f>
        <v>Butter</v>
      </c>
      <c r="F407" s="19">
        <f>VLOOKUP(C407,Stammdaten!$A$11:$D$25,4,FALSE)</f>
        <v>2.29</v>
      </c>
      <c r="G407" s="4">
        <f t="shared" si="78"/>
        <v>7</v>
      </c>
      <c r="H407" s="20" t="str">
        <f>VLOOKUP(G407,Stammdaten!$A$30:$B$41,2,FALSE)</f>
        <v>Juli</v>
      </c>
      <c r="I407" s="4">
        <v>410</v>
      </c>
      <c r="J407" s="4">
        <v>402</v>
      </c>
      <c r="K407" s="4">
        <f t="shared" si="79"/>
        <v>-8</v>
      </c>
      <c r="L407" s="27">
        <f t="shared" si="80"/>
        <v>-1.9512195121951219</v>
      </c>
      <c r="M407" s="52" t="str">
        <f t="shared" si="81"/>
        <v>Schwund</v>
      </c>
      <c r="N407" s="28">
        <f t="shared" si="82"/>
        <v>18.32</v>
      </c>
      <c r="O407" s="5">
        <v>14</v>
      </c>
      <c r="P407" s="4">
        <v>2</v>
      </c>
      <c r="Q407" s="28">
        <f t="shared" si="83"/>
        <v>4.58</v>
      </c>
      <c r="R407" s="50">
        <f t="shared" si="84"/>
        <v>5.4959999999999996</v>
      </c>
      <c r="S407" s="2" t="str">
        <f t="shared" si="85"/>
        <v>Normal</v>
      </c>
      <c r="T407" s="4">
        <v>0</v>
      </c>
      <c r="U407" s="4" t="str">
        <f t="shared" si="86"/>
        <v>Nein</v>
      </c>
      <c r="V407" s="4">
        <f t="shared" si="87"/>
        <v>0</v>
      </c>
      <c r="W407" s="19">
        <f t="shared" si="88"/>
        <v>2.29</v>
      </c>
      <c r="X407" s="5">
        <v>0</v>
      </c>
      <c r="Y407" s="28">
        <f t="shared" si="89"/>
        <v>0</v>
      </c>
      <c r="Z407" s="31" t="s">
        <v>172</v>
      </c>
      <c r="AA407" t="str">
        <f t="shared" si="90"/>
        <v>Normal/Gering</v>
      </c>
    </row>
    <row r="408" spans="1:27" x14ac:dyDescent="0.35">
      <c r="A408" s="32" t="s">
        <v>16</v>
      </c>
      <c r="B408" s="2" t="str">
        <f>VLOOKUP(A408,Stammdaten!$A$3:$B$7,2,FALSE)</f>
        <v>Filiale Ost</v>
      </c>
      <c r="C408" s="3" t="str" cm="1">
        <f t="array" ref="C408">INDEX(Stammdaten!$A$11:$A$25,INT((ROW()-5)/12)+1 - INT((ROW()-5)/180)*15)</f>
        <v>A004</v>
      </c>
      <c r="D408" s="2" t="str">
        <f>VLOOKUP(C408,Stammdaten!$A$11:$B$25,2,FALSE)</f>
        <v>Butter 250g</v>
      </c>
      <c r="E408" s="3" t="str">
        <f>VLOOKUP(C408,Stammdaten!$A$11:$C$25,3,FALSE)</f>
        <v>Butter</v>
      </c>
      <c r="F408" s="19">
        <f>VLOOKUP(C408,Stammdaten!$A$11:$D$25,4,FALSE)</f>
        <v>2.29</v>
      </c>
      <c r="G408" s="4">
        <f t="shared" si="78"/>
        <v>8</v>
      </c>
      <c r="H408" s="20" t="str">
        <f>VLOOKUP(G408,Stammdaten!$A$30:$B$41,2,FALSE)</f>
        <v>August</v>
      </c>
      <c r="I408" s="4">
        <v>418</v>
      </c>
      <c r="J408" s="4">
        <v>418</v>
      </c>
      <c r="K408" s="4">
        <f t="shared" si="79"/>
        <v>0</v>
      </c>
      <c r="L408" s="27">
        <f t="shared" si="80"/>
        <v>0</v>
      </c>
      <c r="M408" s="52" t="str">
        <f t="shared" si="81"/>
        <v>Perfekt</v>
      </c>
      <c r="N408" s="28">
        <f t="shared" si="82"/>
        <v>0</v>
      </c>
      <c r="O408" s="5">
        <v>16</v>
      </c>
      <c r="P408" s="4">
        <v>6</v>
      </c>
      <c r="Q408" s="28">
        <f t="shared" si="83"/>
        <v>0</v>
      </c>
      <c r="R408" s="50">
        <f t="shared" si="84"/>
        <v>0</v>
      </c>
      <c r="S408" s="2" t="str">
        <f t="shared" si="85"/>
        <v>Normal</v>
      </c>
      <c r="T408" s="4">
        <v>0</v>
      </c>
      <c r="U408" s="4" t="str">
        <f t="shared" si="86"/>
        <v>Nein</v>
      </c>
      <c r="V408" s="4">
        <f t="shared" si="87"/>
        <v>0</v>
      </c>
      <c r="W408" s="19">
        <f t="shared" si="88"/>
        <v>2.29</v>
      </c>
      <c r="X408" s="5">
        <v>0</v>
      </c>
      <c r="Y408" s="28">
        <f t="shared" si="89"/>
        <v>0</v>
      </c>
      <c r="Z408" s="31" t="s">
        <v>172</v>
      </c>
      <c r="AA408" t="str">
        <f t="shared" si="90"/>
        <v>Normal/Gering</v>
      </c>
    </row>
    <row r="409" spans="1:27" x14ac:dyDescent="0.35">
      <c r="A409" s="32" t="s">
        <v>16</v>
      </c>
      <c r="B409" s="2" t="str">
        <f>VLOOKUP(A409,Stammdaten!$A$3:$B$7,2,FALSE)</f>
        <v>Filiale Ost</v>
      </c>
      <c r="C409" s="3" t="str" cm="1">
        <f t="array" ref="C409">INDEX(Stammdaten!$A$11:$A$25,INT((ROW()-5)/12)+1 - INT((ROW()-5)/180)*15)</f>
        <v>A004</v>
      </c>
      <c r="D409" s="2" t="str">
        <f>VLOOKUP(C409,Stammdaten!$A$11:$B$25,2,FALSE)</f>
        <v>Butter 250g</v>
      </c>
      <c r="E409" s="3" t="str">
        <f>VLOOKUP(C409,Stammdaten!$A$11:$C$25,3,FALSE)</f>
        <v>Butter</v>
      </c>
      <c r="F409" s="19">
        <f>VLOOKUP(C409,Stammdaten!$A$11:$D$25,4,FALSE)</f>
        <v>2.29</v>
      </c>
      <c r="G409" s="4">
        <f t="shared" si="78"/>
        <v>9</v>
      </c>
      <c r="H409" s="20" t="str">
        <f>VLOOKUP(G409,Stammdaten!$A$30:$B$41,2,FALSE)</f>
        <v>September</v>
      </c>
      <c r="I409" s="4">
        <v>339</v>
      </c>
      <c r="J409" s="4">
        <v>334</v>
      </c>
      <c r="K409" s="4">
        <f t="shared" si="79"/>
        <v>-5</v>
      </c>
      <c r="L409" s="27">
        <f t="shared" si="80"/>
        <v>-1.4749262536873156</v>
      </c>
      <c r="M409" s="52" t="str">
        <f t="shared" si="81"/>
        <v>Schwund</v>
      </c>
      <c r="N409" s="28">
        <f t="shared" si="82"/>
        <v>11.45</v>
      </c>
      <c r="O409" s="5">
        <v>8</v>
      </c>
      <c r="P409" s="4">
        <v>9</v>
      </c>
      <c r="Q409" s="28">
        <f t="shared" si="83"/>
        <v>2.8624999999999998</v>
      </c>
      <c r="R409" s="50">
        <f t="shared" si="84"/>
        <v>3.4349999999999996</v>
      </c>
      <c r="S409" s="2" t="str">
        <f t="shared" si="85"/>
        <v>Normal</v>
      </c>
      <c r="T409" s="4">
        <v>0</v>
      </c>
      <c r="U409" s="4" t="str">
        <f t="shared" si="86"/>
        <v>Nein</v>
      </c>
      <c r="V409" s="4">
        <f t="shared" si="87"/>
        <v>0</v>
      </c>
      <c r="W409" s="19">
        <f t="shared" si="88"/>
        <v>2.29</v>
      </c>
      <c r="X409" s="5">
        <v>0</v>
      </c>
      <c r="Y409" s="28">
        <f t="shared" si="89"/>
        <v>0</v>
      </c>
      <c r="Z409" s="31" t="s">
        <v>172</v>
      </c>
      <c r="AA409" t="str">
        <f t="shared" si="90"/>
        <v>Normal/Gering</v>
      </c>
    </row>
    <row r="410" spans="1:27" x14ac:dyDescent="0.35">
      <c r="A410" s="32" t="s">
        <v>16</v>
      </c>
      <c r="B410" s="2" t="str">
        <f>VLOOKUP(A410,Stammdaten!$A$3:$B$7,2,FALSE)</f>
        <v>Filiale Ost</v>
      </c>
      <c r="C410" s="3" t="str" cm="1">
        <f t="array" ref="C410">INDEX(Stammdaten!$A$11:$A$25,INT((ROW()-5)/12)+1 - INT((ROW()-5)/180)*15)</f>
        <v>A004</v>
      </c>
      <c r="D410" s="2" t="str">
        <f>VLOOKUP(C410,Stammdaten!$A$11:$B$25,2,FALSE)</f>
        <v>Butter 250g</v>
      </c>
      <c r="E410" s="3" t="str">
        <f>VLOOKUP(C410,Stammdaten!$A$11:$C$25,3,FALSE)</f>
        <v>Butter</v>
      </c>
      <c r="F410" s="19">
        <f>VLOOKUP(C410,Stammdaten!$A$11:$D$25,4,FALSE)</f>
        <v>2.29</v>
      </c>
      <c r="G410" s="4">
        <f t="shared" si="78"/>
        <v>10</v>
      </c>
      <c r="H410" s="20" t="str">
        <f>VLOOKUP(G410,Stammdaten!$A$30:$B$41,2,FALSE)</f>
        <v>Oktober</v>
      </c>
      <c r="I410" s="4">
        <v>367</v>
      </c>
      <c r="J410" s="4">
        <v>361</v>
      </c>
      <c r="K410" s="4">
        <f t="shared" si="79"/>
        <v>-6</v>
      </c>
      <c r="L410" s="27">
        <f t="shared" si="80"/>
        <v>-1.6348773841961852</v>
      </c>
      <c r="M410" s="52" t="str">
        <f t="shared" si="81"/>
        <v>Schwund</v>
      </c>
      <c r="N410" s="28">
        <f t="shared" si="82"/>
        <v>13.74</v>
      </c>
      <c r="O410" s="5">
        <v>25</v>
      </c>
      <c r="P410" s="4">
        <v>0</v>
      </c>
      <c r="Q410" s="28">
        <f t="shared" si="83"/>
        <v>3.4350000000000001</v>
      </c>
      <c r="R410" s="50">
        <f t="shared" si="84"/>
        <v>4.1219999999999999</v>
      </c>
      <c r="S410" s="2" t="str">
        <f t="shared" si="85"/>
        <v>Normal</v>
      </c>
      <c r="T410" s="4">
        <v>0</v>
      </c>
      <c r="U410" s="4" t="str">
        <f t="shared" si="86"/>
        <v>Nein</v>
      </c>
      <c r="V410" s="4">
        <f t="shared" si="87"/>
        <v>0</v>
      </c>
      <c r="W410" s="19">
        <f t="shared" si="88"/>
        <v>2.29</v>
      </c>
      <c r="X410" s="5">
        <v>0</v>
      </c>
      <c r="Y410" s="28">
        <f t="shared" si="89"/>
        <v>0</v>
      </c>
      <c r="Z410" s="31" t="s">
        <v>172</v>
      </c>
      <c r="AA410" t="str">
        <f t="shared" si="90"/>
        <v>Normal/Gering</v>
      </c>
    </row>
    <row r="411" spans="1:27" x14ac:dyDescent="0.35">
      <c r="A411" s="32" t="s">
        <v>16</v>
      </c>
      <c r="B411" s="2" t="str">
        <f>VLOOKUP(A411,Stammdaten!$A$3:$B$7,2,FALSE)</f>
        <v>Filiale Ost</v>
      </c>
      <c r="C411" s="3" t="str" cm="1">
        <f t="array" ref="C411">INDEX(Stammdaten!$A$11:$A$25,INT((ROW()-5)/12)+1 - INT((ROW()-5)/180)*15)</f>
        <v>A004</v>
      </c>
      <c r="D411" s="2" t="str">
        <f>VLOOKUP(C411,Stammdaten!$A$11:$B$25,2,FALSE)</f>
        <v>Butter 250g</v>
      </c>
      <c r="E411" s="3" t="str">
        <f>VLOOKUP(C411,Stammdaten!$A$11:$C$25,3,FALSE)</f>
        <v>Butter</v>
      </c>
      <c r="F411" s="19">
        <f>VLOOKUP(C411,Stammdaten!$A$11:$D$25,4,FALSE)</f>
        <v>2.29</v>
      </c>
      <c r="G411" s="4">
        <f t="shared" si="78"/>
        <v>11</v>
      </c>
      <c r="H411" s="20" t="str">
        <f>VLOOKUP(G411,Stammdaten!$A$30:$B$41,2,FALSE)</f>
        <v>November</v>
      </c>
      <c r="I411" s="4">
        <v>392</v>
      </c>
      <c r="J411" s="4">
        <v>384</v>
      </c>
      <c r="K411" s="4">
        <f t="shared" si="79"/>
        <v>-8</v>
      </c>
      <c r="L411" s="27">
        <f t="shared" si="80"/>
        <v>-2.0408163265306123</v>
      </c>
      <c r="M411" s="52" t="str">
        <f t="shared" si="81"/>
        <v>Schwund</v>
      </c>
      <c r="N411" s="28">
        <f t="shared" si="82"/>
        <v>18.32</v>
      </c>
      <c r="O411" s="5">
        <v>28</v>
      </c>
      <c r="P411" s="4">
        <v>0</v>
      </c>
      <c r="Q411" s="28">
        <f t="shared" si="83"/>
        <v>4.58</v>
      </c>
      <c r="R411" s="50">
        <f t="shared" si="84"/>
        <v>5.4959999999999996</v>
      </c>
      <c r="S411" s="2" t="str">
        <f t="shared" si="85"/>
        <v>Black Friday</v>
      </c>
      <c r="T411" s="4">
        <v>0</v>
      </c>
      <c r="U411" s="4" t="str">
        <f t="shared" si="86"/>
        <v>Nein</v>
      </c>
      <c r="V411" s="4">
        <f t="shared" si="87"/>
        <v>0</v>
      </c>
      <c r="W411" s="19">
        <f t="shared" si="88"/>
        <v>2.29</v>
      </c>
      <c r="X411" s="5">
        <v>0</v>
      </c>
      <c r="Y411" s="28">
        <f t="shared" si="89"/>
        <v>0</v>
      </c>
      <c r="Z411" s="31" t="s">
        <v>172</v>
      </c>
      <c r="AA411" t="str">
        <f t="shared" si="90"/>
        <v>Buchungsfehler Wareneingang</v>
      </c>
    </row>
    <row r="412" spans="1:27" x14ac:dyDescent="0.35">
      <c r="A412" s="32" t="s">
        <v>16</v>
      </c>
      <c r="B412" s="2" t="str">
        <f>VLOOKUP(A412,Stammdaten!$A$3:$B$7,2,FALSE)</f>
        <v>Filiale Ost</v>
      </c>
      <c r="C412" s="3" t="str" cm="1">
        <f t="array" ref="C412">INDEX(Stammdaten!$A$11:$A$25,INT((ROW()-5)/12)+1 - INT((ROW()-5)/180)*15)</f>
        <v>A004</v>
      </c>
      <c r="D412" s="2" t="str">
        <f>VLOOKUP(C412,Stammdaten!$A$11:$B$25,2,FALSE)</f>
        <v>Butter 250g</v>
      </c>
      <c r="E412" s="3" t="str">
        <f>VLOOKUP(C412,Stammdaten!$A$11:$C$25,3,FALSE)</f>
        <v>Butter</v>
      </c>
      <c r="F412" s="19">
        <f>VLOOKUP(C412,Stammdaten!$A$11:$D$25,4,FALSE)</f>
        <v>2.29</v>
      </c>
      <c r="G412" s="4">
        <f t="shared" si="78"/>
        <v>12</v>
      </c>
      <c r="H412" s="20" t="str">
        <f>VLOOKUP(G412,Stammdaten!$A$30:$B$41,2,FALSE)</f>
        <v>Dezember</v>
      </c>
      <c r="I412" s="4">
        <v>504</v>
      </c>
      <c r="J412" s="4">
        <v>494</v>
      </c>
      <c r="K412" s="4">
        <f t="shared" si="79"/>
        <v>-10</v>
      </c>
      <c r="L412" s="27">
        <f t="shared" si="80"/>
        <v>-1.984126984126984</v>
      </c>
      <c r="M412" s="52" t="str">
        <f t="shared" si="81"/>
        <v>Schwund</v>
      </c>
      <c r="N412" s="28">
        <f t="shared" si="82"/>
        <v>22.9</v>
      </c>
      <c r="O412" s="5">
        <v>27</v>
      </c>
      <c r="P412" s="4">
        <v>8</v>
      </c>
      <c r="Q412" s="28">
        <f t="shared" si="83"/>
        <v>5.7249999999999996</v>
      </c>
      <c r="R412" s="50">
        <f t="shared" si="84"/>
        <v>6.8699999999999992</v>
      </c>
      <c r="S412" s="2" t="str">
        <f t="shared" si="85"/>
        <v>Weihnachten/Silvester</v>
      </c>
      <c r="T412" s="4">
        <v>0</v>
      </c>
      <c r="U412" s="4" t="str">
        <f t="shared" si="86"/>
        <v>Nein</v>
      </c>
      <c r="V412" s="4">
        <f t="shared" si="87"/>
        <v>0</v>
      </c>
      <c r="W412" s="19">
        <f t="shared" si="88"/>
        <v>2.29</v>
      </c>
      <c r="X412" s="5">
        <v>0</v>
      </c>
      <c r="Y412" s="28">
        <f t="shared" si="89"/>
        <v>0</v>
      </c>
      <c r="Z412" s="31" t="s">
        <v>172</v>
      </c>
      <c r="AA412" t="str">
        <f t="shared" si="90"/>
        <v>Normal/Gering</v>
      </c>
    </row>
    <row r="413" spans="1:27" x14ac:dyDescent="0.35">
      <c r="A413" s="32" t="s">
        <v>16</v>
      </c>
      <c r="B413" s="2" t="str">
        <f>VLOOKUP(A413,Stammdaten!$A$3:$B$7,2,FALSE)</f>
        <v>Filiale Ost</v>
      </c>
      <c r="C413" s="3" t="str" cm="1">
        <f t="array" ref="C413">INDEX(Stammdaten!$A$11:$A$25,INT((ROW()-5)/12)+1 - INT((ROW()-5)/180)*15)</f>
        <v>A005</v>
      </c>
      <c r="D413" s="2" t="str">
        <f>VLOOKUP(C413,Stammdaten!$A$11:$B$25,2,FALSE)</f>
        <v>Gouda 200g</v>
      </c>
      <c r="E413" s="3" t="str">
        <f>VLOOKUP(C413,Stammdaten!$A$11:$C$25,3,FALSE)</f>
        <v>Käse</v>
      </c>
      <c r="F413" s="19">
        <f>VLOOKUP(C413,Stammdaten!$A$11:$D$25,4,FALSE)</f>
        <v>1.99</v>
      </c>
      <c r="G413" s="4">
        <f t="shared" si="78"/>
        <v>1</v>
      </c>
      <c r="H413" s="20" t="str">
        <f>VLOOKUP(G413,Stammdaten!$A$30:$B$41,2,FALSE)</f>
        <v>Januar</v>
      </c>
      <c r="I413" s="4">
        <v>245</v>
      </c>
      <c r="J413" s="4">
        <v>245</v>
      </c>
      <c r="K413" s="4">
        <f t="shared" si="79"/>
        <v>0</v>
      </c>
      <c r="L413" s="27">
        <f t="shared" si="80"/>
        <v>0</v>
      </c>
      <c r="M413" s="52" t="str">
        <f t="shared" si="81"/>
        <v>Perfekt</v>
      </c>
      <c r="N413" s="28">
        <f t="shared" si="82"/>
        <v>0</v>
      </c>
      <c r="O413" s="5">
        <v>6</v>
      </c>
      <c r="P413" s="4">
        <v>5</v>
      </c>
      <c r="Q413" s="28">
        <f t="shared" si="83"/>
        <v>0</v>
      </c>
      <c r="R413" s="50">
        <f t="shared" si="84"/>
        <v>0</v>
      </c>
      <c r="S413" s="2" t="str">
        <f t="shared" si="85"/>
        <v>Normal</v>
      </c>
      <c r="T413" s="4">
        <v>0</v>
      </c>
      <c r="U413" s="4" t="str">
        <f t="shared" si="86"/>
        <v>Nein</v>
      </c>
      <c r="V413" s="4">
        <f t="shared" si="87"/>
        <v>0</v>
      </c>
      <c r="W413" s="19">
        <f t="shared" si="88"/>
        <v>1.99</v>
      </c>
      <c r="X413" s="5">
        <v>0</v>
      </c>
      <c r="Y413" s="28">
        <f t="shared" si="89"/>
        <v>0</v>
      </c>
      <c r="Z413" s="31" t="s">
        <v>172</v>
      </c>
      <c r="AA413" t="str">
        <f t="shared" si="90"/>
        <v>Normal/Gering</v>
      </c>
    </row>
    <row r="414" spans="1:27" x14ac:dyDescent="0.35">
      <c r="A414" s="32" t="s">
        <v>16</v>
      </c>
      <c r="B414" s="2" t="str">
        <f>VLOOKUP(A414,Stammdaten!$A$3:$B$7,2,FALSE)</f>
        <v>Filiale Ost</v>
      </c>
      <c r="C414" s="3" t="str" cm="1">
        <f t="array" ref="C414">INDEX(Stammdaten!$A$11:$A$25,INT((ROW()-5)/12)+1 - INT((ROW()-5)/180)*15)</f>
        <v>A005</v>
      </c>
      <c r="D414" s="2" t="str">
        <f>VLOOKUP(C414,Stammdaten!$A$11:$B$25,2,FALSE)</f>
        <v>Gouda 200g</v>
      </c>
      <c r="E414" s="3" t="str">
        <f>VLOOKUP(C414,Stammdaten!$A$11:$C$25,3,FALSE)</f>
        <v>Käse</v>
      </c>
      <c r="F414" s="19">
        <f>VLOOKUP(C414,Stammdaten!$A$11:$D$25,4,FALSE)</f>
        <v>1.99</v>
      </c>
      <c r="G414" s="4">
        <f t="shared" si="78"/>
        <v>2</v>
      </c>
      <c r="H414" s="20" t="str">
        <f>VLOOKUP(G414,Stammdaten!$A$30:$B$41,2,FALSE)</f>
        <v>Februar</v>
      </c>
      <c r="I414" s="4">
        <v>239</v>
      </c>
      <c r="J414" s="4">
        <v>234</v>
      </c>
      <c r="K414" s="4">
        <f t="shared" si="79"/>
        <v>-5</v>
      </c>
      <c r="L414" s="27">
        <f t="shared" si="80"/>
        <v>-2.0920502092050208</v>
      </c>
      <c r="M414" s="52" t="str">
        <f t="shared" si="81"/>
        <v>Schwund</v>
      </c>
      <c r="N414" s="28">
        <f t="shared" si="82"/>
        <v>9.9499999999999993</v>
      </c>
      <c r="O414" s="5">
        <v>1</v>
      </c>
      <c r="P414" s="4">
        <v>5</v>
      </c>
      <c r="Q414" s="28">
        <f t="shared" si="83"/>
        <v>2.4874999999999998</v>
      </c>
      <c r="R414" s="50">
        <f t="shared" si="84"/>
        <v>2.9849999999999999</v>
      </c>
      <c r="S414" s="2" t="str">
        <f t="shared" si="85"/>
        <v>Karneval</v>
      </c>
      <c r="T414" s="4">
        <v>0</v>
      </c>
      <c r="U414" s="4" t="str">
        <f t="shared" si="86"/>
        <v>Ja - 20% Reduzierung</v>
      </c>
      <c r="V414" s="4">
        <f t="shared" si="87"/>
        <v>20</v>
      </c>
      <c r="W414" s="19">
        <f t="shared" si="88"/>
        <v>1.59</v>
      </c>
      <c r="X414" s="5">
        <v>22</v>
      </c>
      <c r="Y414" s="28">
        <f t="shared" si="89"/>
        <v>8.76</v>
      </c>
      <c r="Z414" s="31" t="s">
        <v>173</v>
      </c>
      <c r="AA414" t="str">
        <f t="shared" si="90"/>
        <v>Prozessfehler</v>
      </c>
    </row>
    <row r="415" spans="1:27" x14ac:dyDescent="0.35">
      <c r="A415" s="32" t="s">
        <v>16</v>
      </c>
      <c r="B415" s="2" t="str">
        <f>VLOOKUP(A415,Stammdaten!$A$3:$B$7,2,FALSE)</f>
        <v>Filiale Ost</v>
      </c>
      <c r="C415" s="3" t="str" cm="1">
        <f t="array" ref="C415">INDEX(Stammdaten!$A$11:$A$25,INT((ROW()-5)/12)+1 - INT((ROW()-5)/180)*15)</f>
        <v>A005</v>
      </c>
      <c r="D415" s="2" t="str">
        <f>VLOOKUP(C415,Stammdaten!$A$11:$B$25,2,FALSE)</f>
        <v>Gouda 200g</v>
      </c>
      <c r="E415" s="3" t="str">
        <f>VLOOKUP(C415,Stammdaten!$A$11:$C$25,3,FALSE)</f>
        <v>Käse</v>
      </c>
      <c r="F415" s="19">
        <f>VLOOKUP(C415,Stammdaten!$A$11:$D$25,4,FALSE)</f>
        <v>1.99</v>
      </c>
      <c r="G415" s="4">
        <f t="shared" si="78"/>
        <v>3</v>
      </c>
      <c r="H415" s="20" t="str">
        <f>VLOOKUP(G415,Stammdaten!$A$30:$B$41,2,FALSE)</f>
        <v>März</v>
      </c>
      <c r="I415" s="4">
        <v>272</v>
      </c>
      <c r="J415" s="4">
        <v>268</v>
      </c>
      <c r="K415" s="4">
        <f t="shared" si="79"/>
        <v>-4</v>
      </c>
      <c r="L415" s="27">
        <f t="shared" si="80"/>
        <v>-1.4705882352941175</v>
      </c>
      <c r="M415" s="52" t="str">
        <f t="shared" si="81"/>
        <v>Schwund</v>
      </c>
      <c r="N415" s="28">
        <f t="shared" si="82"/>
        <v>7.96</v>
      </c>
      <c r="O415" s="5">
        <v>15</v>
      </c>
      <c r="P415" s="4">
        <v>7</v>
      </c>
      <c r="Q415" s="28">
        <f t="shared" si="83"/>
        <v>1.99</v>
      </c>
      <c r="R415" s="50">
        <f t="shared" si="84"/>
        <v>2.3879999999999999</v>
      </c>
      <c r="S415" s="2" t="str">
        <f t="shared" si="85"/>
        <v>Normal</v>
      </c>
      <c r="T415" s="4">
        <v>0</v>
      </c>
      <c r="U415" s="4" t="str">
        <f t="shared" si="86"/>
        <v>Nein</v>
      </c>
      <c r="V415" s="4">
        <f t="shared" si="87"/>
        <v>0</v>
      </c>
      <c r="W415" s="19">
        <f t="shared" si="88"/>
        <v>1.99</v>
      </c>
      <c r="X415" s="5">
        <v>0</v>
      </c>
      <c r="Y415" s="28">
        <f t="shared" si="89"/>
        <v>0</v>
      </c>
      <c r="Z415" s="31" t="s">
        <v>172</v>
      </c>
      <c r="AA415" t="str">
        <f t="shared" si="90"/>
        <v>Normal/Gering</v>
      </c>
    </row>
    <row r="416" spans="1:27" x14ac:dyDescent="0.35">
      <c r="A416" s="32" t="s">
        <v>16</v>
      </c>
      <c r="B416" s="2" t="str">
        <f>VLOOKUP(A416,Stammdaten!$A$3:$B$7,2,FALSE)</f>
        <v>Filiale Ost</v>
      </c>
      <c r="C416" s="3" t="str" cm="1">
        <f t="array" ref="C416">INDEX(Stammdaten!$A$11:$A$25,INT((ROW()-5)/12)+1 - INT((ROW()-5)/180)*15)</f>
        <v>A005</v>
      </c>
      <c r="D416" s="2" t="str">
        <f>VLOOKUP(C416,Stammdaten!$A$11:$B$25,2,FALSE)</f>
        <v>Gouda 200g</v>
      </c>
      <c r="E416" s="3" t="str">
        <f>VLOOKUP(C416,Stammdaten!$A$11:$C$25,3,FALSE)</f>
        <v>Käse</v>
      </c>
      <c r="F416" s="19">
        <f>VLOOKUP(C416,Stammdaten!$A$11:$D$25,4,FALSE)</f>
        <v>1.99</v>
      </c>
      <c r="G416" s="4">
        <f t="shared" si="78"/>
        <v>4</v>
      </c>
      <c r="H416" s="20" t="str">
        <f>VLOOKUP(G416,Stammdaten!$A$30:$B$41,2,FALSE)</f>
        <v>April</v>
      </c>
      <c r="I416" s="4">
        <v>354</v>
      </c>
      <c r="J416" s="4">
        <v>349</v>
      </c>
      <c r="K416" s="4">
        <f t="shared" si="79"/>
        <v>-5</v>
      </c>
      <c r="L416" s="27">
        <f t="shared" si="80"/>
        <v>-1.4124293785310735</v>
      </c>
      <c r="M416" s="52" t="str">
        <f t="shared" si="81"/>
        <v>Schwund</v>
      </c>
      <c r="N416" s="28">
        <f t="shared" si="82"/>
        <v>9.9499999999999993</v>
      </c>
      <c r="O416" s="5">
        <v>10</v>
      </c>
      <c r="P416" s="4">
        <v>5</v>
      </c>
      <c r="Q416" s="28">
        <f t="shared" si="83"/>
        <v>2.4874999999999998</v>
      </c>
      <c r="R416" s="50">
        <f t="shared" si="84"/>
        <v>2.9849999999999999</v>
      </c>
      <c r="S416" s="2" t="str">
        <f t="shared" si="85"/>
        <v>Ostern</v>
      </c>
      <c r="T416" s="4">
        <v>0</v>
      </c>
      <c r="U416" s="4" t="str">
        <f t="shared" si="86"/>
        <v>Nein</v>
      </c>
      <c r="V416" s="4">
        <f t="shared" si="87"/>
        <v>0</v>
      </c>
      <c r="W416" s="19">
        <f t="shared" si="88"/>
        <v>1.99</v>
      </c>
      <c r="X416" s="5">
        <v>0</v>
      </c>
      <c r="Y416" s="28">
        <f t="shared" si="89"/>
        <v>0</v>
      </c>
      <c r="Z416" s="31" t="s">
        <v>172</v>
      </c>
      <c r="AA416" t="str">
        <f t="shared" si="90"/>
        <v>Normal/Gering</v>
      </c>
    </row>
    <row r="417" spans="1:27" x14ac:dyDescent="0.35">
      <c r="A417" s="32" t="s">
        <v>16</v>
      </c>
      <c r="B417" s="2" t="str">
        <f>VLOOKUP(A417,Stammdaten!$A$3:$B$7,2,FALSE)</f>
        <v>Filiale Ost</v>
      </c>
      <c r="C417" s="3" t="str" cm="1">
        <f t="array" ref="C417">INDEX(Stammdaten!$A$11:$A$25,INT((ROW()-5)/12)+1 - INT((ROW()-5)/180)*15)</f>
        <v>A005</v>
      </c>
      <c r="D417" s="2" t="str">
        <f>VLOOKUP(C417,Stammdaten!$A$11:$B$25,2,FALSE)</f>
        <v>Gouda 200g</v>
      </c>
      <c r="E417" s="3" t="str">
        <f>VLOOKUP(C417,Stammdaten!$A$11:$C$25,3,FALSE)</f>
        <v>Käse</v>
      </c>
      <c r="F417" s="19">
        <f>VLOOKUP(C417,Stammdaten!$A$11:$D$25,4,FALSE)</f>
        <v>1.99</v>
      </c>
      <c r="G417" s="4">
        <f t="shared" si="78"/>
        <v>5</v>
      </c>
      <c r="H417" s="20" t="str">
        <f>VLOOKUP(G417,Stammdaten!$A$30:$B$41,2,FALSE)</f>
        <v>Mai</v>
      </c>
      <c r="I417" s="4">
        <v>284</v>
      </c>
      <c r="J417" s="4">
        <v>276</v>
      </c>
      <c r="K417" s="4">
        <f t="shared" si="79"/>
        <v>-8</v>
      </c>
      <c r="L417" s="27">
        <f t="shared" si="80"/>
        <v>-2.8169014084507045</v>
      </c>
      <c r="M417" s="52" t="str">
        <f t="shared" si="81"/>
        <v>Schwund</v>
      </c>
      <c r="N417" s="28">
        <f t="shared" si="82"/>
        <v>15.92</v>
      </c>
      <c r="O417" s="5">
        <v>9</v>
      </c>
      <c r="P417" s="4">
        <v>7</v>
      </c>
      <c r="Q417" s="28">
        <f t="shared" si="83"/>
        <v>3.98</v>
      </c>
      <c r="R417" s="50">
        <f t="shared" si="84"/>
        <v>4.7759999999999998</v>
      </c>
      <c r="S417" s="2" t="str">
        <f t="shared" si="85"/>
        <v>Normal</v>
      </c>
      <c r="T417" s="4">
        <v>0</v>
      </c>
      <c r="U417" s="4" t="str">
        <f t="shared" si="86"/>
        <v>Nein</v>
      </c>
      <c r="V417" s="4">
        <f t="shared" si="87"/>
        <v>0</v>
      </c>
      <c r="W417" s="19">
        <f t="shared" si="88"/>
        <v>1.99</v>
      </c>
      <c r="X417" s="5">
        <v>0</v>
      </c>
      <c r="Y417" s="28">
        <f t="shared" si="89"/>
        <v>0</v>
      </c>
      <c r="Z417" s="31" t="s">
        <v>172</v>
      </c>
      <c r="AA417" t="str">
        <f t="shared" si="90"/>
        <v>Prozessfehler</v>
      </c>
    </row>
    <row r="418" spans="1:27" x14ac:dyDescent="0.35">
      <c r="A418" s="32" t="s">
        <v>16</v>
      </c>
      <c r="B418" s="2" t="str">
        <f>VLOOKUP(A418,Stammdaten!$A$3:$B$7,2,FALSE)</f>
        <v>Filiale Ost</v>
      </c>
      <c r="C418" s="3" t="str" cm="1">
        <f t="array" ref="C418">INDEX(Stammdaten!$A$11:$A$25,INT((ROW()-5)/12)+1 - INT((ROW()-5)/180)*15)</f>
        <v>A005</v>
      </c>
      <c r="D418" s="2" t="str">
        <f>VLOOKUP(C418,Stammdaten!$A$11:$B$25,2,FALSE)</f>
        <v>Gouda 200g</v>
      </c>
      <c r="E418" s="3" t="str">
        <f>VLOOKUP(C418,Stammdaten!$A$11:$C$25,3,FALSE)</f>
        <v>Käse</v>
      </c>
      <c r="F418" s="19">
        <f>VLOOKUP(C418,Stammdaten!$A$11:$D$25,4,FALSE)</f>
        <v>1.99</v>
      </c>
      <c r="G418" s="4">
        <f t="shared" si="78"/>
        <v>6</v>
      </c>
      <c r="H418" s="20" t="str">
        <f>VLOOKUP(G418,Stammdaten!$A$30:$B$41,2,FALSE)</f>
        <v>Juni</v>
      </c>
      <c r="I418" s="4">
        <v>288</v>
      </c>
      <c r="J418" s="4">
        <v>290</v>
      </c>
      <c r="K418" s="4">
        <f t="shared" si="79"/>
        <v>2</v>
      </c>
      <c r="L418" s="27">
        <f t="shared" si="80"/>
        <v>0.69444444444444442</v>
      </c>
      <c r="M418" s="52" t="str">
        <f t="shared" si="81"/>
        <v>Überbestand</v>
      </c>
      <c r="N418" s="28">
        <f t="shared" si="82"/>
        <v>3.98</v>
      </c>
      <c r="O418" s="5">
        <v>13</v>
      </c>
      <c r="P418" s="4">
        <v>3</v>
      </c>
      <c r="Q418" s="28">
        <f t="shared" si="83"/>
        <v>0</v>
      </c>
      <c r="R418" s="50">
        <f t="shared" si="84"/>
        <v>0</v>
      </c>
      <c r="S418" s="2" t="str">
        <f t="shared" si="85"/>
        <v>Normal</v>
      </c>
      <c r="T418" s="4">
        <v>2</v>
      </c>
      <c r="U418" s="4" t="str">
        <f t="shared" si="86"/>
        <v>Nein</v>
      </c>
      <c r="V418" s="4">
        <f t="shared" si="87"/>
        <v>0</v>
      </c>
      <c r="W418" s="19">
        <f t="shared" si="88"/>
        <v>1.99</v>
      </c>
      <c r="X418" s="5">
        <v>0</v>
      </c>
      <c r="Y418" s="28">
        <f t="shared" si="89"/>
        <v>0</v>
      </c>
      <c r="Z418" s="31" t="s">
        <v>172</v>
      </c>
      <c r="AA418" t="str">
        <f t="shared" si="90"/>
        <v>Kassenfehler (Überbestand)</v>
      </c>
    </row>
    <row r="419" spans="1:27" x14ac:dyDescent="0.35">
      <c r="A419" s="32" t="s">
        <v>16</v>
      </c>
      <c r="B419" s="2" t="str">
        <f>VLOOKUP(A419,Stammdaten!$A$3:$B$7,2,FALSE)</f>
        <v>Filiale Ost</v>
      </c>
      <c r="C419" s="3" t="str" cm="1">
        <f t="array" ref="C419">INDEX(Stammdaten!$A$11:$A$25,INT((ROW()-5)/12)+1 - INT((ROW()-5)/180)*15)</f>
        <v>A005</v>
      </c>
      <c r="D419" s="2" t="str">
        <f>VLOOKUP(C419,Stammdaten!$A$11:$B$25,2,FALSE)</f>
        <v>Gouda 200g</v>
      </c>
      <c r="E419" s="3" t="str">
        <f>VLOOKUP(C419,Stammdaten!$A$11:$C$25,3,FALSE)</f>
        <v>Käse</v>
      </c>
      <c r="F419" s="19">
        <f>VLOOKUP(C419,Stammdaten!$A$11:$D$25,4,FALSE)</f>
        <v>1.99</v>
      </c>
      <c r="G419" s="4">
        <f t="shared" si="78"/>
        <v>7</v>
      </c>
      <c r="H419" s="20" t="str">
        <f>VLOOKUP(G419,Stammdaten!$A$30:$B$41,2,FALSE)</f>
        <v>Juli</v>
      </c>
      <c r="I419" s="4">
        <v>318</v>
      </c>
      <c r="J419" s="4">
        <v>326</v>
      </c>
      <c r="K419" s="4">
        <f t="shared" si="79"/>
        <v>8</v>
      </c>
      <c r="L419" s="27">
        <f t="shared" si="80"/>
        <v>2.5157232704402519</v>
      </c>
      <c r="M419" s="52" t="str">
        <f t="shared" si="81"/>
        <v>Überbestand</v>
      </c>
      <c r="N419" s="28">
        <f t="shared" si="82"/>
        <v>15.92</v>
      </c>
      <c r="O419" s="5">
        <v>5</v>
      </c>
      <c r="P419" s="4">
        <v>6</v>
      </c>
      <c r="Q419" s="28">
        <f t="shared" si="83"/>
        <v>0</v>
      </c>
      <c r="R419" s="50">
        <f t="shared" si="84"/>
        <v>0</v>
      </c>
      <c r="S419" s="2" t="str">
        <f t="shared" si="85"/>
        <v>Normal</v>
      </c>
      <c r="T419" s="4">
        <v>8</v>
      </c>
      <c r="U419" s="4" t="str">
        <f t="shared" si="86"/>
        <v>Nein</v>
      </c>
      <c r="V419" s="4">
        <f t="shared" si="87"/>
        <v>0</v>
      </c>
      <c r="W419" s="19">
        <f t="shared" si="88"/>
        <v>1.99</v>
      </c>
      <c r="X419" s="5">
        <v>0</v>
      </c>
      <c r="Y419" s="28">
        <f t="shared" si="89"/>
        <v>0</v>
      </c>
      <c r="Z419" s="31" t="s">
        <v>172</v>
      </c>
      <c r="AA419" t="str">
        <f t="shared" si="90"/>
        <v>Kassenfehler (Überbestand)</v>
      </c>
    </row>
    <row r="420" spans="1:27" x14ac:dyDescent="0.35">
      <c r="A420" s="32" t="s">
        <v>16</v>
      </c>
      <c r="B420" s="2" t="str">
        <f>VLOOKUP(A420,Stammdaten!$A$3:$B$7,2,FALSE)</f>
        <v>Filiale Ost</v>
      </c>
      <c r="C420" s="3" t="str" cm="1">
        <f t="array" ref="C420">INDEX(Stammdaten!$A$11:$A$25,INT((ROW()-5)/12)+1 - INT((ROW()-5)/180)*15)</f>
        <v>A005</v>
      </c>
      <c r="D420" s="2" t="str">
        <f>VLOOKUP(C420,Stammdaten!$A$11:$B$25,2,FALSE)</f>
        <v>Gouda 200g</v>
      </c>
      <c r="E420" s="3" t="str">
        <f>VLOOKUP(C420,Stammdaten!$A$11:$C$25,3,FALSE)</f>
        <v>Käse</v>
      </c>
      <c r="F420" s="19">
        <f>VLOOKUP(C420,Stammdaten!$A$11:$D$25,4,FALSE)</f>
        <v>1.99</v>
      </c>
      <c r="G420" s="4">
        <f t="shared" si="78"/>
        <v>8</v>
      </c>
      <c r="H420" s="20" t="str">
        <f>VLOOKUP(G420,Stammdaten!$A$30:$B$41,2,FALSE)</f>
        <v>August</v>
      </c>
      <c r="I420" s="4">
        <v>323</v>
      </c>
      <c r="J420" s="4">
        <v>315</v>
      </c>
      <c r="K420" s="4">
        <f t="shared" si="79"/>
        <v>-8</v>
      </c>
      <c r="L420" s="27">
        <f t="shared" si="80"/>
        <v>-2.4767801857585141</v>
      </c>
      <c r="M420" s="52" t="str">
        <f t="shared" si="81"/>
        <v>Schwund</v>
      </c>
      <c r="N420" s="28">
        <f t="shared" si="82"/>
        <v>15.92</v>
      </c>
      <c r="O420" s="5">
        <v>19</v>
      </c>
      <c r="P420" s="4">
        <v>3</v>
      </c>
      <c r="Q420" s="28">
        <f t="shared" si="83"/>
        <v>3.98</v>
      </c>
      <c r="R420" s="50">
        <f t="shared" si="84"/>
        <v>4.7759999999999998</v>
      </c>
      <c r="S420" s="2" t="str">
        <f t="shared" si="85"/>
        <v>Normal</v>
      </c>
      <c r="T420" s="4">
        <v>0</v>
      </c>
      <c r="U420" s="4" t="str">
        <f t="shared" si="86"/>
        <v>Nein</v>
      </c>
      <c r="V420" s="4">
        <f t="shared" si="87"/>
        <v>0</v>
      </c>
      <c r="W420" s="19">
        <f t="shared" si="88"/>
        <v>1.99</v>
      </c>
      <c r="X420" s="5">
        <v>0</v>
      </c>
      <c r="Y420" s="28">
        <f t="shared" si="89"/>
        <v>0</v>
      </c>
      <c r="Z420" s="31" t="s">
        <v>172</v>
      </c>
      <c r="AA420" t="str">
        <f t="shared" si="90"/>
        <v>Prozessfehler</v>
      </c>
    </row>
    <row r="421" spans="1:27" x14ac:dyDescent="0.35">
      <c r="A421" s="32" t="s">
        <v>16</v>
      </c>
      <c r="B421" s="2" t="str">
        <f>VLOOKUP(A421,Stammdaten!$A$3:$B$7,2,FALSE)</f>
        <v>Filiale Ost</v>
      </c>
      <c r="C421" s="3" t="str" cm="1">
        <f t="array" ref="C421">INDEX(Stammdaten!$A$11:$A$25,INT((ROW()-5)/12)+1 - INT((ROW()-5)/180)*15)</f>
        <v>A005</v>
      </c>
      <c r="D421" s="2" t="str">
        <f>VLOOKUP(C421,Stammdaten!$A$11:$B$25,2,FALSE)</f>
        <v>Gouda 200g</v>
      </c>
      <c r="E421" s="3" t="str">
        <f>VLOOKUP(C421,Stammdaten!$A$11:$C$25,3,FALSE)</f>
        <v>Käse</v>
      </c>
      <c r="F421" s="19">
        <f>VLOOKUP(C421,Stammdaten!$A$11:$D$25,4,FALSE)</f>
        <v>1.99</v>
      </c>
      <c r="G421" s="4">
        <f t="shared" si="78"/>
        <v>9</v>
      </c>
      <c r="H421" s="20" t="str">
        <f>VLOOKUP(G421,Stammdaten!$A$30:$B$41,2,FALSE)</f>
        <v>September</v>
      </c>
      <c r="I421" s="4">
        <v>246</v>
      </c>
      <c r="J421" s="4">
        <v>239</v>
      </c>
      <c r="K421" s="4">
        <f t="shared" si="79"/>
        <v>-7</v>
      </c>
      <c r="L421" s="27">
        <f t="shared" si="80"/>
        <v>-2.8455284552845526</v>
      </c>
      <c r="M421" s="52" t="str">
        <f t="shared" si="81"/>
        <v>Schwund</v>
      </c>
      <c r="N421" s="28">
        <f t="shared" si="82"/>
        <v>13.93</v>
      </c>
      <c r="O421" s="5">
        <v>9</v>
      </c>
      <c r="P421" s="4">
        <v>5</v>
      </c>
      <c r="Q421" s="28">
        <f t="shared" si="83"/>
        <v>3.4824999999999999</v>
      </c>
      <c r="R421" s="50">
        <f t="shared" si="84"/>
        <v>4.1789999999999994</v>
      </c>
      <c r="S421" s="2" t="str">
        <f t="shared" si="85"/>
        <v>Normal</v>
      </c>
      <c r="T421" s="4">
        <v>0</v>
      </c>
      <c r="U421" s="4" t="str">
        <f t="shared" si="86"/>
        <v>Nein</v>
      </c>
      <c r="V421" s="4">
        <f t="shared" si="87"/>
        <v>0</v>
      </c>
      <c r="W421" s="19">
        <f t="shared" si="88"/>
        <v>1.99</v>
      </c>
      <c r="X421" s="5">
        <v>0</v>
      </c>
      <c r="Y421" s="28">
        <f t="shared" si="89"/>
        <v>0</v>
      </c>
      <c r="Z421" s="31" t="s">
        <v>172</v>
      </c>
      <c r="AA421" t="str">
        <f t="shared" si="90"/>
        <v>Prozessfehler</v>
      </c>
    </row>
    <row r="422" spans="1:27" x14ac:dyDescent="0.35">
      <c r="A422" s="32" t="s">
        <v>16</v>
      </c>
      <c r="B422" s="2" t="str">
        <f>VLOOKUP(A422,Stammdaten!$A$3:$B$7,2,FALSE)</f>
        <v>Filiale Ost</v>
      </c>
      <c r="C422" s="3" t="str" cm="1">
        <f t="array" ref="C422">INDEX(Stammdaten!$A$11:$A$25,INT((ROW()-5)/12)+1 - INT((ROW()-5)/180)*15)</f>
        <v>A005</v>
      </c>
      <c r="D422" s="2" t="str">
        <f>VLOOKUP(C422,Stammdaten!$A$11:$B$25,2,FALSE)</f>
        <v>Gouda 200g</v>
      </c>
      <c r="E422" s="3" t="str">
        <f>VLOOKUP(C422,Stammdaten!$A$11:$C$25,3,FALSE)</f>
        <v>Käse</v>
      </c>
      <c r="F422" s="19">
        <f>VLOOKUP(C422,Stammdaten!$A$11:$D$25,4,FALSE)</f>
        <v>1.99</v>
      </c>
      <c r="G422" s="4">
        <f t="shared" si="78"/>
        <v>10</v>
      </c>
      <c r="H422" s="20" t="str">
        <f>VLOOKUP(G422,Stammdaten!$A$30:$B$41,2,FALSE)</f>
        <v>Oktober</v>
      </c>
      <c r="I422" s="4">
        <v>273</v>
      </c>
      <c r="J422" s="4">
        <v>266</v>
      </c>
      <c r="K422" s="4">
        <f t="shared" si="79"/>
        <v>-7</v>
      </c>
      <c r="L422" s="27">
        <f t="shared" si="80"/>
        <v>-2.5641025641025639</v>
      </c>
      <c r="M422" s="52" t="str">
        <f t="shared" si="81"/>
        <v>Schwund</v>
      </c>
      <c r="N422" s="28">
        <f t="shared" si="82"/>
        <v>13.93</v>
      </c>
      <c r="O422" s="5">
        <v>8</v>
      </c>
      <c r="P422" s="4">
        <v>0</v>
      </c>
      <c r="Q422" s="28">
        <f t="shared" si="83"/>
        <v>3.4824999999999999</v>
      </c>
      <c r="R422" s="50">
        <f t="shared" si="84"/>
        <v>4.1789999999999994</v>
      </c>
      <c r="S422" s="2" t="str">
        <f t="shared" si="85"/>
        <v>Normal</v>
      </c>
      <c r="T422" s="4">
        <v>0</v>
      </c>
      <c r="U422" s="4" t="str">
        <f t="shared" si="86"/>
        <v>Nein</v>
      </c>
      <c r="V422" s="4">
        <f t="shared" si="87"/>
        <v>0</v>
      </c>
      <c r="W422" s="19">
        <f t="shared" si="88"/>
        <v>1.99</v>
      </c>
      <c r="X422" s="5">
        <v>0</v>
      </c>
      <c r="Y422" s="28">
        <f t="shared" si="89"/>
        <v>0</v>
      </c>
      <c r="Z422" s="31" t="s">
        <v>172</v>
      </c>
      <c r="AA422" t="str">
        <f t="shared" si="90"/>
        <v>Buchungsfehler Wareneingang</v>
      </c>
    </row>
    <row r="423" spans="1:27" x14ac:dyDescent="0.35">
      <c r="A423" s="32" t="s">
        <v>16</v>
      </c>
      <c r="B423" s="2" t="str">
        <f>VLOOKUP(A423,Stammdaten!$A$3:$B$7,2,FALSE)</f>
        <v>Filiale Ost</v>
      </c>
      <c r="C423" s="3" t="str" cm="1">
        <f t="array" ref="C423">INDEX(Stammdaten!$A$11:$A$25,INT((ROW()-5)/12)+1 - INT((ROW()-5)/180)*15)</f>
        <v>A005</v>
      </c>
      <c r="D423" s="2" t="str">
        <f>VLOOKUP(C423,Stammdaten!$A$11:$B$25,2,FALSE)</f>
        <v>Gouda 200g</v>
      </c>
      <c r="E423" s="3" t="str">
        <f>VLOOKUP(C423,Stammdaten!$A$11:$C$25,3,FALSE)</f>
        <v>Käse</v>
      </c>
      <c r="F423" s="19">
        <f>VLOOKUP(C423,Stammdaten!$A$11:$D$25,4,FALSE)</f>
        <v>1.99</v>
      </c>
      <c r="G423" s="4">
        <f t="shared" si="78"/>
        <v>11</v>
      </c>
      <c r="H423" s="20" t="str">
        <f>VLOOKUP(G423,Stammdaten!$A$30:$B$41,2,FALSE)</f>
        <v>November</v>
      </c>
      <c r="I423" s="4">
        <v>285</v>
      </c>
      <c r="J423" s="4">
        <v>276</v>
      </c>
      <c r="K423" s="4">
        <f t="shared" si="79"/>
        <v>-9</v>
      </c>
      <c r="L423" s="27">
        <f t="shared" si="80"/>
        <v>-3.1578947368421053</v>
      </c>
      <c r="M423" s="52" t="str">
        <f t="shared" si="81"/>
        <v>Schwund</v>
      </c>
      <c r="N423" s="28">
        <f t="shared" si="82"/>
        <v>17.91</v>
      </c>
      <c r="O423" s="5">
        <v>4</v>
      </c>
      <c r="P423" s="4">
        <v>4</v>
      </c>
      <c r="Q423" s="28">
        <f t="shared" si="83"/>
        <v>4.4775</v>
      </c>
      <c r="R423" s="50">
        <f t="shared" si="84"/>
        <v>5.3730000000000002</v>
      </c>
      <c r="S423" s="2" t="str">
        <f t="shared" si="85"/>
        <v>Black Friday</v>
      </c>
      <c r="T423" s="4">
        <v>0</v>
      </c>
      <c r="U423" s="4" t="str">
        <f t="shared" si="86"/>
        <v>Nein</v>
      </c>
      <c r="V423" s="4">
        <f t="shared" si="87"/>
        <v>0</v>
      </c>
      <c r="W423" s="19">
        <f t="shared" si="88"/>
        <v>1.99</v>
      </c>
      <c r="X423" s="5">
        <v>0</v>
      </c>
      <c r="Y423" s="28">
        <f t="shared" si="89"/>
        <v>0</v>
      </c>
      <c r="Z423" s="31" t="s">
        <v>172</v>
      </c>
      <c r="AA423" t="str">
        <f t="shared" si="90"/>
        <v>Prozessfehler</v>
      </c>
    </row>
    <row r="424" spans="1:27" x14ac:dyDescent="0.35">
      <c r="A424" s="32" t="s">
        <v>16</v>
      </c>
      <c r="B424" s="2" t="str">
        <f>VLOOKUP(A424,Stammdaten!$A$3:$B$7,2,FALSE)</f>
        <v>Filiale Ost</v>
      </c>
      <c r="C424" s="3" t="str" cm="1">
        <f t="array" ref="C424">INDEX(Stammdaten!$A$11:$A$25,INT((ROW()-5)/12)+1 - INT((ROW()-5)/180)*15)</f>
        <v>A005</v>
      </c>
      <c r="D424" s="2" t="str">
        <f>VLOOKUP(C424,Stammdaten!$A$11:$B$25,2,FALSE)</f>
        <v>Gouda 200g</v>
      </c>
      <c r="E424" s="3" t="str">
        <f>VLOOKUP(C424,Stammdaten!$A$11:$C$25,3,FALSE)</f>
        <v>Käse</v>
      </c>
      <c r="F424" s="19">
        <f>VLOOKUP(C424,Stammdaten!$A$11:$D$25,4,FALSE)</f>
        <v>1.99</v>
      </c>
      <c r="G424" s="4">
        <f t="shared" si="78"/>
        <v>12</v>
      </c>
      <c r="H424" s="20" t="str">
        <f>VLOOKUP(G424,Stammdaten!$A$30:$B$41,2,FALSE)</f>
        <v>Dezember</v>
      </c>
      <c r="I424" s="4">
        <v>370</v>
      </c>
      <c r="J424" s="4">
        <v>359</v>
      </c>
      <c r="K424" s="4">
        <f t="shared" si="79"/>
        <v>-11</v>
      </c>
      <c r="L424" s="27">
        <f t="shared" si="80"/>
        <v>-2.9729729729729732</v>
      </c>
      <c r="M424" s="52" t="str">
        <f t="shared" si="81"/>
        <v>Schwund</v>
      </c>
      <c r="N424" s="28">
        <f t="shared" si="82"/>
        <v>21.89</v>
      </c>
      <c r="O424" s="5">
        <v>1</v>
      </c>
      <c r="P424" s="4">
        <v>4</v>
      </c>
      <c r="Q424" s="28">
        <f t="shared" si="83"/>
        <v>5.4725000000000001</v>
      </c>
      <c r="R424" s="50">
        <f t="shared" si="84"/>
        <v>6.5670000000000002</v>
      </c>
      <c r="S424" s="2" t="str">
        <f t="shared" si="85"/>
        <v>Weihnachten/Silvester</v>
      </c>
      <c r="T424" s="4">
        <v>0</v>
      </c>
      <c r="U424" s="4" t="str">
        <f t="shared" si="86"/>
        <v>Ja - 20% Reduzierung</v>
      </c>
      <c r="V424" s="4">
        <f t="shared" si="87"/>
        <v>20</v>
      </c>
      <c r="W424" s="19">
        <f t="shared" si="88"/>
        <v>1.59</v>
      </c>
      <c r="X424" s="5">
        <v>30</v>
      </c>
      <c r="Y424" s="28">
        <f t="shared" si="89"/>
        <v>11.94</v>
      </c>
      <c r="Z424" s="31" t="s">
        <v>173</v>
      </c>
      <c r="AA424" t="str">
        <f t="shared" si="90"/>
        <v>Prozessfehler</v>
      </c>
    </row>
    <row r="425" spans="1:27" x14ac:dyDescent="0.35">
      <c r="A425" s="32" t="s">
        <v>16</v>
      </c>
      <c r="B425" s="2" t="str">
        <f>VLOOKUP(A425,Stammdaten!$A$3:$B$7,2,FALSE)</f>
        <v>Filiale Ost</v>
      </c>
      <c r="C425" s="3" t="str" cm="1">
        <f t="array" ref="C425">INDEX(Stammdaten!$A$11:$A$25,INT((ROW()-5)/12)+1 - INT((ROW()-5)/180)*15)</f>
        <v>A006</v>
      </c>
      <c r="D425" s="2" t="str">
        <f>VLOOKUP(C425,Stammdaten!$A$11:$B$25,2,FALSE)</f>
        <v>Emmentaler 200g</v>
      </c>
      <c r="E425" s="3" t="str">
        <f>VLOOKUP(C425,Stammdaten!$A$11:$C$25,3,FALSE)</f>
        <v>Käse</v>
      </c>
      <c r="F425" s="19">
        <f>VLOOKUP(C425,Stammdaten!$A$11:$D$25,4,FALSE)</f>
        <v>2.4900000000000002</v>
      </c>
      <c r="G425" s="4">
        <f t="shared" si="78"/>
        <v>1</v>
      </c>
      <c r="H425" s="20" t="str">
        <f>VLOOKUP(G425,Stammdaten!$A$30:$B$41,2,FALSE)</f>
        <v>Januar</v>
      </c>
      <c r="I425" s="4">
        <v>200</v>
      </c>
      <c r="J425" s="4">
        <v>195</v>
      </c>
      <c r="K425" s="4">
        <f t="shared" si="79"/>
        <v>-5</v>
      </c>
      <c r="L425" s="27">
        <f t="shared" si="80"/>
        <v>-2.5</v>
      </c>
      <c r="M425" s="52" t="str">
        <f t="shared" si="81"/>
        <v>Schwund</v>
      </c>
      <c r="N425" s="28">
        <f t="shared" si="82"/>
        <v>12.450000000000001</v>
      </c>
      <c r="O425" s="5">
        <v>10</v>
      </c>
      <c r="P425" s="4">
        <v>2</v>
      </c>
      <c r="Q425" s="28">
        <f t="shared" si="83"/>
        <v>3.1125000000000003</v>
      </c>
      <c r="R425" s="50">
        <f t="shared" si="84"/>
        <v>3.7350000000000003</v>
      </c>
      <c r="S425" s="2" t="str">
        <f t="shared" si="85"/>
        <v>Normal</v>
      </c>
      <c r="T425" s="4">
        <v>0</v>
      </c>
      <c r="U425" s="4" t="str">
        <f t="shared" si="86"/>
        <v>Nein</v>
      </c>
      <c r="V425" s="4">
        <f t="shared" si="87"/>
        <v>0</v>
      </c>
      <c r="W425" s="19">
        <f t="shared" si="88"/>
        <v>2.4900000000000002</v>
      </c>
      <c r="X425" s="5">
        <v>0</v>
      </c>
      <c r="Y425" s="28">
        <f t="shared" si="89"/>
        <v>0</v>
      </c>
      <c r="Z425" s="31" t="s">
        <v>172</v>
      </c>
      <c r="AA425" t="str">
        <f t="shared" si="90"/>
        <v>Prozessfehler</v>
      </c>
    </row>
    <row r="426" spans="1:27" x14ac:dyDescent="0.35">
      <c r="A426" s="32" t="s">
        <v>16</v>
      </c>
      <c r="B426" s="2" t="str">
        <f>VLOOKUP(A426,Stammdaten!$A$3:$B$7,2,FALSE)</f>
        <v>Filiale Ost</v>
      </c>
      <c r="C426" s="3" t="str" cm="1">
        <f t="array" ref="C426">INDEX(Stammdaten!$A$11:$A$25,INT((ROW()-5)/12)+1 - INT((ROW()-5)/180)*15)</f>
        <v>A006</v>
      </c>
      <c r="D426" s="2" t="str">
        <f>VLOOKUP(C426,Stammdaten!$A$11:$B$25,2,FALSE)</f>
        <v>Emmentaler 200g</v>
      </c>
      <c r="E426" s="3" t="str">
        <f>VLOOKUP(C426,Stammdaten!$A$11:$C$25,3,FALSE)</f>
        <v>Käse</v>
      </c>
      <c r="F426" s="19">
        <f>VLOOKUP(C426,Stammdaten!$A$11:$D$25,4,FALSE)</f>
        <v>2.4900000000000002</v>
      </c>
      <c r="G426" s="4">
        <f t="shared" si="78"/>
        <v>2</v>
      </c>
      <c r="H426" s="20" t="str">
        <f>VLOOKUP(G426,Stammdaten!$A$30:$B$41,2,FALSE)</f>
        <v>Februar</v>
      </c>
      <c r="I426" s="4">
        <v>193</v>
      </c>
      <c r="J426" s="4">
        <v>189</v>
      </c>
      <c r="K426" s="4">
        <f t="shared" si="79"/>
        <v>-4</v>
      </c>
      <c r="L426" s="27">
        <f t="shared" si="80"/>
        <v>-2.0725388601036272</v>
      </c>
      <c r="M426" s="52" t="str">
        <f t="shared" si="81"/>
        <v>Schwund</v>
      </c>
      <c r="N426" s="28">
        <f t="shared" si="82"/>
        <v>9.9600000000000009</v>
      </c>
      <c r="O426" s="5">
        <v>18</v>
      </c>
      <c r="P426" s="4">
        <v>7</v>
      </c>
      <c r="Q426" s="28">
        <f t="shared" si="83"/>
        <v>2.4900000000000002</v>
      </c>
      <c r="R426" s="50">
        <f t="shared" si="84"/>
        <v>2.988</v>
      </c>
      <c r="S426" s="2" t="str">
        <f t="shared" si="85"/>
        <v>Karneval</v>
      </c>
      <c r="T426" s="4">
        <v>0</v>
      </c>
      <c r="U426" s="4" t="str">
        <f t="shared" si="86"/>
        <v>Nein</v>
      </c>
      <c r="V426" s="4">
        <f t="shared" si="87"/>
        <v>0</v>
      </c>
      <c r="W426" s="19">
        <f t="shared" si="88"/>
        <v>2.4900000000000002</v>
      </c>
      <c r="X426" s="5">
        <v>0</v>
      </c>
      <c r="Y426" s="28">
        <f t="shared" si="89"/>
        <v>0</v>
      </c>
      <c r="Z426" s="31" t="s">
        <v>172</v>
      </c>
      <c r="AA426" t="str">
        <f t="shared" si="90"/>
        <v>Prozessfehler</v>
      </c>
    </row>
    <row r="427" spans="1:27" x14ac:dyDescent="0.35">
      <c r="A427" s="32" t="s">
        <v>16</v>
      </c>
      <c r="B427" s="2" t="str">
        <f>VLOOKUP(A427,Stammdaten!$A$3:$B$7,2,FALSE)</f>
        <v>Filiale Ost</v>
      </c>
      <c r="C427" s="3" t="str" cm="1">
        <f t="array" ref="C427">INDEX(Stammdaten!$A$11:$A$25,INT((ROW()-5)/12)+1 - INT((ROW()-5)/180)*15)</f>
        <v>A006</v>
      </c>
      <c r="D427" s="2" t="str">
        <f>VLOOKUP(C427,Stammdaten!$A$11:$B$25,2,FALSE)</f>
        <v>Emmentaler 200g</v>
      </c>
      <c r="E427" s="3" t="str">
        <f>VLOOKUP(C427,Stammdaten!$A$11:$C$25,3,FALSE)</f>
        <v>Käse</v>
      </c>
      <c r="F427" s="19">
        <f>VLOOKUP(C427,Stammdaten!$A$11:$D$25,4,FALSE)</f>
        <v>2.4900000000000002</v>
      </c>
      <c r="G427" s="4">
        <f t="shared" si="78"/>
        <v>3</v>
      </c>
      <c r="H427" s="20" t="str">
        <f>VLOOKUP(G427,Stammdaten!$A$30:$B$41,2,FALSE)</f>
        <v>März</v>
      </c>
      <c r="I427" s="4">
        <v>243</v>
      </c>
      <c r="J427" s="4">
        <v>236</v>
      </c>
      <c r="K427" s="4">
        <f t="shared" si="79"/>
        <v>-7</v>
      </c>
      <c r="L427" s="27">
        <f t="shared" si="80"/>
        <v>-2.880658436213992</v>
      </c>
      <c r="M427" s="52" t="str">
        <f t="shared" si="81"/>
        <v>Schwund</v>
      </c>
      <c r="N427" s="28">
        <f t="shared" si="82"/>
        <v>17.43</v>
      </c>
      <c r="O427" s="5">
        <v>0</v>
      </c>
      <c r="P427" s="4">
        <v>7</v>
      </c>
      <c r="Q427" s="28">
        <f t="shared" si="83"/>
        <v>4.3574999999999999</v>
      </c>
      <c r="R427" s="50">
        <f t="shared" si="84"/>
        <v>5.2290000000000001</v>
      </c>
      <c r="S427" s="2" t="str">
        <f t="shared" si="85"/>
        <v>Normal</v>
      </c>
      <c r="T427" s="4">
        <v>0</v>
      </c>
      <c r="U427" s="4" t="str">
        <f t="shared" si="86"/>
        <v>Abschreibung</v>
      </c>
      <c r="V427" s="4">
        <f t="shared" si="87"/>
        <v>100</v>
      </c>
      <c r="W427" s="19">
        <f t="shared" si="88"/>
        <v>0</v>
      </c>
      <c r="X427" s="5">
        <v>2</v>
      </c>
      <c r="Y427" s="28">
        <f t="shared" si="89"/>
        <v>4.9800000000000004</v>
      </c>
      <c r="Z427" s="31" t="s">
        <v>173</v>
      </c>
      <c r="AA427" t="str">
        <f t="shared" si="90"/>
        <v>Verderb - Abgelaufen</v>
      </c>
    </row>
    <row r="428" spans="1:27" x14ac:dyDescent="0.35">
      <c r="A428" s="32" t="s">
        <v>16</v>
      </c>
      <c r="B428" s="2" t="str">
        <f>VLOOKUP(A428,Stammdaten!$A$3:$B$7,2,FALSE)</f>
        <v>Filiale Ost</v>
      </c>
      <c r="C428" s="3" t="str" cm="1">
        <f t="array" ref="C428">INDEX(Stammdaten!$A$11:$A$25,INT((ROW()-5)/12)+1 - INT((ROW()-5)/180)*15)</f>
        <v>A006</v>
      </c>
      <c r="D428" s="2" t="str">
        <f>VLOOKUP(C428,Stammdaten!$A$11:$B$25,2,FALSE)</f>
        <v>Emmentaler 200g</v>
      </c>
      <c r="E428" s="3" t="str">
        <f>VLOOKUP(C428,Stammdaten!$A$11:$C$25,3,FALSE)</f>
        <v>Käse</v>
      </c>
      <c r="F428" s="19">
        <f>VLOOKUP(C428,Stammdaten!$A$11:$D$25,4,FALSE)</f>
        <v>2.4900000000000002</v>
      </c>
      <c r="G428" s="4">
        <f t="shared" si="78"/>
        <v>4</v>
      </c>
      <c r="H428" s="20" t="str">
        <f>VLOOKUP(G428,Stammdaten!$A$30:$B$41,2,FALSE)</f>
        <v>April</v>
      </c>
      <c r="I428" s="4">
        <v>270</v>
      </c>
      <c r="J428" s="4">
        <v>266</v>
      </c>
      <c r="K428" s="4">
        <f t="shared" si="79"/>
        <v>-4</v>
      </c>
      <c r="L428" s="27">
        <f t="shared" si="80"/>
        <v>-1.4814814814814816</v>
      </c>
      <c r="M428" s="52" t="str">
        <f t="shared" si="81"/>
        <v>Schwund</v>
      </c>
      <c r="N428" s="28">
        <f t="shared" si="82"/>
        <v>9.9600000000000009</v>
      </c>
      <c r="O428" s="5">
        <v>12</v>
      </c>
      <c r="P428" s="4">
        <v>6</v>
      </c>
      <c r="Q428" s="28">
        <f t="shared" si="83"/>
        <v>2.4900000000000002</v>
      </c>
      <c r="R428" s="50">
        <f t="shared" si="84"/>
        <v>2.988</v>
      </c>
      <c r="S428" s="2" t="str">
        <f t="shared" si="85"/>
        <v>Ostern</v>
      </c>
      <c r="T428" s="4">
        <v>0</v>
      </c>
      <c r="U428" s="4" t="str">
        <f t="shared" si="86"/>
        <v>Nein</v>
      </c>
      <c r="V428" s="4">
        <f t="shared" si="87"/>
        <v>0</v>
      </c>
      <c r="W428" s="19">
        <f t="shared" si="88"/>
        <v>2.4900000000000002</v>
      </c>
      <c r="X428" s="5">
        <v>0</v>
      </c>
      <c r="Y428" s="28">
        <f t="shared" si="89"/>
        <v>0</v>
      </c>
      <c r="Z428" s="31" t="s">
        <v>172</v>
      </c>
      <c r="AA428" t="str">
        <f t="shared" si="90"/>
        <v>Normal/Gering</v>
      </c>
    </row>
    <row r="429" spans="1:27" x14ac:dyDescent="0.35">
      <c r="A429" s="32" t="s">
        <v>16</v>
      </c>
      <c r="B429" s="2" t="str">
        <f>VLOOKUP(A429,Stammdaten!$A$3:$B$7,2,FALSE)</f>
        <v>Filiale Ost</v>
      </c>
      <c r="C429" s="3" t="str" cm="1">
        <f t="array" ref="C429">INDEX(Stammdaten!$A$11:$A$25,INT((ROW()-5)/12)+1 - INT((ROW()-5)/180)*15)</f>
        <v>A006</v>
      </c>
      <c r="D429" s="2" t="str">
        <f>VLOOKUP(C429,Stammdaten!$A$11:$B$25,2,FALSE)</f>
        <v>Emmentaler 200g</v>
      </c>
      <c r="E429" s="3" t="str">
        <f>VLOOKUP(C429,Stammdaten!$A$11:$C$25,3,FALSE)</f>
        <v>Käse</v>
      </c>
      <c r="F429" s="19">
        <f>VLOOKUP(C429,Stammdaten!$A$11:$D$25,4,FALSE)</f>
        <v>2.4900000000000002</v>
      </c>
      <c r="G429" s="4">
        <f t="shared" si="78"/>
        <v>5</v>
      </c>
      <c r="H429" s="20" t="str">
        <f>VLOOKUP(G429,Stammdaten!$A$30:$B$41,2,FALSE)</f>
        <v>Mai</v>
      </c>
      <c r="I429" s="4">
        <v>225</v>
      </c>
      <c r="J429" s="4">
        <v>221</v>
      </c>
      <c r="K429" s="4">
        <f t="shared" si="79"/>
        <v>-4</v>
      </c>
      <c r="L429" s="27">
        <f t="shared" si="80"/>
        <v>-1.7777777777777777</v>
      </c>
      <c r="M429" s="52" t="str">
        <f t="shared" si="81"/>
        <v>Schwund</v>
      </c>
      <c r="N429" s="28">
        <f t="shared" si="82"/>
        <v>9.9600000000000009</v>
      </c>
      <c r="O429" s="5">
        <v>1</v>
      </c>
      <c r="P429" s="4">
        <v>1</v>
      </c>
      <c r="Q429" s="28">
        <f t="shared" si="83"/>
        <v>2.4900000000000002</v>
      </c>
      <c r="R429" s="50">
        <f t="shared" si="84"/>
        <v>2.988</v>
      </c>
      <c r="S429" s="2" t="str">
        <f t="shared" si="85"/>
        <v>Normal</v>
      </c>
      <c r="T429" s="4">
        <v>0</v>
      </c>
      <c r="U429" s="4" t="str">
        <f t="shared" si="86"/>
        <v>Ja - 20% Reduzierung</v>
      </c>
      <c r="V429" s="4">
        <f t="shared" si="87"/>
        <v>20</v>
      </c>
      <c r="W429" s="19">
        <f t="shared" si="88"/>
        <v>1.99</v>
      </c>
      <c r="X429" s="5">
        <v>27</v>
      </c>
      <c r="Y429" s="28">
        <f t="shared" si="89"/>
        <v>13.45</v>
      </c>
      <c r="Z429" s="31" t="s">
        <v>173</v>
      </c>
      <c r="AA429" t="str">
        <f t="shared" si="90"/>
        <v>Normal/Gering</v>
      </c>
    </row>
    <row r="430" spans="1:27" x14ac:dyDescent="0.35">
      <c r="A430" s="32" t="s">
        <v>16</v>
      </c>
      <c r="B430" s="2" t="str">
        <f>VLOOKUP(A430,Stammdaten!$A$3:$B$7,2,FALSE)</f>
        <v>Filiale Ost</v>
      </c>
      <c r="C430" s="3" t="str" cm="1">
        <f t="array" ref="C430">INDEX(Stammdaten!$A$11:$A$25,INT((ROW()-5)/12)+1 - INT((ROW()-5)/180)*15)</f>
        <v>A006</v>
      </c>
      <c r="D430" s="2" t="str">
        <f>VLOOKUP(C430,Stammdaten!$A$11:$B$25,2,FALSE)</f>
        <v>Emmentaler 200g</v>
      </c>
      <c r="E430" s="3" t="str">
        <f>VLOOKUP(C430,Stammdaten!$A$11:$C$25,3,FALSE)</f>
        <v>Käse</v>
      </c>
      <c r="F430" s="19">
        <f>VLOOKUP(C430,Stammdaten!$A$11:$D$25,4,FALSE)</f>
        <v>2.4900000000000002</v>
      </c>
      <c r="G430" s="4">
        <f t="shared" si="78"/>
        <v>6</v>
      </c>
      <c r="H430" s="20" t="str">
        <f>VLOOKUP(G430,Stammdaten!$A$30:$B$41,2,FALSE)</f>
        <v>Juni</v>
      </c>
      <c r="I430" s="4">
        <v>252</v>
      </c>
      <c r="J430" s="4">
        <v>245</v>
      </c>
      <c r="K430" s="4">
        <f t="shared" si="79"/>
        <v>-7</v>
      </c>
      <c r="L430" s="27">
        <f t="shared" si="80"/>
        <v>-2.7777777777777777</v>
      </c>
      <c r="M430" s="52" t="str">
        <f t="shared" si="81"/>
        <v>Schwund</v>
      </c>
      <c r="N430" s="28">
        <f t="shared" si="82"/>
        <v>17.43</v>
      </c>
      <c r="O430" s="5">
        <v>13</v>
      </c>
      <c r="P430" s="4">
        <v>7</v>
      </c>
      <c r="Q430" s="28">
        <f t="shared" si="83"/>
        <v>4.3574999999999999</v>
      </c>
      <c r="R430" s="50">
        <f t="shared" si="84"/>
        <v>5.2290000000000001</v>
      </c>
      <c r="S430" s="2" t="str">
        <f t="shared" si="85"/>
        <v>Normal</v>
      </c>
      <c r="T430" s="4">
        <v>0</v>
      </c>
      <c r="U430" s="4" t="str">
        <f t="shared" si="86"/>
        <v>Nein</v>
      </c>
      <c r="V430" s="4">
        <f t="shared" si="87"/>
        <v>0</v>
      </c>
      <c r="W430" s="19">
        <f t="shared" si="88"/>
        <v>2.4900000000000002</v>
      </c>
      <c r="X430" s="5">
        <v>0</v>
      </c>
      <c r="Y430" s="28">
        <f t="shared" si="89"/>
        <v>0</v>
      </c>
      <c r="Z430" s="31" t="s">
        <v>172</v>
      </c>
      <c r="AA430" t="str">
        <f t="shared" si="90"/>
        <v>Prozessfehler</v>
      </c>
    </row>
    <row r="431" spans="1:27" x14ac:dyDescent="0.35">
      <c r="A431" s="32" t="s">
        <v>16</v>
      </c>
      <c r="B431" s="2" t="str">
        <f>VLOOKUP(A431,Stammdaten!$A$3:$B$7,2,FALSE)</f>
        <v>Filiale Ost</v>
      </c>
      <c r="C431" s="3" t="str" cm="1">
        <f t="array" ref="C431">INDEX(Stammdaten!$A$11:$A$25,INT((ROW()-5)/12)+1 - INT((ROW()-5)/180)*15)</f>
        <v>A006</v>
      </c>
      <c r="D431" s="2" t="str">
        <f>VLOOKUP(C431,Stammdaten!$A$11:$B$25,2,FALSE)</f>
        <v>Emmentaler 200g</v>
      </c>
      <c r="E431" s="3" t="str">
        <f>VLOOKUP(C431,Stammdaten!$A$11:$C$25,3,FALSE)</f>
        <v>Käse</v>
      </c>
      <c r="F431" s="19">
        <f>VLOOKUP(C431,Stammdaten!$A$11:$D$25,4,FALSE)</f>
        <v>2.4900000000000002</v>
      </c>
      <c r="G431" s="4">
        <f t="shared" si="78"/>
        <v>7</v>
      </c>
      <c r="H431" s="20" t="str">
        <f>VLOOKUP(G431,Stammdaten!$A$30:$B$41,2,FALSE)</f>
        <v>Juli</v>
      </c>
      <c r="I431" s="4">
        <v>270</v>
      </c>
      <c r="J431" s="4">
        <v>260</v>
      </c>
      <c r="K431" s="4">
        <f t="shared" si="79"/>
        <v>-10</v>
      </c>
      <c r="L431" s="27">
        <f t="shared" si="80"/>
        <v>-3.7037037037037033</v>
      </c>
      <c r="M431" s="52" t="str">
        <f t="shared" si="81"/>
        <v>Schwund</v>
      </c>
      <c r="N431" s="28">
        <f t="shared" si="82"/>
        <v>24.900000000000002</v>
      </c>
      <c r="O431" s="5">
        <v>6</v>
      </c>
      <c r="P431" s="4">
        <v>3</v>
      </c>
      <c r="Q431" s="28">
        <f t="shared" si="83"/>
        <v>6.2250000000000005</v>
      </c>
      <c r="R431" s="50">
        <f t="shared" si="84"/>
        <v>7.4700000000000006</v>
      </c>
      <c r="S431" s="2" t="str">
        <f t="shared" si="85"/>
        <v>Normal</v>
      </c>
      <c r="T431" s="4">
        <v>0</v>
      </c>
      <c r="U431" s="4" t="str">
        <f t="shared" si="86"/>
        <v>Nein</v>
      </c>
      <c r="V431" s="4">
        <f t="shared" si="87"/>
        <v>0</v>
      </c>
      <c r="W431" s="19">
        <f t="shared" si="88"/>
        <v>2.4900000000000002</v>
      </c>
      <c r="X431" s="5">
        <v>0</v>
      </c>
      <c r="Y431" s="28">
        <f t="shared" si="89"/>
        <v>0</v>
      </c>
      <c r="Z431" s="31" t="s">
        <v>172</v>
      </c>
      <c r="AA431" t="str">
        <f t="shared" si="90"/>
        <v>Prozessfehler</v>
      </c>
    </row>
    <row r="432" spans="1:27" x14ac:dyDescent="0.35">
      <c r="A432" s="32" t="s">
        <v>16</v>
      </c>
      <c r="B432" s="2" t="str">
        <f>VLOOKUP(A432,Stammdaten!$A$3:$B$7,2,FALSE)</f>
        <v>Filiale Ost</v>
      </c>
      <c r="C432" s="3" t="str" cm="1">
        <f t="array" ref="C432">INDEX(Stammdaten!$A$11:$A$25,INT((ROW()-5)/12)+1 - INT((ROW()-5)/180)*15)</f>
        <v>A006</v>
      </c>
      <c r="D432" s="2" t="str">
        <f>VLOOKUP(C432,Stammdaten!$A$11:$B$25,2,FALSE)</f>
        <v>Emmentaler 200g</v>
      </c>
      <c r="E432" s="3" t="str">
        <f>VLOOKUP(C432,Stammdaten!$A$11:$C$25,3,FALSE)</f>
        <v>Käse</v>
      </c>
      <c r="F432" s="19">
        <f>VLOOKUP(C432,Stammdaten!$A$11:$D$25,4,FALSE)</f>
        <v>2.4900000000000002</v>
      </c>
      <c r="G432" s="4">
        <f t="shared" si="78"/>
        <v>8</v>
      </c>
      <c r="H432" s="20" t="str">
        <f>VLOOKUP(G432,Stammdaten!$A$30:$B$41,2,FALSE)</f>
        <v>August</v>
      </c>
      <c r="I432" s="4">
        <v>256</v>
      </c>
      <c r="J432" s="4">
        <v>249</v>
      </c>
      <c r="K432" s="4">
        <f t="shared" si="79"/>
        <v>-7</v>
      </c>
      <c r="L432" s="27">
        <f t="shared" si="80"/>
        <v>-2.734375</v>
      </c>
      <c r="M432" s="52" t="str">
        <f t="shared" si="81"/>
        <v>Schwund</v>
      </c>
      <c r="N432" s="28">
        <f t="shared" si="82"/>
        <v>17.43</v>
      </c>
      <c r="O432" s="5">
        <v>8</v>
      </c>
      <c r="P432" s="4">
        <v>2</v>
      </c>
      <c r="Q432" s="28">
        <f t="shared" si="83"/>
        <v>4.3574999999999999</v>
      </c>
      <c r="R432" s="50">
        <f t="shared" si="84"/>
        <v>5.2290000000000001</v>
      </c>
      <c r="S432" s="2" t="str">
        <f t="shared" si="85"/>
        <v>Normal</v>
      </c>
      <c r="T432" s="4">
        <v>0</v>
      </c>
      <c r="U432" s="4" t="str">
        <f t="shared" si="86"/>
        <v>Nein</v>
      </c>
      <c r="V432" s="4">
        <f t="shared" si="87"/>
        <v>0</v>
      </c>
      <c r="W432" s="19">
        <f t="shared" si="88"/>
        <v>2.4900000000000002</v>
      </c>
      <c r="X432" s="5">
        <v>0</v>
      </c>
      <c r="Y432" s="28">
        <f t="shared" si="89"/>
        <v>0</v>
      </c>
      <c r="Z432" s="31" t="s">
        <v>172</v>
      </c>
      <c r="AA432" t="str">
        <f t="shared" si="90"/>
        <v>Prozessfehler</v>
      </c>
    </row>
    <row r="433" spans="1:27" x14ac:dyDescent="0.35">
      <c r="A433" s="32" t="s">
        <v>16</v>
      </c>
      <c r="B433" s="2" t="str">
        <f>VLOOKUP(A433,Stammdaten!$A$3:$B$7,2,FALSE)</f>
        <v>Filiale Ost</v>
      </c>
      <c r="C433" s="3" t="str" cm="1">
        <f t="array" ref="C433">INDEX(Stammdaten!$A$11:$A$25,INT((ROW()-5)/12)+1 - INT((ROW()-5)/180)*15)</f>
        <v>A006</v>
      </c>
      <c r="D433" s="2" t="str">
        <f>VLOOKUP(C433,Stammdaten!$A$11:$B$25,2,FALSE)</f>
        <v>Emmentaler 200g</v>
      </c>
      <c r="E433" s="3" t="str">
        <f>VLOOKUP(C433,Stammdaten!$A$11:$C$25,3,FALSE)</f>
        <v>Käse</v>
      </c>
      <c r="F433" s="19">
        <f>VLOOKUP(C433,Stammdaten!$A$11:$D$25,4,FALSE)</f>
        <v>2.4900000000000002</v>
      </c>
      <c r="G433" s="4">
        <f t="shared" si="78"/>
        <v>9</v>
      </c>
      <c r="H433" s="20" t="str">
        <f>VLOOKUP(G433,Stammdaten!$A$30:$B$41,2,FALSE)</f>
        <v>September</v>
      </c>
      <c r="I433" s="4">
        <v>218</v>
      </c>
      <c r="J433" s="4">
        <v>226</v>
      </c>
      <c r="K433" s="4">
        <f t="shared" si="79"/>
        <v>8</v>
      </c>
      <c r="L433" s="27">
        <f t="shared" si="80"/>
        <v>3.669724770642202</v>
      </c>
      <c r="M433" s="52" t="str">
        <f t="shared" si="81"/>
        <v>Überbestand</v>
      </c>
      <c r="N433" s="28">
        <f t="shared" si="82"/>
        <v>19.920000000000002</v>
      </c>
      <c r="O433" s="5">
        <v>2</v>
      </c>
      <c r="P433" s="4">
        <v>3</v>
      </c>
      <c r="Q433" s="28">
        <f t="shared" si="83"/>
        <v>0</v>
      </c>
      <c r="R433" s="50">
        <f t="shared" si="84"/>
        <v>0</v>
      </c>
      <c r="S433" s="2" t="str">
        <f t="shared" si="85"/>
        <v>Normal</v>
      </c>
      <c r="T433" s="4">
        <v>8</v>
      </c>
      <c r="U433" s="4" t="str">
        <f t="shared" si="86"/>
        <v>Ja - 20% Reduzierung</v>
      </c>
      <c r="V433" s="4">
        <f t="shared" si="87"/>
        <v>20</v>
      </c>
      <c r="W433" s="19">
        <f t="shared" si="88"/>
        <v>1.99</v>
      </c>
      <c r="X433" s="5">
        <v>15</v>
      </c>
      <c r="Y433" s="28">
        <f t="shared" si="89"/>
        <v>7.47</v>
      </c>
      <c r="Z433" s="31" t="s">
        <v>173</v>
      </c>
      <c r="AA433" t="str">
        <f t="shared" si="90"/>
        <v>Kassenfehler (Überbestand)</v>
      </c>
    </row>
    <row r="434" spans="1:27" x14ac:dyDescent="0.35">
      <c r="A434" s="32" t="s">
        <v>16</v>
      </c>
      <c r="B434" s="2" t="str">
        <f>VLOOKUP(A434,Stammdaten!$A$3:$B$7,2,FALSE)</f>
        <v>Filiale Ost</v>
      </c>
      <c r="C434" s="3" t="str" cm="1">
        <f t="array" ref="C434">INDEX(Stammdaten!$A$11:$A$25,INT((ROW()-5)/12)+1 - INT((ROW()-5)/180)*15)</f>
        <v>A006</v>
      </c>
      <c r="D434" s="2" t="str">
        <f>VLOOKUP(C434,Stammdaten!$A$11:$B$25,2,FALSE)</f>
        <v>Emmentaler 200g</v>
      </c>
      <c r="E434" s="3" t="str">
        <f>VLOOKUP(C434,Stammdaten!$A$11:$C$25,3,FALSE)</f>
        <v>Käse</v>
      </c>
      <c r="F434" s="19">
        <f>VLOOKUP(C434,Stammdaten!$A$11:$D$25,4,FALSE)</f>
        <v>2.4900000000000002</v>
      </c>
      <c r="G434" s="4">
        <f t="shared" si="78"/>
        <v>10</v>
      </c>
      <c r="H434" s="20" t="str">
        <f>VLOOKUP(G434,Stammdaten!$A$30:$B$41,2,FALSE)</f>
        <v>Oktober</v>
      </c>
      <c r="I434" s="4">
        <v>230</v>
      </c>
      <c r="J434" s="4">
        <v>224</v>
      </c>
      <c r="K434" s="4">
        <f t="shared" si="79"/>
        <v>-6</v>
      </c>
      <c r="L434" s="27">
        <f t="shared" si="80"/>
        <v>-2.6086956521739131</v>
      </c>
      <c r="M434" s="52" t="str">
        <f t="shared" si="81"/>
        <v>Schwund</v>
      </c>
      <c r="N434" s="28">
        <f t="shared" si="82"/>
        <v>14.940000000000001</v>
      </c>
      <c r="O434" s="5">
        <v>20</v>
      </c>
      <c r="P434" s="4">
        <v>4</v>
      </c>
      <c r="Q434" s="28">
        <f t="shared" si="83"/>
        <v>3.7350000000000003</v>
      </c>
      <c r="R434" s="50">
        <f t="shared" si="84"/>
        <v>4.4820000000000002</v>
      </c>
      <c r="S434" s="2" t="str">
        <f t="shared" si="85"/>
        <v>Normal</v>
      </c>
      <c r="T434" s="4">
        <v>0</v>
      </c>
      <c r="U434" s="4" t="str">
        <f t="shared" si="86"/>
        <v>Nein</v>
      </c>
      <c r="V434" s="4">
        <f t="shared" si="87"/>
        <v>0</v>
      </c>
      <c r="W434" s="19">
        <f t="shared" si="88"/>
        <v>2.4900000000000002</v>
      </c>
      <c r="X434" s="5">
        <v>0</v>
      </c>
      <c r="Y434" s="28">
        <f t="shared" si="89"/>
        <v>0</v>
      </c>
      <c r="Z434" s="31" t="s">
        <v>172</v>
      </c>
      <c r="AA434" t="str">
        <f t="shared" si="90"/>
        <v>Prozessfehler</v>
      </c>
    </row>
    <row r="435" spans="1:27" x14ac:dyDescent="0.35">
      <c r="A435" s="32" t="s">
        <v>16</v>
      </c>
      <c r="B435" s="2" t="str">
        <f>VLOOKUP(A435,Stammdaten!$A$3:$B$7,2,FALSE)</f>
        <v>Filiale Ost</v>
      </c>
      <c r="C435" s="3" t="str" cm="1">
        <f t="array" ref="C435">INDEX(Stammdaten!$A$11:$A$25,INT((ROW()-5)/12)+1 - INT((ROW()-5)/180)*15)</f>
        <v>A006</v>
      </c>
      <c r="D435" s="2" t="str">
        <f>VLOOKUP(C435,Stammdaten!$A$11:$B$25,2,FALSE)</f>
        <v>Emmentaler 200g</v>
      </c>
      <c r="E435" s="3" t="str">
        <f>VLOOKUP(C435,Stammdaten!$A$11:$C$25,3,FALSE)</f>
        <v>Käse</v>
      </c>
      <c r="F435" s="19">
        <f>VLOOKUP(C435,Stammdaten!$A$11:$D$25,4,FALSE)</f>
        <v>2.4900000000000002</v>
      </c>
      <c r="G435" s="4">
        <f t="shared" si="78"/>
        <v>11</v>
      </c>
      <c r="H435" s="20" t="str">
        <f>VLOOKUP(G435,Stammdaten!$A$30:$B$41,2,FALSE)</f>
        <v>November</v>
      </c>
      <c r="I435" s="4">
        <v>245</v>
      </c>
      <c r="J435" s="4">
        <v>242</v>
      </c>
      <c r="K435" s="4">
        <f t="shared" si="79"/>
        <v>-3</v>
      </c>
      <c r="L435" s="27">
        <f t="shared" si="80"/>
        <v>-1.2244897959183674</v>
      </c>
      <c r="M435" s="52" t="str">
        <f t="shared" si="81"/>
        <v>Schwund</v>
      </c>
      <c r="N435" s="28">
        <f t="shared" si="82"/>
        <v>7.4700000000000006</v>
      </c>
      <c r="O435" s="5">
        <v>13</v>
      </c>
      <c r="P435" s="4">
        <v>6</v>
      </c>
      <c r="Q435" s="28">
        <f t="shared" si="83"/>
        <v>1.8675000000000002</v>
      </c>
      <c r="R435" s="50">
        <f t="shared" si="84"/>
        <v>2.2410000000000001</v>
      </c>
      <c r="S435" s="2" t="str">
        <f t="shared" si="85"/>
        <v>Black Friday</v>
      </c>
      <c r="T435" s="4">
        <v>0</v>
      </c>
      <c r="U435" s="4" t="str">
        <f t="shared" si="86"/>
        <v>Nein</v>
      </c>
      <c r="V435" s="4">
        <f t="shared" si="87"/>
        <v>0</v>
      </c>
      <c r="W435" s="19">
        <f t="shared" si="88"/>
        <v>2.4900000000000002</v>
      </c>
      <c r="X435" s="5">
        <v>0</v>
      </c>
      <c r="Y435" s="28">
        <f t="shared" si="89"/>
        <v>0</v>
      </c>
      <c r="Z435" s="31" t="s">
        <v>172</v>
      </c>
      <c r="AA435" t="str">
        <f t="shared" si="90"/>
        <v>Normal/Gering</v>
      </c>
    </row>
    <row r="436" spans="1:27" x14ac:dyDescent="0.35">
      <c r="A436" s="32" t="s">
        <v>16</v>
      </c>
      <c r="B436" s="2" t="str">
        <f>VLOOKUP(A436,Stammdaten!$A$3:$B$7,2,FALSE)</f>
        <v>Filiale Ost</v>
      </c>
      <c r="C436" s="3" t="str" cm="1">
        <f t="array" ref="C436">INDEX(Stammdaten!$A$11:$A$25,INT((ROW()-5)/12)+1 - INT((ROW()-5)/180)*15)</f>
        <v>A006</v>
      </c>
      <c r="D436" s="2" t="str">
        <f>VLOOKUP(C436,Stammdaten!$A$11:$B$25,2,FALSE)</f>
        <v>Emmentaler 200g</v>
      </c>
      <c r="E436" s="3" t="str">
        <f>VLOOKUP(C436,Stammdaten!$A$11:$C$25,3,FALSE)</f>
        <v>Käse</v>
      </c>
      <c r="F436" s="19">
        <f>VLOOKUP(C436,Stammdaten!$A$11:$D$25,4,FALSE)</f>
        <v>2.4900000000000002</v>
      </c>
      <c r="G436" s="4">
        <f t="shared" si="78"/>
        <v>12</v>
      </c>
      <c r="H436" s="20" t="str">
        <f>VLOOKUP(G436,Stammdaten!$A$30:$B$41,2,FALSE)</f>
        <v>Dezember</v>
      </c>
      <c r="I436" s="4">
        <v>312</v>
      </c>
      <c r="J436" s="4">
        <v>304</v>
      </c>
      <c r="K436" s="4">
        <f t="shared" si="79"/>
        <v>-8</v>
      </c>
      <c r="L436" s="27">
        <f t="shared" si="80"/>
        <v>-2.5641025641025639</v>
      </c>
      <c r="M436" s="52" t="str">
        <f t="shared" si="81"/>
        <v>Schwund</v>
      </c>
      <c r="N436" s="28">
        <f t="shared" si="82"/>
        <v>19.920000000000002</v>
      </c>
      <c r="O436" s="5">
        <v>6</v>
      </c>
      <c r="P436" s="4">
        <v>3</v>
      </c>
      <c r="Q436" s="28">
        <f t="shared" si="83"/>
        <v>4.9800000000000004</v>
      </c>
      <c r="R436" s="50">
        <f t="shared" si="84"/>
        <v>5.976</v>
      </c>
      <c r="S436" s="2" t="str">
        <f t="shared" si="85"/>
        <v>Weihnachten/Silvester</v>
      </c>
      <c r="T436" s="4">
        <v>0</v>
      </c>
      <c r="U436" s="4" t="str">
        <f t="shared" si="86"/>
        <v>Nein</v>
      </c>
      <c r="V436" s="4">
        <f t="shared" si="87"/>
        <v>0</v>
      </c>
      <c r="W436" s="19">
        <f t="shared" si="88"/>
        <v>2.4900000000000002</v>
      </c>
      <c r="X436" s="5">
        <v>0</v>
      </c>
      <c r="Y436" s="28">
        <f t="shared" si="89"/>
        <v>0</v>
      </c>
      <c r="Z436" s="31" t="s">
        <v>172</v>
      </c>
      <c r="AA436" t="str">
        <f t="shared" si="90"/>
        <v>Prozessfehler</v>
      </c>
    </row>
    <row r="437" spans="1:27" x14ac:dyDescent="0.35">
      <c r="A437" s="32" t="s">
        <v>16</v>
      </c>
      <c r="B437" s="2" t="str">
        <f>VLOOKUP(A437,Stammdaten!$A$3:$B$7,2,FALSE)</f>
        <v>Filiale Ost</v>
      </c>
      <c r="C437" s="3" t="str" cm="1">
        <f t="array" ref="C437">INDEX(Stammdaten!$A$11:$A$25,INT((ROW()-5)/12)+1 - INT((ROW()-5)/180)*15)</f>
        <v>A007</v>
      </c>
      <c r="D437" s="2" t="str">
        <f>VLOOKUP(C437,Stammdaten!$A$11:$B$25,2,FALSE)</f>
        <v>Naturjoghurt 500g</v>
      </c>
      <c r="E437" s="3" t="str">
        <f>VLOOKUP(C437,Stammdaten!$A$11:$C$25,3,FALSE)</f>
        <v>Joghurt</v>
      </c>
      <c r="F437" s="19">
        <f>VLOOKUP(C437,Stammdaten!$A$11:$D$25,4,FALSE)</f>
        <v>0.89</v>
      </c>
      <c r="G437" s="4">
        <f t="shared" si="78"/>
        <v>1</v>
      </c>
      <c r="H437" s="20" t="str">
        <f>VLOOKUP(G437,Stammdaten!$A$30:$B$41,2,FALSE)</f>
        <v>Januar</v>
      </c>
      <c r="I437" s="4">
        <v>432</v>
      </c>
      <c r="J437" s="4">
        <v>415</v>
      </c>
      <c r="K437" s="4">
        <f t="shared" si="79"/>
        <v>-17</v>
      </c>
      <c r="L437" s="27">
        <f t="shared" si="80"/>
        <v>-3.9351851851851851</v>
      </c>
      <c r="M437" s="52" t="str">
        <f t="shared" si="81"/>
        <v>Schwund</v>
      </c>
      <c r="N437" s="28">
        <f t="shared" si="82"/>
        <v>15.13</v>
      </c>
      <c r="O437" s="5">
        <v>11</v>
      </c>
      <c r="P437" s="4">
        <v>4</v>
      </c>
      <c r="Q437" s="28">
        <f t="shared" si="83"/>
        <v>3.7825000000000002</v>
      </c>
      <c r="R437" s="50">
        <f t="shared" si="84"/>
        <v>4.5389999999999997</v>
      </c>
      <c r="S437" s="2" t="str">
        <f t="shared" si="85"/>
        <v>Normal</v>
      </c>
      <c r="T437" s="4">
        <v>0</v>
      </c>
      <c r="U437" s="4" t="str">
        <f t="shared" si="86"/>
        <v>Nein</v>
      </c>
      <c r="V437" s="4">
        <f t="shared" si="87"/>
        <v>0</v>
      </c>
      <c r="W437" s="19">
        <f t="shared" si="88"/>
        <v>0.89</v>
      </c>
      <c r="X437" s="5">
        <v>0</v>
      </c>
      <c r="Y437" s="28">
        <f t="shared" si="89"/>
        <v>0</v>
      </c>
      <c r="Z437" s="31" t="s">
        <v>172</v>
      </c>
      <c r="AA437" t="str">
        <f t="shared" si="90"/>
        <v>Prozessfehler</v>
      </c>
    </row>
    <row r="438" spans="1:27" x14ac:dyDescent="0.35">
      <c r="A438" s="32" t="s">
        <v>16</v>
      </c>
      <c r="B438" s="2" t="str">
        <f>VLOOKUP(A438,Stammdaten!$A$3:$B$7,2,FALSE)</f>
        <v>Filiale Ost</v>
      </c>
      <c r="C438" s="3" t="str" cm="1">
        <f t="array" ref="C438">INDEX(Stammdaten!$A$11:$A$25,INT((ROW()-5)/12)+1 - INT((ROW()-5)/180)*15)</f>
        <v>A007</v>
      </c>
      <c r="D438" s="2" t="str">
        <f>VLOOKUP(C438,Stammdaten!$A$11:$B$25,2,FALSE)</f>
        <v>Naturjoghurt 500g</v>
      </c>
      <c r="E438" s="3" t="str">
        <f>VLOOKUP(C438,Stammdaten!$A$11:$C$25,3,FALSE)</f>
        <v>Joghurt</v>
      </c>
      <c r="F438" s="19">
        <f>VLOOKUP(C438,Stammdaten!$A$11:$D$25,4,FALSE)</f>
        <v>0.89</v>
      </c>
      <c r="G438" s="4">
        <f t="shared" si="78"/>
        <v>2</v>
      </c>
      <c r="H438" s="20" t="str">
        <f>VLOOKUP(G438,Stammdaten!$A$30:$B$41,2,FALSE)</f>
        <v>Februar</v>
      </c>
      <c r="I438" s="4">
        <v>438</v>
      </c>
      <c r="J438" s="4">
        <v>423</v>
      </c>
      <c r="K438" s="4">
        <f t="shared" si="79"/>
        <v>-15</v>
      </c>
      <c r="L438" s="27">
        <f t="shared" si="80"/>
        <v>-3.4246575342465753</v>
      </c>
      <c r="M438" s="52" t="str">
        <f t="shared" si="81"/>
        <v>Schwund</v>
      </c>
      <c r="N438" s="28">
        <f t="shared" si="82"/>
        <v>13.35</v>
      </c>
      <c r="O438" s="5">
        <v>7</v>
      </c>
      <c r="P438" s="4">
        <v>3</v>
      </c>
      <c r="Q438" s="28">
        <f t="shared" si="83"/>
        <v>3.3374999999999999</v>
      </c>
      <c r="R438" s="50">
        <f t="shared" si="84"/>
        <v>4.0049999999999999</v>
      </c>
      <c r="S438" s="2" t="str">
        <f t="shared" si="85"/>
        <v>Karneval</v>
      </c>
      <c r="T438" s="4">
        <v>0</v>
      </c>
      <c r="U438" s="4" t="str">
        <f t="shared" si="86"/>
        <v>Nein</v>
      </c>
      <c r="V438" s="4">
        <f t="shared" si="87"/>
        <v>0</v>
      </c>
      <c r="W438" s="19">
        <f t="shared" si="88"/>
        <v>0.89</v>
      </c>
      <c r="X438" s="5">
        <v>0</v>
      </c>
      <c r="Y438" s="28">
        <f t="shared" si="89"/>
        <v>0</v>
      </c>
      <c r="Z438" s="31" t="s">
        <v>172</v>
      </c>
      <c r="AA438" t="str">
        <f t="shared" si="90"/>
        <v>Prozessfehler</v>
      </c>
    </row>
    <row r="439" spans="1:27" x14ac:dyDescent="0.35">
      <c r="A439" s="32" t="s">
        <v>16</v>
      </c>
      <c r="B439" s="2" t="str">
        <f>VLOOKUP(A439,Stammdaten!$A$3:$B$7,2,FALSE)</f>
        <v>Filiale Ost</v>
      </c>
      <c r="C439" s="3" t="str" cm="1">
        <f t="array" ref="C439">INDEX(Stammdaten!$A$11:$A$25,INT((ROW()-5)/12)+1 - INT((ROW()-5)/180)*15)</f>
        <v>A007</v>
      </c>
      <c r="D439" s="2" t="str">
        <f>VLOOKUP(C439,Stammdaten!$A$11:$B$25,2,FALSE)</f>
        <v>Naturjoghurt 500g</v>
      </c>
      <c r="E439" s="3" t="str">
        <f>VLOOKUP(C439,Stammdaten!$A$11:$C$25,3,FALSE)</f>
        <v>Joghurt</v>
      </c>
      <c r="F439" s="19">
        <f>VLOOKUP(C439,Stammdaten!$A$11:$D$25,4,FALSE)</f>
        <v>0.89</v>
      </c>
      <c r="G439" s="4">
        <f t="shared" si="78"/>
        <v>3</v>
      </c>
      <c r="H439" s="20" t="str">
        <f>VLOOKUP(G439,Stammdaten!$A$30:$B$41,2,FALSE)</f>
        <v>März</v>
      </c>
      <c r="I439" s="4">
        <v>509</v>
      </c>
      <c r="J439" s="4">
        <v>496</v>
      </c>
      <c r="K439" s="4">
        <f t="shared" si="79"/>
        <v>-13</v>
      </c>
      <c r="L439" s="27">
        <f t="shared" si="80"/>
        <v>-2.5540275049115913</v>
      </c>
      <c r="M439" s="52" t="str">
        <f t="shared" si="81"/>
        <v>Schwund</v>
      </c>
      <c r="N439" s="28">
        <f t="shared" si="82"/>
        <v>11.57</v>
      </c>
      <c r="O439" s="5">
        <v>11</v>
      </c>
      <c r="P439" s="4">
        <v>4</v>
      </c>
      <c r="Q439" s="28">
        <f t="shared" si="83"/>
        <v>2.8925000000000001</v>
      </c>
      <c r="R439" s="50">
        <f t="shared" si="84"/>
        <v>3.4710000000000001</v>
      </c>
      <c r="S439" s="2" t="str">
        <f t="shared" si="85"/>
        <v>Normal</v>
      </c>
      <c r="T439" s="4">
        <v>0</v>
      </c>
      <c r="U439" s="4" t="str">
        <f t="shared" si="86"/>
        <v>Nein</v>
      </c>
      <c r="V439" s="4">
        <f t="shared" si="87"/>
        <v>0</v>
      </c>
      <c r="W439" s="19">
        <f t="shared" si="88"/>
        <v>0.89</v>
      </c>
      <c r="X439" s="5">
        <v>0</v>
      </c>
      <c r="Y439" s="28">
        <f t="shared" si="89"/>
        <v>0</v>
      </c>
      <c r="Z439" s="31" t="s">
        <v>172</v>
      </c>
      <c r="AA439" t="str">
        <f t="shared" si="90"/>
        <v>Prozessfehler</v>
      </c>
    </row>
    <row r="440" spans="1:27" x14ac:dyDescent="0.35">
      <c r="A440" s="32" t="s">
        <v>16</v>
      </c>
      <c r="B440" s="2" t="str">
        <f>VLOOKUP(A440,Stammdaten!$A$3:$B$7,2,FALSE)</f>
        <v>Filiale Ost</v>
      </c>
      <c r="C440" s="3" t="str" cm="1">
        <f t="array" ref="C440">INDEX(Stammdaten!$A$11:$A$25,INT((ROW()-5)/12)+1 - INT((ROW()-5)/180)*15)</f>
        <v>A007</v>
      </c>
      <c r="D440" s="2" t="str">
        <f>VLOOKUP(C440,Stammdaten!$A$11:$B$25,2,FALSE)</f>
        <v>Naturjoghurt 500g</v>
      </c>
      <c r="E440" s="3" t="str">
        <f>VLOOKUP(C440,Stammdaten!$A$11:$C$25,3,FALSE)</f>
        <v>Joghurt</v>
      </c>
      <c r="F440" s="19">
        <f>VLOOKUP(C440,Stammdaten!$A$11:$D$25,4,FALSE)</f>
        <v>0.89</v>
      </c>
      <c r="G440" s="4">
        <f t="shared" si="78"/>
        <v>4</v>
      </c>
      <c r="H440" s="20" t="str">
        <f>VLOOKUP(G440,Stammdaten!$A$30:$B$41,2,FALSE)</f>
        <v>April</v>
      </c>
      <c r="I440" s="4">
        <v>588</v>
      </c>
      <c r="J440" s="4">
        <v>568</v>
      </c>
      <c r="K440" s="4">
        <f t="shared" si="79"/>
        <v>-20</v>
      </c>
      <c r="L440" s="27">
        <f t="shared" si="80"/>
        <v>-3.4013605442176873</v>
      </c>
      <c r="M440" s="52" t="str">
        <f t="shared" si="81"/>
        <v>Schwund</v>
      </c>
      <c r="N440" s="28">
        <f t="shared" si="82"/>
        <v>17.8</v>
      </c>
      <c r="O440" s="5">
        <v>1</v>
      </c>
      <c r="P440" s="4">
        <v>1</v>
      </c>
      <c r="Q440" s="28">
        <f t="shared" si="83"/>
        <v>4.45</v>
      </c>
      <c r="R440" s="50">
        <f t="shared" si="84"/>
        <v>5.34</v>
      </c>
      <c r="S440" s="2" t="str">
        <f t="shared" si="85"/>
        <v>Ostern</v>
      </c>
      <c r="T440" s="4">
        <v>0</v>
      </c>
      <c r="U440" s="4" t="str">
        <f t="shared" si="86"/>
        <v>Ja - 20% Reduzierung</v>
      </c>
      <c r="V440" s="4">
        <f t="shared" si="87"/>
        <v>20</v>
      </c>
      <c r="W440" s="19">
        <f t="shared" si="88"/>
        <v>0.71</v>
      </c>
      <c r="X440" s="5">
        <v>35</v>
      </c>
      <c r="Y440" s="28">
        <f t="shared" si="89"/>
        <v>6.23</v>
      </c>
      <c r="Z440" s="31" t="s">
        <v>173</v>
      </c>
      <c r="AA440" t="str">
        <f t="shared" si="90"/>
        <v>Buchungsfehler Wareneingang</v>
      </c>
    </row>
    <row r="441" spans="1:27" x14ac:dyDescent="0.35">
      <c r="A441" s="32" t="s">
        <v>16</v>
      </c>
      <c r="B441" s="2" t="str">
        <f>VLOOKUP(A441,Stammdaten!$A$3:$B$7,2,FALSE)</f>
        <v>Filiale Ost</v>
      </c>
      <c r="C441" s="3" t="str" cm="1">
        <f t="array" ref="C441">INDEX(Stammdaten!$A$11:$A$25,INT((ROW()-5)/12)+1 - INT((ROW()-5)/180)*15)</f>
        <v>A007</v>
      </c>
      <c r="D441" s="2" t="str">
        <f>VLOOKUP(C441,Stammdaten!$A$11:$B$25,2,FALSE)</f>
        <v>Naturjoghurt 500g</v>
      </c>
      <c r="E441" s="3" t="str">
        <f>VLOOKUP(C441,Stammdaten!$A$11:$C$25,3,FALSE)</f>
        <v>Joghurt</v>
      </c>
      <c r="F441" s="19">
        <f>VLOOKUP(C441,Stammdaten!$A$11:$D$25,4,FALSE)</f>
        <v>0.89</v>
      </c>
      <c r="G441" s="4">
        <f t="shared" si="78"/>
        <v>5</v>
      </c>
      <c r="H441" s="20" t="str">
        <f>VLOOKUP(G441,Stammdaten!$A$30:$B$41,2,FALSE)</f>
        <v>Mai</v>
      </c>
      <c r="I441" s="4">
        <v>475</v>
      </c>
      <c r="J441" s="4">
        <v>456</v>
      </c>
      <c r="K441" s="4">
        <f t="shared" si="79"/>
        <v>-19</v>
      </c>
      <c r="L441" s="27">
        <f t="shared" si="80"/>
        <v>-4</v>
      </c>
      <c r="M441" s="52" t="str">
        <f t="shared" si="81"/>
        <v>Schwund</v>
      </c>
      <c r="N441" s="28">
        <f t="shared" si="82"/>
        <v>16.91</v>
      </c>
      <c r="O441" s="5">
        <v>1</v>
      </c>
      <c r="P441" s="4">
        <v>3</v>
      </c>
      <c r="Q441" s="28">
        <f t="shared" si="83"/>
        <v>4.2275</v>
      </c>
      <c r="R441" s="50">
        <f t="shared" si="84"/>
        <v>5.0729999999999995</v>
      </c>
      <c r="S441" s="2" t="str">
        <f t="shared" si="85"/>
        <v>Normal</v>
      </c>
      <c r="T441" s="4">
        <v>0</v>
      </c>
      <c r="U441" s="4" t="str">
        <f t="shared" si="86"/>
        <v>Ja - 20% Reduzierung</v>
      </c>
      <c r="V441" s="4">
        <f t="shared" si="87"/>
        <v>20</v>
      </c>
      <c r="W441" s="19">
        <f t="shared" si="88"/>
        <v>0.71</v>
      </c>
      <c r="X441" s="5">
        <v>24</v>
      </c>
      <c r="Y441" s="28">
        <f t="shared" si="89"/>
        <v>4.2699999999999996</v>
      </c>
      <c r="Z441" s="31" t="s">
        <v>173</v>
      </c>
      <c r="AA441" t="str">
        <f t="shared" si="90"/>
        <v>Prozessfehler</v>
      </c>
    </row>
    <row r="442" spans="1:27" x14ac:dyDescent="0.35">
      <c r="A442" s="32" t="s">
        <v>16</v>
      </c>
      <c r="B442" s="2" t="str">
        <f>VLOOKUP(A442,Stammdaten!$A$3:$B$7,2,FALSE)</f>
        <v>Filiale Ost</v>
      </c>
      <c r="C442" s="3" t="str" cm="1">
        <f t="array" ref="C442">INDEX(Stammdaten!$A$11:$A$25,INT((ROW()-5)/12)+1 - INT((ROW()-5)/180)*15)</f>
        <v>A007</v>
      </c>
      <c r="D442" s="2" t="str">
        <f>VLOOKUP(C442,Stammdaten!$A$11:$B$25,2,FALSE)</f>
        <v>Naturjoghurt 500g</v>
      </c>
      <c r="E442" s="3" t="str">
        <f>VLOOKUP(C442,Stammdaten!$A$11:$C$25,3,FALSE)</f>
        <v>Joghurt</v>
      </c>
      <c r="F442" s="19">
        <f>VLOOKUP(C442,Stammdaten!$A$11:$D$25,4,FALSE)</f>
        <v>0.89</v>
      </c>
      <c r="G442" s="4">
        <f t="shared" si="78"/>
        <v>6</v>
      </c>
      <c r="H442" s="20" t="str">
        <f>VLOOKUP(G442,Stammdaten!$A$30:$B$41,2,FALSE)</f>
        <v>Juni</v>
      </c>
      <c r="I442" s="4">
        <v>528</v>
      </c>
      <c r="J442" s="4">
        <v>513</v>
      </c>
      <c r="K442" s="4">
        <f t="shared" si="79"/>
        <v>-15</v>
      </c>
      <c r="L442" s="27">
        <f t="shared" si="80"/>
        <v>-2.8409090909090908</v>
      </c>
      <c r="M442" s="52" t="str">
        <f t="shared" si="81"/>
        <v>Schwund</v>
      </c>
      <c r="N442" s="28">
        <f t="shared" si="82"/>
        <v>13.35</v>
      </c>
      <c r="O442" s="5">
        <v>1</v>
      </c>
      <c r="P442" s="4">
        <v>5</v>
      </c>
      <c r="Q442" s="28">
        <f t="shared" si="83"/>
        <v>3.3374999999999999</v>
      </c>
      <c r="R442" s="50">
        <f t="shared" si="84"/>
        <v>4.0049999999999999</v>
      </c>
      <c r="S442" s="2" t="str">
        <f t="shared" si="85"/>
        <v>Normal</v>
      </c>
      <c r="T442" s="4">
        <v>0</v>
      </c>
      <c r="U442" s="4" t="str">
        <f t="shared" si="86"/>
        <v>Ja - 20% Reduzierung</v>
      </c>
      <c r="V442" s="4">
        <f t="shared" si="87"/>
        <v>20</v>
      </c>
      <c r="W442" s="19">
        <f t="shared" si="88"/>
        <v>0.71</v>
      </c>
      <c r="X442" s="5">
        <v>53</v>
      </c>
      <c r="Y442" s="28">
        <f t="shared" si="89"/>
        <v>9.43</v>
      </c>
      <c r="Z442" s="31" t="s">
        <v>167</v>
      </c>
      <c r="AA442" t="str">
        <f t="shared" si="90"/>
        <v>MHD - Prozessfehler</v>
      </c>
    </row>
    <row r="443" spans="1:27" x14ac:dyDescent="0.35">
      <c r="A443" s="32" t="s">
        <v>16</v>
      </c>
      <c r="B443" s="2" t="str">
        <f>VLOOKUP(A443,Stammdaten!$A$3:$B$7,2,FALSE)</f>
        <v>Filiale Ost</v>
      </c>
      <c r="C443" s="3" t="str" cm="1">
        <f t="array" ref="C443">INDEX(Stammdaten!$A$11:$A$25,INT((ROW()-5)/12)+1 - INT((ROW()-5)/180)*15)</f>
        <v>A007</v>
      </c>
      <c r="D443" s="2" t="str">
        <f>VLOOKUP(C443,Stammdaten!$A$11:$B$25,2,FALSE)</f>
        <v>Naturjoghurt 500g</v>
      </c>
      <c r="E443" s="3" t="str">
        <f>VLOOKUP(C443,Stammdaten!$A$11:$C$25,3,FALSE)</f>
        <v>Joghurt</v>
      </c>
      <c r="F443" s="19">
        <f>VLOOKUP(C443,Stammdaten!$A$11:$D$25,4,FALSE)</f>
        <v>0.89</v>
      </c>
      <c r="G443" s="4">
        <f t="shared" si="78"/>
        <v>7</v>
      </c>
      <c r="H443" s="20" t="str">
        <f>VLOOKUP(G443,Stammdaten!$A$30:$B$41,2,FALSE)</f>
        <v>Juli</v>
      </c>
      <c r="I443" s="4">
        <v>582</v>
      </c>
      <c r="J443" s="4">
        <v>557</v>
      </c>
      <c r="K443" s="4">
        <f t="shared" si="79"/>
        <v>-25</v>
      </c>
      <c r="L443" s="27">
        <f t="shared" si="80"/>
        <v>-4.2955326460481098</v>
      </c>
      <c r="M443" s="52" t="str">
        <f t="shared" si="81"/>
        <v>Schwund</v>
      </c>
      <c r="N443" s="28">
        <f t="shared" si="82"/>
        <v>22.25</v>
      </c>
      <c r="O443" s="5">
        <v>2</v>
      </c>
      <c r="P443" s="4">
        <v>4</v>
      </c>
      <c r="Q443" s="28">
        <f t="shared" si="83"/>
        <v>5.5625</v>
      </c>
      <c r="R443" s="50">
        <f t="shared" si="84"/>
        <v>6.6749999999999998</v>
      </c>
      <c r="S443" s="2" t="str">
        <f t="shared" si="85"/>
        <v>Normal</v>
      </c>
      <c r="T443" s="4">
        <v>0</v>
      </c>
      <c r="U443" s="4" t="str">
        <f t="shared" si="86"/>
        <v>Ja - 20% Reduzierung</v>
      </c>
      <c r="V443" s="4">
        <f t="shared" si="87"/>
        <v>20</v>
      </c>
      <c r="W443" s="19">
        <f t="shared" si="88"/>
        <v>0.71</v>
      </c>
      <c r="X443" s="5">
        <v>81</v>
      </c>
      <c r="Y443" s="28">
        <f t="shared" si="89"/>
        <v>14.42</v>
      </c>
      <c r="Z443" s="31" t="s">
        <v>173</v>
      </c>
      <c r="AA443" t="str">
        <f t="shared" si="90"/>
        <v>Prozessfehler</v>
      </c>
    </row>
    <row r="444" spans="1:27" x14ac:dyDescent="0.35">
      <c r="A444" s="32" t="s">
        <v>16</v>
      </c>
      <c r="B444" s="2" t="str">
        <f>VLOOKUP(A444,Stammdaten!$A$3:$B$7,2,FALSE)</f>
        <v>Filiale Ost</v>
      </c>
      <c r="C444" s="3" t="str" cm="1">
        <f t="array" ref="C444">INDEX(Stammdaten!$A$11:$A$25,INT((ROW()-5)/12)+1 - INT((ROW()-5)/180)*15)</f>
        <v>A007</v>
      </c>
      <c r="D444" s="2" t="str">
        <f>VLOOKUP(C444,Stammdaten!$A$11:$B$25,2,FALSE)</f>
        <v>Naturjoghurt 500g</v>
      </c>
      <c r="E444" s="3" t="str">
        <f>VLOOKUP(C444,Stammdaten!$A$11:$C$25,3,FALSE)</f>
        <v>Joghurt</v>
      </c>
      <c r="F444" s="19">
        <f>VLOOKUP(C444,Stammdaten!$A$11:$D$25,4,FALSE)</f>
        <v>0.89</v>
      </c>
      <c r="G444" s="4">
        <f t="shared" si="78"/>
        <v>8</v>
      </c>
      <c r="H444" s="20" t="str">
        <f>VLOOKUP(G444,Stammdaten!$A$30:$B$41,2,FALSE)</f>
        <v>August</v>
      </c>
      <c r="I444" s="4">
        <v>575</v>
      </c>
      <c r="J444" s="4">
        <v>575</v>
      </c>
      <c r="K444" s="4">
        <f t="shared" si="79"/>
        <v>0</v>
      </c>
      <c r="L444" s="27">
        <f t="shared" si="80"/>
        <v>0</v>
      </c>
      <c r="M444" s="52" t="str">
        <f t="shared" si="81"/>
        <v>Perfekt</v>
      </c>
      <c r="N444" s="28">
        <f t="shared" si="82"/>
        <v>0</v>
      </c>
      <c r="O444" s="5">
        <v>0</v>
      </c>
      <c r="P444" s="4">
        <v>2</v>
      </c>
      <c r="Q444" s="28">
        <f t="shared" si="83"/>
        <v>0</v>
      </c>
      <c r="R444" s="50">
        <f t="shared" si="84"/>
        <v>0</v>
      </c>
      <c r="S444" s="2" t="str">
        <f t="shared" si="85"/>
        <v>Normal</v>
      </c>
      <c r="T444" s="4">
        <v>0</v>
      </c>
      <c r="U444" s="4" t="str">
        <f t="shared" si="86"/>
        <v>Abschreibung</v>
      </c>
      <c r="V444" s="4">
        <f t="shared" si="87"/>
        <v>100</v>
      </c>
      <c r="W444" s="19">
        <f t="shared" si="88"/>
        <v>0</v>
      </c>
      <c r="X444" s="5">
        <v>12</v>
      </c>
      <c r="Y444" s="28">
        <f t="shared" si="89"/>
        <v>10.68</v>
      </c>
      <c r="Z444" s="31" t="s">
        <v>173</v>
      </c>
      <c r="AA444" t="str">
        <f t="shared" si="90"/>
        <v>Verderb - Abgelaufen</v>
      </c>
    </row>
    <row r="445" spans="1:27" x14ac:dyDescent="0.35">
      <c r="A445" s="32" t="s">
        <v>16</v>
      </c>
      <c r="B445" s="2" t="str">
        <f>VLOOKUP(A445,Stammdaten!$A$3:$B$7,2,FALSE)</f>
        <v>Filiale Ost</v>
      </c>
      <c r="C445" s="3" t="str" cm="1">
        <f t="array" ref="C445">INDEX(Stammdaten!$A$11:$A$25,INT((ROW()-5)/12)+1 - INT((ROW()-5)/180)*15)</f>
        <v>A007</v>
      </c>
      <c r="D445" s="2" t="str">
        <f>VLOOKUP(C445,Stammdaten!$A$11:$B$25,2,FALSE)</f>
        <v>Naturjoghurt 500g</v>
      </c>
      <c r="E445" s="3" t="str">
        <f>VLOOKUP(C445,Stammdaten!$A$11:$C$25,3,FALSE)</f>
        <v>Joghurt</v>
      </c>
      <c r="F445" s="19">
        <f>VLOOKUP(C445,Stammdaten!$A$11:$D$25,4,FALSE)</f>
        <v>0.89</v>
      </c>
      <c r="G445" s="4">
        <f t="shared" si="78"/>
        <v>9</v>
      </c>
      <c r="H445" s="20" t="str">
        <f>VLOOKUP(G445,Stammdaten!$A$30:$B$41,2,FALSE)</f>
        <v>September</v>
      </c>
      <c r="I445" s="4">
        <v>461</v>
      </c>
      <c r="J445" s="4">
        <v>440</v>
      </c>
      <c r="K445" s="4">
        <f t="shared" si="79"/>
        <v>-21</v>
      </c>
      <c r="L445" s="27">
        <f t="shared" si="80"/>
        <v>-4.5553145336225596</v>
      </c>
      <c r="M445" s="52" t="str">
        <f t="shared" si="81"/>
        <v>Schwund</v>
      </c>
      <c r="N445" s="28">
        <f t="shared" si="82"/>
        <v>18.690000000000001</v>
      </c>
      <c r="O445" s="5">
        <v>1</v>
      </c>
      <c r="P445" s="4">
        <v>5</v>
      </c>
      <c r="Q445" s="28">
        <f t="shared" si="83"/>
        <v>4.6725000000000003</v>
      </c>
      <c r="R445" s="50">
        <f t="shared" si="84"/>
        <v>5.6070000000000002</v>
      </c>
      <c r="S445" s="2" t="str">
        <f t="shared" si="85"/>
        <v>Normal</v>
      </c>
      <c r="T445" s="4">
        <v>0</v>
      </c>
      <c r="U445" s="4" t="str">
        <f t="shared" si="86"/>
        <v>Ja - 20% Reduzierung</v>
      </c>
      <c r="V445" s="4">
        <f t="shared" si="87"/>
        <v>20</v>
      </c>
      <c r="W445" s="19">
        <f t="shared" si="88"/>
        <v>0.71</v>
      </c>
      <c r="X445" s="5">
        <v>51</v>
      </c>
      <c r="Y445" s="28">
        <f t="shared" si="89"/>
        <v>9.08</v>
      </c>
      <c r="Z445" s="31" t="s">
        <v>173</v>
      </c>
      <c r="AA445" t="str">
        <f t="shared" si="90"/>
        <v>Prozessfehler</v>
      </c>
    </row>
    <row r="446" spans="1:27" x14ac:dyDescent="0.35">
      <c r="A446" s="32" t="s">
        <v>16</v>
      </c>
      <c r="B446" s="2" t="str">
        <f>VLOOKUP(A446,Stammdaten!$A$3:$B$7,2,FALSE)</f>
        <v>Filiale Ost</v>
      </c>
      <c r="C446" s="3" t="str" cm="1">
        <f t="array" ref="C446">INDEX(Stammdaten!$A$11:$A$25,INT((ROW()-5)/12)+1 - INT((ROW()-5)/180)*15)</f>
        <v>A007</v>
      </c>
      <c r="D446" s="2" t="str">
        <f>VLOOKUP(C446,Stammdaten!$A$11:$B$25,2,FALSE)</f>
        <v>Naturjoghurt 500g</v>
      </c>
      <c r="E446" s="3" t="str">
        <f>VLOOKUP(C446,Stammdaten!$A$11:$C$25,3,FALSE)</f>
        <v>Joghurt</v>
      </c>
      <c r="F446" s="19">
        <f>VLOOKUP(C446,Stammdaten!$A$11:$D$25,4,FALSE)</f>
        <v>0.89</v>
      </c>
      <c r="G446" s="4">
        <f t="shared" si="78"/>
        <v>10</v>
      </c>
      <c r="H446" s="20" t="str">
        <f>VLOOKUP(G446,Stammdaten!$A$30:$B$41,2,FALSE)</f>
        <v>Oktober</v>
      </c>
      <c r="I446" s="4">
        <v>520</v>
      </c>
      <c r="J446" s="4">
        <v>520</v>
      </c>
      <c r="K446" s="4">
        <f t="shared" si="79"/>
        <v>0</v>
      </c>
      <c r="L446" s="27">
        <f t="shared" si="80"/>
        <v>0</v>
      </c>
      <c r="M446" s="52" t="str">
        <f t="shared" si="81"/>
        <v>Perfekt</v>
      </c>
      <c r="N446" s="28">
        <f t="shared" si="82"/>
        <v>0</v>
      </c>
      <c r="O446" s="5">
        <v>13</v>
      </c>
      <c r="P446" s="4">
        <v>3</v>
      </c>
      <c r="Q446" s="28">
        <f t="shared" si="83"/>
        <v>0</v>
      </c>
      <c r="R446" s="50">
        <f t="shared" si="84"/>
        <v>0</v>
      </c>
      <c r="S446" s="2" t="str">
        <f t="shared" si="85"/>
        <v>Normal</v>
      </c>
      <c r="T446" s="4">
        <v>0</v>
      </c>
      <c r="U446" s="4" t="str">
        <f t="shared" si="86"/>
        <v>Nein</v>
      </c>
      <c r="V446" s="4">
        <f t="shared" si="87"/>
        <v>0</v>
      </c>
      <c r="W446" s="19">
        <f t="shared" si="88"/>
        <v>0.89</v>
      </c>
      <c r="X446" s="5">
        <v>0</v>
      </c>
      <c r="Y446" s="28">
        <f t="shared" si="89"/>
        <v>0</v>
      </c>
      <c r="Z446" s="31" t="s">
        <v>172</v>
      </c>
      <c r="AA446" t="str">
        <f t="shared" si="90"/>
        <v>Normal/Gering</v>
      </c>
    </row>
    <row r="447" spans="1:27" x14ac:dyDescent="0.35">
      <c r="A447" s="32" t="s">
        <v>16</v>
      </c>
      <c r="B447" s="2" t="str">
        <f>VLOOKUP(A447,Stammdaten!$A$3:$B$7,2,FALSE)</f>
        <v>Filiale Ost</v>
      </c>
      <c r="C447" s="3" t="str" cm="1">
        <f t="array" ref="C447">INDEX(Stammdaten!$A$11:$A$25,INT((ROW()-5)/12)+1 - INT((ROW()-5)/180)*15)</f>
        <v>A007</v>
      </c>
      <c r="D447" s="2" t="str">
        <f>VLOOKUP(C447,Stammdaten!$A$11:$B$25,2,FALSE)</f>
        <v>Naturjoghurt 500g</v>
      </c>
      <c r="E447" s="3" t="str">
        <f>VLOOKUP(C447,Stammdaten!$A$11:$C$25,3,FALSE)</f>
        <v>Joghurt</v>
      </c>
      <c r="F447" s="19">
        <f>VLOOKUP(C447,Stammdaten!$A$11:$D$25,4,FALSE)</f>
        <v>0.89</v>
      </c>
      <c r="G447" s="4">
        <f t="shared" si="78"/>
        <v>11</v>
      </c>
      <c r="H447" s="20" t="str">
        <f>VLOOKUP(G447,Stammdaten!$A$30:$B$41,2,FALSE)</f>
        <v>November</v>
      </c>
      <c r="I447" s="4">
        <v>572</v>
      </c>
      <c r="J447" s="4">
        <v>576</v>
      </c>
      <c r="K447" s="4">
        <f t="shared" si="79"/>
        <v>4</v>
      </c>
      <c r="L447" s="27">
        <f t="shared" si="80"/>
        <v>0.69930069930069927</v>
      </c>
      <c r="M447" s="52" t="str">
        <f t="shared" si="81"/>
        <v>Überbestand</v>
      </c>
      <c r="N447" s="28">
        <f t="shared" si="82"/>
        <v>3.56</v>
      </c>
      <c r="O447" s="5">
        <v>4</v>
      </c>
      <c r="P447" s="4">
        <v>1</v>
      </c>
      <c r="Q447" s="28">
        <f t="shared" si="83"/>
        <v>0</v>
      </c>
      <c r="R447" s="50">
        <f t="shared" si="84"/>
        <v>0</v>
      </c>
      <c r="S447" s="2" t="str">
        <f t="shared" si="85"/>
        <v>Black Friday</v>
      </c>
      <c r="T447" s="4">
        <v>4</v>
      </c>
      <c r="U447" s="4" t="str">
        <f t="shared" si="86"/>
        <v>Nein</v>
      </c>
      <c r="V447" s="4">
        <f t="shared" si="87"/>
        <v>0</v>
      </c>
      <c r="W447" s="19">
        <f t="shared" si="88"/>
        <v>0.89</v>
      </c>
      <c r="X447" s="5">
        <v>0</v>
      </c>
      <c r="Y447" s="28">
        <f t="shared" si="89"/>
        <v>0</v>
      </c>
      <c r="Z447" s="31" t="s">
        <v>172</v>
      </c>
      <c r="AA447" t="str">
        <f t="shared" si="90"/>
        <v>Kassenfehler (Überbestand)</v>
      </c>
    </row>
    <row r="448" spans="1:27" x14ac:dyDescent="0.35">
      <c r="A448" s="32" t="s">
        <v>16</v>
      </c>
      <c r="B448" s="2" t="str">
        <f>VLOOKUP(A448,Stammdaten!$A$3:$B$7,2,FALSE)</f>
        <v>Filiale Ost</v>
      </c>
      <c r="C448" s="3" t="str" cm="1">
        <f t="array" ref="C448">INDEX(Stammdaten!$A$11:$A$25,INT((ROW()-5)/12)+1 - INT((ROW()-5)/180)*15)</f>
        <v>A007</v>
      </c>
      <c r="D448" s="2" t="str">
        <f>VLOOKUP(C448,Stammdaten!$A$11:$B$25,2,FALSE)</f>
        <v>Naturjoghurt 500g</v>
      </c>
      <c r="E448" s="3" t="str">
        <f>VLOOKUP(C448,Stammdaten!$A$11:$C$25,3,FALSE)</f>
        <v>Joghurt</v>
      </c>
      <c r="F448" s="19">
        <f>VLOOKUP(C448,Stammdaten!$A$11:$D$25,4,FALSE)</f>
        <v>0.89</v>
      </c>
      <c r="G448" s="4">
        <f t="shared" si="78"/>
        <v>12</v>
      </c>
      <c r="H448" s="20" t="str">
        <f>VLOOKUP(G448,Stammdaten!$A$30:$B$41,2,FALSE)</f>
        <v>Dezember</v>
      </c>
      <c r="I448" s="4">
        <v>728</v>
      </c>
      <c r="J448" s="4">
        <v>701</v>
      </c>
      <c r="K448" s="4">
        <f t="shared" si="79"/>
        <v>-27</v>
      </c>
      <c r="L448" s="27">
        <f t="shared" si="80"/>
        <v>-3.7087912087912089</v>
      </c>
      <c r="M448" s="52" t="str">
        <f t="shared" si="81"/>
        <v>Schwund</v>
      </c>
      <c r="N448" s="28">
        <f t="shared" si="82"/>
        <v>24.03</v>
      </c>
      <c r="O448" s="5">
        <v>12</v>
      </c>
      <c r="P448" s="4">
        <v>2</v>
      </c>
      <c r="Q448" s="28">
        <f t="shared" si="83"/>
        <v>6.0075000000000003</v>
      </c>
      <c r="R448" s="50">
        <f t="shared" si="84"/>
        <v>7.2089999999999996</v>
      </c>
      <c r="S448" s="2" t="str">
        <f t="shared" si="85"/>
        <v>Weihnachten/Silvester</v>
      </c>
      <c r="T448" s="4">
        <v>0</v>
      </c>
      <c r="U448" s="4" t="str">
        <f t="shared" si="86"/>
        <v>Nein</v>
      </c>
      <c r="V448" s="4">
        <f t="shared" si="87"/>
        <v>0</v>
      </c>
      <c r="W448" s="19">
        <f t="shared" si="88"/>
        <v>0.89</v>
      </c>
      <c r="X448" s="5">
        <v>0</v>
      </c>
      <c r="Y448" s="28">
        <f t="shared" si="89"/>
        <v>0</v>
      </c>
      <c r="Z448" s="31" t="s">
        <v>172</v>
      </c>
      <c r="AA448" t="str">
        <f t="shared" si="90"/>
        <v>Prozessfehler</v>
      </c>
    </row>
    <row r="449" spans="1:27" x14ac:dyDescent="0.35">
      <c r="A449" s="32" t="s">
        <v>16</v>
      </c>
      <c r="B449" s="2" t="str">
        <f>VLOOKUP(A449,Stammdaten!$A$3:$B$7,2,FALSE)</f>
        <v>Filiale Ost</v>
      </c>
      <c r="C449" s="3" t="str" cm="1">
        <f t="array" ref="C449">INDEX(Stammdaten!$A$11:$A$25,INT((ROW()-5)/12)+1 - INT((ROW()-5)/180)*15)</f>
        <v>A008</v>
      </c>
      <c r="D449" s="2" t="str">
        <f>VLOOKUP(C449,Stammdaten!$A$11:$B$25,2,FALSE)</f>
        <v>Fruchtjoghurt 4er</v>
      </c>
      <c r="E449" s="3" t="str">
        <f>VLOOKUP(C449,Stammdaten!$A$11:$C$25,3,FALSE)</f>
        <v>Joghurt</v>
      </c>
      <c r="F449" s="19">
        <f>VLOOKUP(C449,Stammdaten!$A$11:$D$25,4,FALSE)</f>
        <v>1.89</v>
      </c>
      <c r="G449" s="4">
        <f t="shared" si="78"/>
        <v>1</v>
      </c>
      <c r="H449" s="20" t="str">
        <f>VLOOKUP(G449,Stammdaten!$A$30:$B$41,2,FALSE)</f>
        <v>Januar</v>
      </c>
      <c r="I449" s="4">
        <v>298</v>
      </c>
      <c r="J449" s="4">
        <v>290</v>
      </c>
      <c r="K449" s="4">
        <f t="shared" si="79"/>
        <v>-8</v>
      </c>
      <c r="L449" s="27">
        <f t="shared" si="80"/>
        <v>-2.6845637583892619</v>
      </c>
      <c r="M449" s="52" t="str">
        <f t="shared" si="81"/>
        <v>Schwund</v>
      </c>
      <c r="N449" s="28">
        <f t="shared" si="82"/>
        <v>15.12</v>
      </c>
      <c r="O449" s="5">
        <v>9</v>
      </c>
      <c r="P449" s="4">
        <v>4</v>
      </c>
      <c r="Q449" s="28">
        <f t="shared" si="83"/>
        <v>3.78</v>
      </c>
      <c r="R449" s="50">
        <f t="shared" si="84"/>
        <v>4.5359999999999996</v>
      </c>
      <c r="S449" s="2" t="str">
        <f t="shared" si="85"/>
        <v>Normal</v>
      </c>
      <c r="T449" s="4">
        <v>0</v>
      </c>
      <c r="U449" s="4" t="str">
        <f t="shared" si="86"/>
        <v>Nein</v>
      </c>
      <c r="V449" s="4">
        <f t="shared" si="87"/>
        <v>0</v>
      </c>
      <c r="W449" s="19">
        <f t="shared" si="88"/>
        <v>1.89</v>
      </c>
      <c r="X449" s="5">
        <v>0</v>
      </c>
      <c r="Y449" s="28">
        <f t="shared" si="89"/>
        <v>0</v>
      </c>
      <c r="Z449" s="31" t="s">
        <v>172</v>
      </c>
      <c r="AA449" t="str">
        <f t="shared" si="90"/>
        <v>Prozessfehler</v>
      </c>
    </row>
    <row r="450" spans="1:27" x14ac:dyDescent="0.35">
      <c r="A450" s="32" t="s">
        <v>16</v>
      </c>
      <c r="B450" s="2" t="str">
        <f>VLOOKUP(A450,Stammdaten!$A$3:$B$7,2,FALSE)</f>
        <v>Filiale Ost</v>
      </c>
      <c r="C450" s="3" t="str" cm="1">
        <f t="array" ref="C450">INDEX(Stammdaten!$A$11:$A$25,INT((ROW()-5)/12)+1 - INT((ROW()-5)/180)*15)</f>
        <v>A008</v>
      </c>
      <c r="D450" s="2" t="str">
        <f>VLOOKUP(C450,Stammdaten!$A$11:$B$25,2,FALSE)</f>
        <v>Fruchtjoghurt 4er</v>
      </c>
      <c r="E450" s="3" t="str">
        <f>VLOOKUP(C450,Stammdaten!$A$11:$C$25,3,FALSE)</f>
        <v>Joghurt</v>
      </c>
      <c r="F450" s="19">
        <f>VLOOKUP(C450,Stammdaten!$A$11:$D$25,4,FALSE)</f>
        <v>1.89</v>
      </c>
      <c r="G450" s="4">
        <f t="shared" si="78"/>
        <v>2</v>
      </c>
      <c r="H450" s="20" t="str">
        <f>VLOOKUP(G450,Stammdaten!$A$30:$B$41,2,FALSE)</f>
        <v>Februar</v>
      </c>
      <c r="I450" s="4">
        <v>276</v>
      </c>
      <c r="J450" s="4">
        <v>279</v>
      </c>
      <c r="K450" s="4">
        <f t="shared" si="79"/>
        <v>3</v>
      </c>
      <c r="L450" s="27">
        <f t="shared" si="80"/>
        <v>1.0869565217391304</v>
      </c>
      <c r="M450" s="52" t="str">
        <f t="shared" si="81"/>
        <v>Überbestand</v>
      </c>
      <c r="N450" s="28">
        <f t="shared" si="82"/>
        <v>5.67</v>
      </c>
      <c r="O450" s="5">
        <v>13</v>
      </c>
      <c r="P450" s="4">
        <v>3</v>
      </c>
      <c r="Q450" s="28">
        <f t="shared" si="83"/>
        <v>0</v>
      </c>
      <c r="R450" s="50">
        <f t="shared" si="84"/>
        <v>0</v>
      </c>
      <c r="S450" s="2" t="str">
        <f t="shared" si="85"/>
        <v>Karneval</v>
      </c>
      <c r="T450" s="4">
        <v>3</v>
      </c>
      <c r="U450" s="4" t="str">
        <f t="shared" si="86"/>
        <v>Nein</v>
      </c>
      <c r="V450" s="4">
        <f t="shared" si="87"/>
        <v>0</v>
      </c>
      <c r="W450" s="19">
        <f t="shared" si="88"/>
        <v>1.89</v>
      </c>
      <c r="X450" s="5">
        <v>0</v>
      </c>
      <c r="Y450" s="28">
        <f t="shared" si="89"/>
        <v>0</v>
      </c>
      <c r="Z450" s="31" t="s">
        <v>172</v>
      </c>
      <c r="AA450" t="str">
        <f t="shared" si="90"/>
        <v>Kassenfehler (Überbestand)</v>
      </c>
    </row>
    <row r="451" spans="1:27" x14ac:dyDescent="0.35">
      <c r="A451" s="32" t="s">
        <v>16</v>
      </c>
      <c r="B451" s="2" t="str">
        <f>VLOOKUP(A451,Stammdaten!$A$3:$B$7,2,FALSE)</f>
        <v>Filiale Ost</v>
      </c>
      <c r="C451" s="3" t="str" cm="1">
        <f t="array" ref="C451">INDEX(Stammdaten!$A$11:$A$25,INT((ROW()-5)/12)+1 - INT((ROW()-5)/180)*15)</f>
        <v>A008</v>
      </c>
      <c r="D451" s="2" t="str">
        <f>VLOOKUP(C451,Stammdaten!$A$11:$B$25,2,FALSE)</f>
        <v>Fruchtjoghurt 4er</v>
      </c>
      <c r="E451" s="3" t="str">
        <f>VLOOKUP(C451,Stammdaten!$A$11:$C$25,3,FALSE)</f>
        <v>Joghurt</v>
      </c>
      <c r="F451" s="19">
        <f>VLOOKUP(C451,Stammdaten!$A$11:$D$25,4,FALSE)</f>
        <v>1.89</v>
      </c>
      <c r="G451" s="4">
        <f t="shared" si="78"/>
        <v>3</v>
      </c>
      <c r="H451" s="20" t="str">
        <f>VLOOKUP(G451,Stammdaten!$A$30:$B$41,2,FALSE)</f>
        <v>März</v>
      </c>
      <c r="I451" s="4">
        <v>334</v>
      </c>
      <c r="J451" s="4">
        <v>321</v>
      </c>
      <c r="K451" s="4">
        <f t="shared" si="79"/>
        <v>-13</v>
      </c>
      <c r="L451" s="27">
        <f t="shared" si="80"/>
        <v>-3.8922155688622757</v>
      </c>
      <c r="M451" s="52" t="str">
        <f t="shared" si="81"/>
        <v>Schwund</v>
      </c>
      <c r="N451" s="28">
        <f t="shared" si="82"/>
        <v>24.57</v>
      </c>
      <c r="O451" s="5">
        <v>1</v>
      </c>
      <c r="P451" s="4">
        <v>3</v>
      </c>
      <c r="Q451" s="28">
        <f t="shared" si="83"/>
        <v>6.1425000000000001</v>
      </c>
      <c r="R451" s="50">
        <f t="shared" si="84"/>
        <v>7.3709999999999996</v>
      </c>
      <c r="S451" s="2" t="str">
        <f t="shared" si="85"/>
        <v>Normal</v>
      </c>
      <c r="T451" s="4">
        <v>0</v>
      </c>
      <c r="U451" s="4" t="str">
        <f t="shared" si="86"/>
        <v>Ja - 20% Reduzierung</v>
      </c>
      <c r="V451" s="4">
        <f t="shared" si="87"/>
        <v>20</v>
      </c>
      <c r="W451" s="19">
        <f t="shared" si="88"/>
        <v>1.51</v>
      </c>
      <c r="X451" s="5">
        <v>17</v>
      </c>
      <c r="Y451" s="28">
        <f t="shared" si="89"/>
        <v>6.43</v>
      </c>
      <c r="Z451" s="31" t="s">
        <v>173</v>
      </c>
      <c r="AA451" t="str">
        <f t="shared" si="90"/>
        <v>Prozessfehler</v>
      </c>
    </row>
    <row r="452" spans="1:27" x14ac:dyDescent="0.35">
      <c r="A452" s="32" t="s">
        <v>16</v>
      </c>
      <c r="B452" s="2" t="str">
        <f>VLOOKUP(A452,Stammdaten!$A$3:$B$7,2,FALSE)</f>
        <v>Filiale Ost</v>
      </c>
      <c r="C452" s="3" t="str" cm="1">
        <f t="array" ref="C452">INDEX(Stammdaten!$A$11:$A$25,INT((ROW()-5)/12)+1 - INT((ROW()-5)/180)*15)</f>
        <v>A008</v>
      </c>
      <c r="D452" s="2" t="str">
        <f>VLOOKUP(C452,Stammdaten!$A$11:$B$25,2,FALSE)</f>
        <v>Fruchtjoghurt 4er</v>
      </c>
      <c r="E452" s="3" t="str">
        <f>VLOOKUP(C452,Stammdaten!$A$11:$C$25,3,FALSE)</f>
        <v>Joghurt</v>
      </c>
      <c r="F452" s="19">
        <f>VLOOKUP(C452,Stammdaten!$A$11:$D$25,4,FALSE)</f>
        <v>1.89</v>
      </c>
      <c r="G452" s="4">
        <f t="shared" si="78"/>
        <v>4</v>
      </c>
      <c r="H452" s="20" t="str">
        <f>VLOOKUP(G452,Stammdaten!$A$30:$B$41,2,FALSE)</f>
        <v>April</v>
      </c>
      <c r="I452" s="4">
        <v>390</v>
      </c>
      <c r="J452" s="4">
        <v>365</v>
      </c>
      <c r="K452" s="4">
        <f t="shared" si="79"/>
        <v>-25</v>
      </c>
      <c r="L452" s="27">
        <f t="shared" si="80"/>
        <v>-6.4102564102564097</v>
      </c>
      <c r="M452" s="52" t="str">
        <f t="shared" si="81"/>
        <v>Schwund</v>
      </c>
      <c r="N452" s="28">
        <f t="shared" si="82"/>
        <v>47.25</v>
      </c>
      <c r="O452" s="5">
        <v>6</v>
      </c>
      <c r="P452" s="4">
        <v>5</v>
      </c>
      <c r="Q452" s="28">
        <f t="shared" si="83"/>
        <v>11.8125</v>
      </c>
      <c r="R452" s="50">
        <f t="shared" si="84"/>
        <v>14.174999999999999</v>
      </c>
      <c r="S452" s="2" t="str">
        <f t="shared" si="85"/>
        <v>Ostern</v>
      </c>
      <c r="T452" s="4">
        <v>0</v>
      </c>
      <c r="U452" s="4" t="str">
        <f t="shared" si="86"/>
        <v>Nein</v>
      </c>
      <c r="V452" s="4">
        <f t="shared" si="87"/>
        <v>0</v>
      </c>
      <c r="W452" s="19">
        <f t="shared" si="88"/>
        <v>1.89</v>
      </c>
      <c r="X452" s="5">
        <v>0</v>
      </c>
      <c r="Y452" s="28">
        <f t="shared" si="89"/>
        <v>0</v>
      </c>
      <c r="Z452" s="31" t="s">
        <v>172</v>
      </c>
      <c r="AA452" t="str">
        <f t="shared" si="90"/>
        <v>Prozessfehler</v>
      </c>
    </row>
    <row r="453" spans="1:27" x14ac:dyDescent="0.35">
      <c r="A453" s="32" t="s">
        <v>16</v>
      </c>
      <c r="B453" s="2" t="str">
        <f>VLOOKUP(A453,Stammdaten!$A$3:$B$7,2,FALSE)</f>
        <v>Filiale Ost</v>
      </c>
      <c r="C453" s="3" t="str" cm="1">
        <f t="array" ref="C453">INDEX(Stammdaten!$A$11:$A$25,INT((ROW()-5)/12)+1 - INT((ROW()-5)/180)*15)</f>
        <v>A008</v>
      </c>
      <c r="D453" s="2" t="str">
        <f>VLOOKUP(C453,Stammdaten!$A$11:$B$25,2,FALSE)</f>
        <v>Fruchtjoghurt 4er</v>
      </c>
      <c r="E453" s="3" t="str">
        <f>VLOOKUP(C453,Stammdaten!$A$11:$C$25,3,FALSE)</f>
        <v>Joghurt</v>
      </c>
      <c r="F453" s="19">
        <f>VLOOKUP(C453,Stammdaten!$A$11:$D$25,4,FALSE)</f>
        <v>1.89</v>
      </c>
      <c r="G453" s="4">
        <f t="shared" si="78"/>
        <v>5</v>
      </c>
      <c r="H453" s="20" t="str">
        <f>VLOOKUP(G453,Stammdaten!$A$30:$B$41,2,FALSE)</f>
        <v>Mai</v>
      </c>
      <c r="I453" s="4">
        <v>299</v>
      </c>
      <c r="J453" s="4">
        <v>289</v>
      </c>
      <c r="K453" s="4">
        <f t="shared" si="79"/>
        <v>-10</v>
      </c>
      <c r="L453" s="27">
        <f t="shared" si="80"/>
        <v>-3.3444816053511706</v>
      </c>
      <c r="M453" s="52" t="str">
        <f t="shared" si="81"/>
        <v>Schwund</v>
      </c>
      <c r="N453" s="28">
        <f t="shared" si="82"/>
        <v>18.899999999999999</v>
      </c>
      <c r="O453" s="5">
        <v>1</v>
      </c>
      <c r="P453" s="4">
        <v>3</v>
      </c>
      <c r="Q453" s="28">
        <f t="shared" si="83"/>
        <v>4.7249999999999996</v>
      </c>
      <c r="R453" s="50">
        <f t="shared" si="84"/>
        <v>5.669999999999999</v>
      </c>
      <c r="S453" s="2" t="str">
        <f t="shared" si="85"/>
        <v>Normal</v>
      </c>
      <c r="T453" s="4">
        <v>0</v>
      </c>
      <c r="U453" s="4" t="str">
        <f t="shared" si="86"/>
        <v>Ja - 20% Reduzierung</v>
      </c>
      <c r="V453" s="4">
        <f t="shared" si="87"/>
        <v>20</v>
      </c>
      <c r="W453" s="19">
        <f t="shared" si="88"/>
        <v>1.51</v>
      </c>
      <c r="X453" s="5">
        <v>27</v>
      </c>
      <c r="Y453" s="28">
        <f t="shared" si="89"/>
        <v>10.210000000000001</v>
      </c>
      <c r="Z453" s="31" t="s">
        <v>173</v>
      </c>
      <c r="AA453" t="str">
        <f t="shared" si="90"/>
        <v>Prozessfehler</v>
      </c>
    </row>
    <row r="454" spans="1:27" x14ac:dyDescent="0.35">
      <c r="A454" s="32" t="s">
        <v>16</v>
      </c>
      <c r="B454" s="2" t="str">
        <f>VLOOKUP(A454,Stammdaten!$A$3:$B$7,2,FALSE)</f>
        <v>Filiale Ost</v>
      </c>
      <c r="C454" s="3" t="str" cm="1">
        <f t="array" ref="C454">INDEX(Stammdaten!$A$11:$A$25,INT((ROW()-5)/12)+1 - INT((ROW()-5)/180)*15)</f>
        <v>A008</v>
      </c>
      <c r="D454" s="2" t="str">
        <f>VLOOKUP(C454,Stammdaten!$A$11:$B$25,2,FALSE)</f>
        <v>Fruchtjoghurt 4er</v>
      </c>
      <c r="E454" s="3" t="str">
        <f>VLOOKUP(C454,Stammdaten!$A$11:$C$25,3,FALSE)</f>
        <v>Joghurt</v>
      </c>
      <c r="F454" s="19">
        <f>VLOOKUP(C454,Stammdaten!$A$11:$D$25,4,FALSE)</f>
        <v>1.89</v>
      </c>
      <c r="G454" s="4">
        <f t="shared" ref="G454:G517" si="91">MOD(ROW()-5,12)+1</f>
        <v>6</v>
      </c>
      <c r="H454" s="20" t="str">
        <f>VLOOKUP(G454,Stammdaten!$A$30:$B$41,2,FALSE)</f>
        <v>Juni</v>
      </c>
      <c r="I454" s="4">
        <v>343</v>
      </c>
      <c r="J454" s="4">
        <v>323</v>
      </c>
      <c r="K454" s="4">
        <f t="shared" ref="K454:K517" si="92">J454-I454</f>
        <v>-20</v>
      </c>
      <c r="L454" s="27">
        <f t="shared" ref="L454:L517" si="93">IF(I454=0,0,(K454)/I454*100)</f>
        <v>-5.8309037900874632</v>
      </c>
      <c r="M454" s="52" t="str">
        <f t="shared" ref="M454:M517" si="94">IF(K454=0,"Perfekt",IF(K454&lt;0,"Schwund","Überbestand"))</f>
        <v>Schwund</v>
      </c>
      <c r="N454" s="28">
        <f t="shared" ref="N454:N517" si="95">ABS(K454)*F454</f>
        <v>37.799999999999997</v>
      </c>
      <c r="O454" s="5">
        <v>5</v>
      </c>
      <c r="P454" s="4">
        <v>4</v>
      </c>
      <c r="Q454" s="28">
        <f t="shared" ref="Q454:Q517" si="96">IF(K454&lt;0,ABS(N454)*0.25,0)</f>
        <v>9.4499999999999993</v>
      </c>
      <c r="R454" s="50">
        <f t="shared" ref="R454:R517" si="97">IF(K454&lt;0,ABS(N454)*0.3,0)</f>
        <v>11.339999999999998</v>
      </c>
      <c r="S454" s="2" t="str">
        <f t="shared" ref="S454:S517" si="98">IF(G454=4,"Ostern",IF(G454=12,"Weihnachten/Silvester",IF(G454=11,"Black Friday",IF(G454=2,"Karneval","Normal"))))</f>
        <v>Normal</v>
      </c>
      <c r="T454" s="4">
        <v>0</v>
      </c>
      <c r="U454" s="4" t="str">
        <f t="shared" ref="U454:U517" si="99">IF(O454&lt;=0,"Abschreibung",IF(O454&lt;=3,"Ja - 20% Reduzierung","Nein"))</f>
        <v>Nein</v>
      </c>
      <c r="V454" s="4">
        <f t="shared" ref="V454:V517" si="100">IF(O454&lt;=0,100,IF(O454&lt;=3,20,0))</f>
        <v>0</v>
      </c>
      <c r="W454" s="19">
        <f t="shared" ref="W454:W517" si="101">IF(V454=100,0,ROUND(F454*(1-V454/100),2))</f>
        <v>1.89</v>
      </c>
      <c r="X454" s="5">
        <v>0</v>
      </c>
      <c r="Y454" s="28">
        <f t="shared" ref="Y454:Y517" si="102">ROUND(X454*F454*(V454/100),2)</f>
        <v>0</v>
      </c>
      <c r="Z454" s="31" t="s">
        <v>172</v>
      </c>
      <c r="AA454" t="str">
        <f t="shared" ref="AA454:AA517" si="103">IF(O454&lt;=0,"Verderb - Abgelaufen",IF(AND(O454&lt;=3,Z454&lt;&gt;"Korrekt",Z454&lt;&gt;"Kein MHD - Prozess"),"MHD - Prozessfehler",IF(K454&gt;0,"Kassenfehler (Überbestand)",IF(AND(ABS(L454)&gt;3,A454="F005"),"Diebstahlrisiko",IF(AND(ABS(L454)&gt;2,P454&lt;2),"Buchungsfehler Wareneingang",IF(ABS(L454)&gt;2,"Prozessfehler","Normal/Gering"))))))</f>
        <v>Prozessfehler</v>
      </c>
    </row>
    <row r="455" spans="1:27" x14ac:dyDescent="0.35">
      <c r="A455" s="32" t="s">
        <v>16</v>
      </c>
      <c r="B455" s="2" t="str">
        <f>VLOOKUP(A455,Stammdaten!$A$3:$B$7,2,FALSE)</f>
        <v>Filiale Ost</v>
      </c>
      <c r="C455" s="3" t="str" cm="1">
        <f t="array" ref="C455">INDEX(Stammdaten!$A$11:$A$25,INT((ROW()-5)/12)+1 - INT((ROW()-5)/180)*15)</f>
        <v>A008</v>
      </c>
      <c r="D455" s="2" t="str">
        <f>VLOOKUP(C455,Stammdaten!$A$11:$B$25,2,FALSE)</f>
        <v>Fruchtjoghurt 4er</v>
      </c>
      <c r="E455" s="3" t="str">
        <f>VLOOKUP(C455,Stammdaten!$A$11:$C$25,3,FALSE)</f>
        <v>Joghurt</v>
      </c>
      <c r="F455" s="19">
        <f>VLOOKUP(C455,Stammdaten!$A$11:$D$25,4,FALSE)</f>
        <v>1.89</v>
      </c>
      <c r="G455" s="4">
        <f t="shared" si="91"/>
        <v>7</v>
      </c>
      <c r="H455" s="20" t="str">
        <f>VLOOKUP(G455,Stammdaten!$A$30:$B$41,2,FALSE)</f>
        <v>Juli</v>
      </c>
      <c r="I455" s="4">
        <v>393</v>
      </c>
      <c r="J455" s="4">
        <v>378</v>
      </c>
      <c r="K455" s="4">
        <f t="shared" si="92"/>
        <v>-15</v>
      </c>
      <c r="L455" s="27">
        <f t="shared" si="93"/>
        <v>-3.8167938931297711</v>
      </c>
      <c r="M455" s="52" t="str">
        <f t="shared" si="94"/>
        <v>Schwund</v>
      </c>
      <c r="N455" s="28">
        <f t="shared" si="95"/>
        <v>28.349999999999998</v>
      </c>
      <c r="O455" s="5">
        <v>9</v>
      </c>
      <c r="P455" s="4">
        <v>1</v>
      </c>
      <c r="Q455" s="28">
        <f t="shared" si="96"/>
        <v>7.0874999999999995</v>
      </c>
      <c r="R455" s="50">
        <f t="shared" si="97"/>
        <v>8.504999999999999</v>
      </c>
      <c r="S455" s="2" t="str">
        <f t="shared" si="98"/>
        <v>Normal</v>
      </c>
      <c r="T455" s="4">
        <v>0</v>
      </c>
      <c r="U455" s="4" t="str">
        <f t="shared" si="99"/>
        <v>Nein</v>
      </c>
      <c r="V455" s="4">
        <f t="shared" si="100"/>
        <v>0</v>
      </c>
      <c r="W455" s="19">
        <f t="shared" si="101"/>
        <v>1.89</v>
      </c>
      <c r="X455" s="5">
        <v>0</v>
      </c>
      <c r="Y455" s="28">
        <f t="shared" si="102"/>
        <v>0</v>
      </c>
      <c r="Z455" s="31" t="s">
        <v>172</v>
      </c>
      <c r="AA455" t="str">
        <f t="shared" si="103"/>
        <v>Buchungsfehler Wareneingang</v>
      </c>
    </row>
    <row r="456" spans="1:27" x14ac:dyDescent="0.35">
      <c r="A456" s="32" t="s">
        <v>16</v>
      </c>
      <c r="B456" s="2" t="str">
        <f>VLOOKUP(A456,Stammdaten!$A$3:$B$7,2,FALSE)</f>
        <v>Filiale Ost</v>
      </c>
      <c r="C456" s="3" t="str" cm="1">
        <f t="array" ref="C456">INDEX(Stammdaten!$A$11:$A$25,INT((ROW()-5)/12)+1 - INT((ROW()-5)/180)*15)</f>
        <v>A008</v>
      </c>
      <c r="D456" s="2" t="str">
        <f>VLOOKUP(C456,Stammdaten!$A$11:$B$25,2,FALSE)</f>
        <v>Fruchtjoghurt 4er</v>
      </c>
      <c r="E456" s="3" t="str">
        <f>VLOOKUP(C456,Stammdaten!$A$11:$C$25,3,FALSE)</f>
        <v>Joghurt</v>
      </c>
      <c r="F456" s="19">
        <f>VLOOKUP(C456,Stammdaten!$A$11:$D$25,4,FALSE)</f>
        <v>1.89</v>
      </c>
      <c r="G456" s="4">
        <f t="shared" si="91"/>
        <v>8</v>
      </c>
      <c r="H456" s="20" t="str">
        <f>VLOOKUP(G456,Stammdaten!$A$30:$B$41,2,FALSE)</f>
        <v>August</v>
      </c>
      <c r="I456" s="4">
        <v>344</v>
      </c>
      <c r="J456" s="4">
        <v>328</v>
      </c>
      <c r="K456" s="4">
        <f t="shared" si="92"/>
        <v>-16</v>
      </c>
      <c r="L456" s="27">
        <f t="shared" si="93"/>
        <v>-4.6511627906976747</v>
      </c>
      <c r="M456" s="52" t="str">
        <f t="shared" si="94"/>
        <v>Schwund</v>
      </c>
      <c r="N456" s="28">
        <f t="shared" si="95"/>
        <v>30.24</v>
      </c>
      <c r="O456" s="5">
        <v>2</v>
      </c>
      <c r="P456" s="4">
        <v>5</v>
      </c>
      <c r="Q456" s="28">
        <f t="shared" si="96"/>
        <v>7.56</v>
      </c>
      <c r="R456" s="50">
        <f t="shared" si="97"/>
        <v>9.0719999999999992</v>
      </c>
      <c r="S456" s="2" t="str">
        <f t="shared" si="98"/>
        <v>Normal</v>
      </c>
      <c r="T456" s="4">
        <v>0</v>
      </c>
      <c r="U456" s="4" t="str">
        <f t="shared" si="99"/>
        <v>Ja - 20% Reduzierung</v>
      </c>
      <c r="V456" s="4">
        <f t="shared" si="100"/>
        <v>20</v>
      </c>
      <c r="W456" s="19">
        <f t="shared" si="101"/>
        <v>1.51</v>
      </c>
      <c r="X456" s="5">
        <v>31</v>
      </c>
      <c r="Y456" s="28">
        <f t="shared" si="102"/>
        <v>11.72</v>
      </c>
      <c r="Z456" s="31" t="s">
        <v>173</v>
      </c>
      <c r="AA456" t="str">
        <f t="shared" si="103"/>
        <v>Prozessfehler</v>
      </c>
    </row>
    <row r="457" spans="1:27" x14ac:dyDescent="0.35">
      <c r="A457" s="32" t="s">
        <v>16</v>
      </c>
      <c r="B457" s="2" t="str">
        <f>VLOOKUP(A457,Stammdaten!$A$3:$B$7,2,FALSE)</f>
        <v>Filiale Ost</v>
      </c>
      <c r="C457" s="3" t="str" cm="1">
        <f t="array" ref="C457">INDEX(Stammdaten!$A$11:$A$25,INT((ROW()-5)/12)+1 - INT((ROW()-5)/180)*15)</f>
        <v>A008</v>
      </c>
      <c r="D457" s="2" t="str">
        <f>VLOOKUP(C457,Stammdaten!$A$11:$B$25,2,FALSE)</f>
        <v>Fruchtjoghurt 4er</v>
      </c>
      <c r="E457" s="3" t="str">
        <f>VLOOKUP(C457,Stammdaten!$A$11:$C$25,3,FALSE)</f>
        <v>Joghurt</v>
      </c>
      <c r="F457" s="19">
        <f>VLOOKUP(C457,Stammdaten!$A$11:$D$25,4,FALSE)</f>
        <v>1.89</v>
      </c>
      <c r="G457" s="4">
        <f t="shared" si="91"/>
        <v>9</v>
      </c>
      <c r="H457" s="20" t="str">
        <f>VLOOKUP(G457,Stammdaten!$A$30:$B$41,2,FALSE)</f>
        <v>September</v>
      </c>
      <c r="I457" s="4">
        <v>287</v>
      </c>
      <c r="J457" s="4">
        <v>280</v>
      </c>
      <c r="K457" s="4">
        <f t="shared" si="92"/>
        <v>-7</v>
      </c>
      <c r="L457" s="27">
        <f t="shared" si="93"/>
        <v>-2.4390243902439024</v>
      </c>
      <c r="M457" s="52" t="str">
        <f t="shared" si="94"/>
        <v>Schwund</v>
      </c>
      <c r="N457" s="28">
        <f t="shared" si="95"/>
        <v>13.229999999999999</v>
      </c>
      <c r="O457" s="5">
        <v>11</v>
      </c>
      <c r="P457" s="4">
        <v>1</v>
      </c>
      <c r="Q457" s="28">
        <f t="shared" si="96"/>
        <v>3.3074999999999997</v>
      </c>
      <c r="R457" s="50">
        <f t="shared" si="97"/>
        <v>3.9689999999999994</v>
      </c>
      <c r="S457" s="2" t="str">
        <f t="shared" si="98"/>
        <v>Normal</v>
      </c>
      <c r="T457" s="4">
        <v>0</v>
      </c>
      <c r="U457" s="4" t="str">
        <f t="shared" si="99"/>
        <v>Nein</v>
      </c>
      <c r="V457" s="4">
        <f t="shared" si="100"/>
        <v>0</v>
      </c>
      <c r="W457" s="19">
        <f t="shared" si="101"/>
        <v>1.89</v>
      </c>
      <c r="X457" s="5">
        <v>0</v>
      </c>
      <c r="Y457" s="28">
        <f t="shared" si="102"/>
        <v>0</v>
      </c>
      <c r="Z457" s="31" t="s">
        <v>172</v>
      </c>
      <c r="AA457" t="str">
        <f t="shared" si="103"/>
        <v>Buchungsfehler Wareneingang</v>
      </c>
    </row>
    <row r="458" spans="1:27" x14ac:dyDescent="0.35">
      <c r="A458" s="32" t="s">
        <v>16</v>
      </c>
      <c r="B458" s="2" t="str">
        <f>VLOOKUP(A458,Stammdaten!$A$3:$B$7,2,FALSE)</f>
        <v>Filiale Ost</v>
      </c>
      <c r="C458" s="3" t="str" cm="1">
        <f t="array" ref="C458">INDEX(Stammdaten!$A$11:$A$25,INT((ROW()-5)/12)+1 - INT((ROW()-5)/180)*15)</f>
        <v>A008</v>
      </c>
      <c r="D458" s="2" t="str">
        <f>VLOOKUP(C458,Stammdaten!$A$11:$B$25,2,FALSE)</f>
        <v>Fruchtjoghurt 4er</v>
      </c>
      <c r="E458" s="3" t="str">
        <f>VLOOKUP(C458,Stammdaten!$A$11:$C$25,3,FALSE)</f>
        <v>Joghurt</v>
      </c>
      <c r="F458" s="19">
        <f>VLOOKUP(C458,Stammdaten!$A$11:$D$25,4,FALSE)</f>
        <v>1.89</v>
      </c>
      <c r="G458" s="4">
        <f t="shared" si="91"/>
        <v>10</v>
      </c>
      <c r="H458" s="20" t="str">
        <f>VLOOKUP(G458,Stammdaten!$A$30:$B$41,2,FALSE)</f>
        <v>Oktober</v>
      </c>
      <c r="I458" s="4">
        <v>312</v>
      </c>
      <c r="J458" s="4">
        <v>302</v>
      </c>
      <c r="K458" s="4">
        <f t="shared" si="92"/>
        <v>-10</v>
      </c>
      <c r="L458" s="27">
        <f t="shared" si="93"/>
        <v>-3.2051282051282048</v>
      </c>
      <c r="M458" s="52" t="str">
        <f t="shared" si="94"/>
        <v>Schwund</v>
      </c>
      <c r="N458" s="28">
        <f t="shared" si="95"/>
        <v>18.899999999999999</v>
      </c>
      <c r="O458" s="5">
        <v>4</v>
      </c>
      <c r="P458" s="4">
        <v>1</v>
      </c>
      <c r="Q458" s="28">
        <f t="shared" si="96"/>
        <v>4.7249999999999996</v>
      </c>
      <c r="R458" s="50">
        <f t="shared" si="97"/>
        <v>5.669999999999999</v>
      </c>
      <c r="S458" s="2" t="str">
        <f t="shared" si="98"/>
        <v>Normal</v>
      </c>
      <c r="T458" s="4">
        <v>0</v>
      </c>
      <c r="U458" s="4" t="str">
        <f t="shared" si="99"/>
        <v>Nein</v>
      </c>
      <c r="V458" s="4">
        <f t="shared" si="100"/>
        <v>0</v>
      </c>
      <c r="W458" s="19">
        <f t="shared" si="101"/>
        <v>1.89</v>
      </c>
      <c r="X458" s="5">
        <v>0</v>
      </c>
      <c r="Y458" s="28">
        <f t="shared" si="102"/>
        <v>0</v>
      </c>
      <c r="Z458" s="31" t="s">
        <v>172</v>
      </c>
      <c r="AA458" t="str">
        <f t="shared" si="103"/>
        <v>Buchungsfehler Wareneingang</v>
      </c>
    </row>
    <row r="459" spans="1:27" x14ac:dyDescent="0.35">
      <c r="A459" s="32" t="s">
        <v>16</v>
      </c>
      <c r="B459" s="2" t="str">
        <f>VLOOKUP(A459,Stammdaten!$A$3:$B$7,2,FALSE)</f>
        <v>Filiale Ost</v>
      </c>
      <c r="C459" s="3" t="str" cm="1">
        <f t="array" ref="C459">INDEX(Stammdaten!$A$11:$A$25,INT((ROW()-5)/12)+1 - INT((ROW()-5)/180)*15)</f>
        <v>A008</v>
      </c>
      <c r="D459" s="2" t="str">
        <f>VLOOKUP(C459,Stammdaten!$A$11:$B$25,2,FALSE)</f>
        <v>Fruchtjoghurt 4er</v>
      </c>
      <c r="E459" s="3" t="str">
        <f>VLOOKUP(C459,Stammdaten!$A$11:$C$25,3,FALSE)</f>
        <v>Joghurt</v>
      </c>
      <c r="F459" s="19">
        <f>VLOOKUP(C459,Stammdaten!$A$11:$D$25,4,FALSE)</f>
        <v>1.89</v>
      </c>
      <c r="G459" s="4">
        <f t="shared" si="91"/>
        <v>11</v>
      </c>
      <c r="H459" s="20" t="str">
        <f>VLOOKUP(G459,Stammdaten!$A$30:$B$41,2,FALSE)</f>
        <v>November</v>
      </c>
      <c r="I459" s="4">
        <v>350</v>
      </c>
      <c r="J459" s="4">
        <v>330</v>
      </c>
      <c r="K459" s="4">
        <f t="shared" si="92"/>
        <v>-20</v>
      </c>
      <c r="L459" s="27">
        <f t="shared" si="93"/>
        <v>-5.7142857142857144</v>
      </c>
      <c r="M459" s="52" t="str">
        <f t="shared" si="94"/>
        <v>Schwund</v>
      </c>
      <c r="N459" s="28">
        <f t="shared" si="95"/>
        <v>37.799999999999997</v>
      </c>
      <c r="O459" s="5">
        <v>14</v>
      </c>
      <c r="P459" s="4">
        <v>0</v>
      </c>
      <c r="Q459" s="28">
        <f t="shared" si="96"/>
        <v>9.4499999999999993</v>
      </c>
      <c r="R459" s="50">
        <f t="shared" si="97"/>
        <v>11.339999999999998</v>
      </c>
      <c r="S459" s="2" t="str">
        <f t="shared" si="98"/>
        <v>Black Friday</v>
      </c>
      <c r="T459" s="4">
        <v>0</v>
      </c>
      <c r="U459" s="4" t="str">
        <f t="shared" si="99"/>
        <v>Nein</v>
      </c>
      <c r="V459" s="4">
        <f t="shared" si="100"/>
        <v>0</v>
      </c>
      <c r="W459" s="19">
        <f t="shared" si="101"/>
        <v>1.89</v>
      </c>
      <c r="X459" s="5">
        <v>0</v>
      </c>
      <c r="Y459" s="28">
        <f t="shared" si="102"/>
        <v>0</v>
      </c>
      <c r="Z459" s="31" t="s">
        <v>172</v>
      </c>
      <c r="AA459" t="str">
        <f t="shared" si="103"/>
        <v>Buchungsfehler Wareneingang</v>
      </c>
    </row>
    <row r="460" spans="1:27" x14ac:dyDescent="0.35">
      <c r="A460" s="32" t="s">
        <v>16</v>
      </c>
      <c r="B460" s="2" t="str">
        <f>VLOOKUP(A460,Stammdaten!$A$3:$B$7,2,FALSE)</f>
        <v>Filiale Ost</v>
      </c>
      <c r="C460" s="3" t="str" cm="1">
        <f t="array" ref="C460">INDEX(Stammdaten!$A$11:$A$25,INT((ROW()-5)/12)+1 - INT((ROW()-5)/180)*15)</f>
        <v>A008</v>
      </c>
      <c r="D460" s="2" t="str">
        <f>VLOOKUP(C460,Stammdaten!$A$11:$B$25,2,FALSE)</f>
        <v>Fruchtjoghurt 4er</v>
      </c>
      <c r="E460" s="3" t="str">
        <f>VLOOKUP(C460,Stammdaten!$A$11:$C$25,3,FALSE)</f>
        <v>Joghurt</v>
      </c>
      <c r="F460" s="19">
        <f>VLOOKUP(C460,Stammdaten!$A$11:$D$25,4,FALSE)</f>
        <v>1.89</v>
      </c>
      <c r="G460" s="4">
        <f t="shared" si="91"/>
        <v>12</v>
      </c>
      <c r="H460" s="20" t="str">
        <f>VLOOKUP(G460,Stammdaten!$A$30:$B$41,2,FALSE)</f>
        <v>Dezember</v>
      </c>
      <c r="I460" s="4">
        <v>450</v>
      </c>
      <c r="J460" s="4">
        <v>456</v>
      </c>
      <c r="K460" s="4">
        <f t="shared" si="92"/>
        <v>6</v>
      </c>
      <c r="L460" s="27">
        <f t="shared" si="93"/>
        <v>1.3333333333333335</v>
      </c>
      <c r="M460" s="52" t="str">
        <f t="shared" si="94"/>
        <v>Überbestand</v>
      </c>
      <c r="N460" s="28">
        <f t="shared" si="95"/>
        <v>11.34</v>
      </c>
      <c r="O460" s="5">
        <v>12</v>
      </c>
      <c r="P460" s="4">
        <v>0</v>
      </c>
      <c r="Q460" s="28">
        <f t="shared" si="96"/>
        <v>0</v>
      </c>
      <c r="R460" s="50">
        <f t="shared" si="97"/>
        <v>0</v>
      </c>
      <c r="S460" s="2" t="str">
        <f t="shared" si="98"/>
        <v>Weihnachten/Silvester</v>
      </c>
      <c r="T460" s="4">
        <v>6</v>
      </c>
      <c r="U460" s="4" t="str">
        <f t="shared" si="99"/>
        <v>Nein</v>
      </c>
      <c r="V460" s="4">
        <f t="shared" si="100"/>
        <v>0</v>
      </c>
      <c r="W460" s="19">
        <f t="shared" si="101"/>
        <v>1.89</v>
      </c>
      <c r="X460" s="5">
        <v>0</v>
      </c>
      <c r="Y460" s="28">
        <f t="shared" si="102"/>
        <v>0</v>
      </c>
      <c r="Z460" s="31" t="s">
        <v>172</v>
      </c>
      <c r="AA460" t="str">
        <f t="shared" si="103"/>
        <v>Kassenfehler (Überbestand)</v>
      </c>
    </row>
    <row r="461" spans="1:27" x14ac:dyDescent="0.35">
      <c r="A461" s="32" t="s">
        <v>16</v>
      </c>
      <c r="B461" s="2" t="str">
        <f>VLOOKUP(A461,Stammdaten!$A$3:$B$7,2,FALSE)</f>
        <v>Filiale Ost</v>
      </c>
      <c r="C461" s="3" t="str" cm="1">
        <f t="array" ref="C461">INDEX(Stammdaten!$A$11:$A$25,INT((ROW()-5)/12)+1 - INT((ROW()-5)/180)*15)</f>
        <v>A009</v>
      </c>
      <c r="D461" s="2" t="str">
        <f>VLOOKUP(C461,Stammdaten!$A$11:$B$25,2,FALSE)</f>
        <v>Sahne 200ml</v>
      </c>
      <c r="E461" s="3" t="str">
        <f>VLOOKUP(C461,Stammdaten!$A$11:$C$25,3,FALSE)</f>
        <v>Sahne</v>
      </c>
      <c r="F461" s="19">
        <f>VLOOKUP(C461,Stammdaten!$A$11:$D$25,4,FALSE)</f>
        <v>0.79</v>
      </c>
      <c r="G461" s="4">
        <f t="shared" si="91"/>
        <v>1</v>
      </c>
      <c r="H461" s="20" t="str">
        <f>VLOOKUP(G461,Stammdaten!$A$30:$B$41,2,FALSE)</f>
        <v>Januar</v>
      </c>
      <c r="I461" s="4">
        <v>156</v>
      </c>
      <c r="J461" s="4">
        <v>153</v>
      </c>
      <c r="K461" s="4">
        <f t="shared" si="92"/>
        <v>-3</v>
      </c>
      <c r="L461" s="27">
        <f t="shared" si="93"/>
        <v>-1.9230769230769231</v>
      </c>
      <c r="M461" s="52" t="str">
        <f t="shared" si="94"/>
        <v>Schwund</v>
      </c>
      <c r="N461" s="28">
        <f t="shared" si="95"/>
        <v>2.37</v>
      </c>
      <c r="O461" s="5">
        <v>2</v>
      </c>
      <c r="P461" s="4">
        <v>1</v>
      </c>
      <c r="Q461" s="28">
        <f t="shared" si="96"/>
        <v>0.59250000000000003</v>
      </c>
      <c r="R461" s="50">
        <f t="shared" si="97"/>
        <v>0.71099999999999997</v>
      </c>
      <c r="S461" s="2" t="str">
        <f t="shared" si="98"/>
        <v>Normal</v>
      </c>
      <c r="T461" s="4">
        <v>0</v>
      </c>
      <c r="U461" s="4" t="str">
        <f t="shared" si="99"/>
        <v>Ja - 20% Reduzierung</v>
      </c>
      <c r="V461" s="4">
        <f t="shared" si="100"/>
        <v>20</v>
      </c>
      <c r="W461" s="19">
        <f t="shared" si="101"/>
        <v>0.63</v>
      </c>
      <c r="X461" s="5">
        <v>14</v>
      </c>
      <c r="Y461" s="28">
        <f t="shared" si="102"/>
        <v>2.21</v>
      </c>
      <c r="Z461" s="31" t="s">
        <v>173</v>
      </c>
      <c r="AA461" t="str">
        <f t="shared" si="103"/>
        <v>Normal/Gering</v>
      </c>
    </row>
    <row r="462" spans="1:27" x14ac:dyDescent="0.35">
      <c r="A462" s="32" t="s">
        <v>16</v>
      </c>
      <c r="B462" s="2" t="str">
        <f>VLOOKUP(A462,Stammdaten!$A$3:$B$7,2,FALSE)</f>
        <v>Filiale Ost</v>
      </c>
      <c r="C462" s="3" t="str" cm="1">
        <f t="array" ref="C462">INDEX(Stammdaten!$A$11:$A$25,INT((ROW()-5)/12)+1 - INT((ROW()-5)/180)*15)</f>
        <v>A009</v>
      </c>
      <c r="D462" s="2" t="str">
        <f>VLOOKUP(C462,Stammdaten!$A$11:$B$25,2,FALSE)</f>
        <v>Sahne 200ml</v>
      </c>
      <c r="E462" s="3" t="str">
        <f>VLOOKUP(C462,Stammdaten!$A$11:$C$25,3,FALSE)</f>
        <v>Sahne</v>
      </c>
      <c r="F462" s="19">
        <f>VLOOKUP(C462,Stammdaten!$A$11:$D$25,4,FALSE)</f>
        <v>0.79</v>
      </c>
      <c r="G462" s="4">
        <f t="shared" si="91"/>
        <v>2</v>
      </c>
      <c r="H462" s="20" t="str">
        <f>VLOOKUP(G462,Stammdaten!$A$30:$B$41,2,FALSE)</f>
        <v>Februar</v>
      </c>
      <c r="I462" s="4">
        <v>148</v>
      </c>
      <c r="J462" s="4">
        <v>151</v>
      </c>
      <c r="K462" s="4">
        <f t="shared" si="92"/>
        <v>3</v>
      </c>
      <c r="L462" s="27">
        <f t="shared" si="93"/>
        <v>2.0270270270270272</v>
      </c>
      <c r="M462" s="52" t="str">
        <f t="shared" si="94"/>
        <v>Überbestand</v>
      </c>
      <c r="N462" s="28">
        <f t="shared" si="95"/>
        <v>2.37</v>
      </c>
      <c r="O462" s="5">
        <v>7</v>
      </c>
      <c r="P462" s="4">
        <v>4</v>
      </c>
      <c r="Q462" s="28">
        <f t="shared" si="96"/>
        <v>0</v>
      </c>
      <c r="R462" s="50">
        <f t="shared" si="97"/>
        <v>0</v>
      </c>
      <c r="S462" s="2" t="str">
        <f t="shared" si="98"/>
        <v>Karneval</v>
      </c>
      <c r="T462" s="4">
        <v>3</v>
      </c>
      <c r="U462" s="4" t="str">
        <f t="shared" si="99"/>
        <v>Nein</v>
      </c>
      <c r="V462" s="4">
        <f t="shared" si="100"/>
        <v>0</v>
      </c>
      <c r="W462" s="19">
        <f t="shared" si="101"/>
        <v>0.79</v>
      </c>
      <c r="X462" s="5">
        <v>0</v>
      </c>
      <c r="Y462" s="28">
        <f t="shared" si="102"/>
        <v>0</v>
      </c>
      <c r="Z462" s="31" t="s">
        <v>172</v>
      </c>
      <c r="AA462" t="str">
        <f t="shared" si="103"/>
        <v>Kassenfehler (Überbestand)</v>
      </c>
    </row>
    <row r="463" spans="1:27" x14ac:dyDescent="0.35">
      <c r="A463" s="32" t="s">
        <v>16</v>
      </c>
      <c r="B463" s="2" t="str">
        <f>VLOOKUP(A463,Stammdaten!$A$3:$B$7,2,FALSE)</f>
        <v>Filiale Ost</v>
      </c>
      <c r="C463" s="3" t="str" cm="1">
        <f t="array" ref="C463">INDEX(Stammdaten!$A$11:$A$25,INT((ROW()-5)/12)+1 - INT((ROW()-5)/180)*15)</f>
        <v>A009</v>
      </c>
      <c r="D463" s="2" t="str">
        <f>VLOOKUP(C463,Stammdaten!$A$11:$B$25,2,FALSE)</f>
        <v>Sahne 200ml</v>
      </c>
      <c r="E463" s="3" t="str">
        <f>VLOOKUP(C463,Stammdaten!$A$11:$C$25,3,FALSE)</f>
        <v>Sahne</v>
      </c>
      <c r="F463" s="19">
        <f>VLOOKUP(C463,Stammdaten!$A$11:$D$25,4,FALSE)</f>
        <v>0.79</v>
      </c>
      <c r="G463" s="4">
        <f t="shared" si="91"/>
        <v>3</v>
      </c>
      <c r="H463" s="20" t="str">
        <f>VLOOKUP(G463,Stammdaten!$A$30:$B$41,2,FALSE)</f>
        <v>März</v>
      </c>
      <c r="I463" s="4">
        <v>187</v>
      </c>
      <c r="J463" s="4">
        <v>187</v>
      </c>
      <c r="K463" s="4">
        <f t="shared" si="92"/>
        <v>0</v>
      </c>
      <c r="L463" s="27">
        <f t="shared" si="93"/>
        <v>0</v>
      </c>
      <c r="M463" s="52" t="str">
        <f t="shared" si="94"/>
        <v>Perfekt</v>
      </c>
      <c r="N463" s="28">
        <f t="shared" si="95"/>
        <v>0</v>
      </c>
      <c r="O463" s="5">
        <v>2</v>
      </c>
      <c r="P463" s="4">
        <v>3</v>
      </c>
      <c r="Q463" s="28">
        <f t="shared" si="96"/>
        <v>0</v>
      </c>
      <c r="R463" s="50">
        <f t="shared" si="97"/>
        <v>0</v>
      </c>
      <c r="S463" s="2" t="str">
        <f t="shared" si="98"/>
        <v>Normal</v>
      </c>
      <c r="T463" s="4">
        <v>0</v>
      </c>
      <c r="U463" s="4" t="str">
        <f t="shared" si="99"/>
        <v>Ja - 20% Reduzierung</v>
      </c>
      <c r="V463" s="4">
        <f t="shared" si="100"/>
        <v>20</v>
      </c>
      <c r="W463" s="19">
        <f t="shared" si="101"/>
        <v>0.63</v>
      </c>
      <c r="X463" s="5">
        <v>17</v>
      </c>
      <c r="Y463" s="28">
        <f t="shared" si="102"/>
        <v>2.69</v>
      </c>
      <c r="Z463" s="31" t="s">
        <v>226</v>
      </c>
      <c r="AA463" t="str">
        <f t="shared" si="103"/>
        <v>MHD - Prozessfehler</v>
      </c>
    </row>
    <row r="464" spans="1:27" x14ac:dyDescent="0.35">
      <c r="A464" s="32" t="s">
        <v>16</v>
      </c>
      <c r="B464" s="2" t="str">
        <f>VLOOKUP(A464,Stammdaten!$A$3:$B$7,2,FALSE)</f>
        <v>Filiale Ost</v>
      </c>
      <c r="C464" s="3" t="str" cm="1">
        <f t="array" ref="C464">INDEX(Stammdaten!$A$11:$A$25,INT((ROW()-5)/12)+1 - INT((ROW()-5)/180)*15)</f>
        <v>A009</v>
      </c>
      <c r="D464" s="2" t="str">
        <f>VLOOKUP(C464,Stammdaten!$A$11:$B$25,2,FALSE)</f>
        <v>Sahne 200ml</v>
      </c>
      <c r="E464" s="3" t="str">
        <f>VLOOKUP(C464,Stammdaten!$A$11:$C$25,3,FALSE)</f>
        <v>Sahne</v>
      </c>
      <c r="F464" s="19">
        <f>VLOOKUP(C464,Stammdaten!$A$11:$D$25,4,FALSE)</f>
        <v>0.79</v>
      </c>
      <c r="G464" s="4">
        <f t="shared" si="91"/>
        <v>4</v>
      </c>
      <c r="H464" s="20" t="str">
        <f>VLOOKUP(G464,Stammdaten!$A$30:$B$41,2,FALSE)</f>
        <v>April</v>
      </c>
      <c r="I464" s="4">
        <v>221</v>
      </c>
      <c r="J464" s="4">
        <v>225</v>
      </c>
      <c r="K464" s="4">
        <f t="shared" si="92"/>
        <v>4</v>
      </c>
      <c r="L464" s="27">
        <f t="shared" si="93"/>
        <v>1.809954751131222</v>
      </c>
      <c r="M464" s="52" t="str">
        <f t="shared" si="94"/>
        <v>Überbestand</v>
      </c>
      <c r="N464" s="28">
        <f t="shared" si="95"/>
        <v>3.16</v>
      </c>
      <c r="O464" s="5">
        <v>2</v>
      </c>
      <c r="P464" s="4">
        <v>0</v>
      </c>
      <c r="Q464" s="28">
        <f t="shared" si="96"/>
        <v>0</v>
      </c>
      <c r="R464" s="50">
        <f t="shared" si="97"/>
        <v>0</v>
      </c>
      <c r="S464" s="2" t="str">
        <f t="shared" si="98"/>
        <v>Ostern</v>
      </c>
      <c r="T464" s="4">
        <v>4</v>
      </c>
      <c r="U464" s="4" t="str">
        <f t="shared" si="99"/>
        <v>Ja - 20% Reduzierung</v>
      </c>
      <c r="V464" s="4">
        <f t="shared" si="100"/>
        <v>20</v>
      </c>
      <c r="W464" s="19">
        <f t="shared" si="101"/>
        <v>0.63</v>
      </c>
      <c r="X464" s="5">
        <v>20</v>
      </c>
      <c r="Y464" s="28">
        <f t="shared" si="102"/>
        <v>3.16</v>
      </c>
      <c r="Z464" s="31" t="s">
        <v>173</v>
      </c>
      <c r="AA464" t="str">
        <f t="shared" si="103"/>
        <v>Kassenfehler (Überbestand)</v>
      </c>
    </row>
    <row r="465" spans="1:27" x14ac:dyDescent="0.35">
      <c r="A465" s="32" t="s">
        <v>16</v>
      </c>
      <c r="B465" s="2" t="str">
        <f>VLOOKUP(A465,Stammdaten!$A$3:$B$7,2,FALSE)</f>
        <v>Filiale Ost</v>
      </c>
      <c r="C465" s="3" t="str" cm="1">
        <f t="array" ref="C465">INDEX(Stammdaten!$A$11:$A$25,INT((ROW()-5)/12)+1 - INT((ROW()-5)/180)*15)</f>
        <v>A009</v>
      </c>
      <c r="D465" s="2" t="str">
        <f>VLOOKUP(C465,Stammdaten!$A$11:$B$25,2,FALSE)</f>
        <v>Sahne 200ml</v>
      </c>
      <c r="E465" s="3" t="str">
        <f>VLOOKUP(C465,Stammdaten!$A$11:$C$25,3,FALSE)</f>
        <v>Sahne</v>
      </c>
      <c r="F465" s="19">
        <f>VLOOKUP(C465,Stammdaten!$A$11:$D$25,4,FALSE)</f>
        <v>0.79</v>
      </c>
      <c r="G465" s="4">
        <f t="shared" si="91"/>
        <v>5</v>
      </c>
      <c r="H465" s="20" t="str">
        <f>VLOOKUP(G465,Stammdaten!$A$30:$B$41,2,FALSE)</f>
        <v>Mai</v>
      </c>
      <c r="I465" s="4">
        <v>185</v>
      </c>
      <c r="J465" s="4">
        <v>180</v>
      </c>
      <c r="K465" s="4">
        <f t="shared" si="92"/>
        <v>-5</v>
      </c>
      <c r="L465" s="27">
        <f t="shared" si="93"/>
        <v>-2.7027027027027026</v>
      </c>
      <c r="M465" s="52" t="str">
        <f t="shared" si="94"/>
        <v>Schwund</v>
      </c>
      <c r="N465" s="28">
        <f t="shared" si="95"/>
        <v>3.95</v>
      </c>
      <c r="O465" s="5">
        <v>1</v>
      </c>
      <c r="P465" s="4">
        <v>1</v>
      </c>
      <c r="Q465" s="28">
        <f t="shared" si="96"/>
        <v>0.98750000000000004</v>
      </c>
      <c r="R465" s="50">
        <f t="shared" si="97"/>
        <v>1.1850000000000001</v>
      </c>
      <c r="S465" s="2" t="str">
        <f t="shared" si="98"/>
        <v>Normal</v>
      </c>
      <c r="T465" s="4">
        <v>0</v>
      </c>
      <c r="U465" s="4" t="str">
        <f t="shared" si="99"/>
        <v>Ja - 20% Reduzierung</v>
      </c>
      <c r="V465" s="4">
        <f t="shared" si="100"/>
        <v>20</v>
      </c>
      <c r="W465" s="19">
        <f t="shared" si="101"/>
        <v>0.63</v>
      </c>
      <c r="X465" s="5">
        <v>28</v>
      </c>
      <c r="Y465" s="28">
        <f t="shared" si="102"/>
        <v>4.42</v>
      </c>
      <c r="Z465" s="31" t="s">
        <v>173</v>
      </c>
      <c r="AA465" t="str">
        <f t="shared" si="103"/>
        <v>Buchungsfehler Wareneingang</v>
      </c>
    </row>
    <row r="466" spans="1:27" x14ac:dyDescent="0.35">
      <c r="A466" s="32" t="s">
        <v>16</v>
      </c>
      <c r="B466" s="2" t="str">
        <f>VLOOKUP(A466,Stammdaten!$A$3:$B$7,2,FALSE)</f>
        <v>Filiale Ost</v>
      </c>
      <c r="C466" s="3" t="str" cm="1">
        <f t="array" ref="C466">INDEX(Stammdaten!$A$11:$A$25,INT((ROW()-5)/12)+1 - INT((ROW()-5)/180)*15)</f>
        <v>A009</v>
      </c>
      <c r="D466" s="2" t="str">
        <f>VLOOKUP(C466,Stammdaten!$A$11:$B$25,2,FALSE)</f>
        <v>Sahne 200ml</v>
      </c>
      <c r="E466" s="3" t="str">
        <f>VLOOKUP(C466,Stammdaten!$A$11:$C$25,3,FALSE)</f>
        <v>Sahne</v>
      </c>
      <c r="F466" s="19">
        <f>VLOOKUP(C466,Stammdaten!$A$11:$D$25,4,FALSE)</f>
        <v>0.79</v>
      </c>
      <c r="G466" s="4">
        <f t="shared" si="91"/>
        <v>6</v>
      </c>
      <c r="H466" s="20" t="str">
        <f>VLOOKUP(G466,Stammdaten!$A$30:$B$41,2,FALSE)</f>
        <v>Juni</v>
      </c>
      <c r="I466" s="4">
        <v>202</v>
      </c>
      <c r="J466" s="4">
        <v>198</v>
      </c>
      <c r="K466" s="4">
        <f t="shared" si="92"/>
        <v>-4</v>
      </c>
      <c r="L466" s="27">
        <f t="shared" si="93"/>
        <v>-1.9801980198019802</v>
      </c>
      <c r="M466" s="52" t="str">
        <f t="shared" si="94"/>
        <v>Schwund</v>
      </c>
      <c r="N466" s="28">
        <f t="shared" si="95"/>
        <v>3.16</v>
      </c>
      <c r="O466" s="5">
        <v>6</v>
      </c>
      <c r="P466" s="4">
        <v>2</v>
      </c>
      <c r="Q466" s="28">
        <f t="shared" si="96"/>
        <v>0.79</v>
      </c>
      <c r="R466" s="50">
        <f t="shared" si="97"/>
        <v>0.94799999999999995</v>
      </c>
      <c r="S466" s="2" t="str">
        <f t="shared" si="98"/>
        <v>Normal</v>
      </c>
      <c r="T466" s="4">
        <v>0</v>
      </c>
      <c r="U466" s="4" t="str">
        <f t="shared" si="99"/>
        <v>Nein</v>
      </c>
      <c r="V466" s="4">
        <f t="shared" si="100"/>
        <v>0</v>
      </c>
      <c r="W466" s="19">
        <f t="shared" si="101"/>
        <v>0.79</v>
      </c>
      <c r="X466" s="5">
        <v>0</v>
      </c>
      <c r="Y466" s="28">
        <f t="shared" si="102"/>
        <v>0</v>
      </c>
      <c r="Z466" s="31" t="s">
        <v>172</v>
      </c>
      <c r="AA466" t="str">
        <f t="shared" si="103"/>
        <v>Normal/Gering</v>
      </c>
    </row>
    <row r="467" spans="1:27" x14ac:dyDescent="0.35">
      <c r="A467" s="32" t="s">
        <v>16</v>
      </c>
      <c r="B467" s="2" t="str">
        <f>VLOOKUP(A467,Stammdaten!$A$3:$B$7,2,FALSE)</f>
        <v>Filiale Ost</v>
      </c>
      <c r="C467" s="3" t="str" cm="1">
        <f t="array" ref="C467">INDEX(Stammdaten!$A$11:$A$25,INT((ROW()-5)/12)+1 - INT((ROW()-5)/180)*15)</f>
        <v>A009</v>
      </c>
      <c r="D467" s="2" t="str">
        <f>VLOOKUP(C467,Stammdaten!$A$11:$B$25,2,FALSE)</f>
        <v>Sahne 200ml</v>
      </c>
      <c r="E467" s="3" t="str">
        <f>VLOOKUP(C467,Stammdaten!$A$11:$C$25,3,FALSE)</f>
        <v>Sahne</v>
      </c>
      <c r="F467" s="19">
        <f>VLOOKUP(C467,Stammdaten!$A$11:$D$25,4,FALSE)</f>
        <v>0.79</v>
      </c>
      <c r="G467" s="4">
        <f t="shared" si="91"/>
        <v>7</v>
      </c>
      <c r="H467" s="20" t="str">
        <f>VLOOKUP(G467,Stammdaten!$A$30:$B$41,2,FALSE)</f>
        <v>Juli</v>
      </c>
      <c r="I467" s="4">
        <v>227</v>
      </c>
      <c r="J467" s="4">
        <v>218</v>
      </c>
      <c r="K467" s="4">
        <f t="shared" si="92"/>
        <v>-9</v>
      </c>
      <c r="L467" s="27">
        <f t="shared" si="93"/>
        <v>-3.9647577092511015</v>
      </c>
      <c r="M467" s="52" t="str">
        <f t="shared" si="94"/>
        <v>Schwund</v>
      </c>
      <c r="N467" s="28">
        <f t="shared" si="95"/>
        <v>7.11</v>
      </c>
      <c r="O467" s="5">
        <v>8</v>
      </c>
      <c r="P467" s="4">
        <v>3</v>
      </c>
      <c r="Q467" s="28">
        <f t="shared" si="96"/>
        <v>1.7775000000000001</v>
      </c>
      <c r="R467" s="50">
        <f t="shared" si="97"/>
        <v>2.133</v>
      </c>
      <c r="S467" s="2" t="str">
        <f t="shared" si="98"/>
        <v>Normal</v>
      </c>
      <c r="T467" s="4">
        <v>0</v>
      </c>
      <c r="U467" s="4" t="str">
        <f t="shared" si="99"/>
        <v>Nein</v>
      </c>
      <c r="V467" s="4">
        <f t="shared" si="100"/>
        <v>0</v>
      </c>
      <c r="W467" s="19">
        <f t="shared" si="101"/>
        <v>0.79</v>
      </c>
      <c r="X467" s="5">
        <v>0</v>
      </c>
      <c r="Y467" s="28">
        <f t="shared" si="102"/>
        <v>0</v>
      </c>
      <c r="Z467" s="31" t="s">
        <v>172</v>
      </c>
      <c r="AA467" t="str">
        <f t="shared" si="103"/>
        <v>Prozessfehler</v>
      </c>
    </row>
    <row r="468" spans="1:27" x14ac:dyDescent="0.35">
      <c r="A468" s="32" t="s">
        <v>16</v>
      </c>
      <c r="B468" s="2" t="str">
        <f>VLOOKUP(A468,Stammdaten!$A$3:$B$7,2,FALSE)</f>
        <v>Filiale Ost</v>
      </c>
      <c r="C468" s="3" t="str" cm="1">
        <f t="array" ref="C468">INDEX(Stammdaten!$A$11:$A$25,INT((ROW()-5)/12)+1 - INT((ROW()-5)/180)*15)</f>
        <v>A009</v>
      </c>
      <c r="D468" s="2" t="str">
        <f>VLOOKUP(C468,Stammdaten!$A$11:$B$25,2,FALSE)</f>
        <v>Sahne 200ml</v>
      </c>
      <c r="E468" s="3" t="str">
        <f>VLOOKUP(C468,Stammdaten!$A$11:$C$25,3,FALSE)</f>
        <v>Sahne</v>
      </c>
      <c r="F468" s="19">
        <f>VLOOKUP(C468,Stammdaten!$A$11:$D$25,4,FALSE)</f>
        <v>0.79</v>
      </c>
      <c r="G468" s="4">
        <f t="shared" si="91"/>
        <v>8</v>
      </c>
      <c r="H468" s="20" t="str">
        <f>VLOOKUP(G468,Stammdaten!$A$30:$B$41,2,FALSE)</f>
        <v>August</v>
      </c>
      <c r="I468" s="4">
        <v>209</v>
      </c>
      <c r="J468" s="4">
        <v>209</v>
      </c>
      <c r="K468" s="4">
        <f t="shared" si="92"/>
        <v>0</v>
      </c>
      <c r="L468" s="27">
        <f t="shared" si="93"/>
        <v>0</v>
      </c>
      <c r="M468" s="52" t="str">
        <f t="shared" si="94"/>
        <v>Perfekt</v>
      </c>
      <c r="N468" s="28">
        <f t="shared" si="95"/>
        <v>0</v>
      </c>
      <c r="O468" s="5">
        <v>9</v>
      </c>
      <c r="P468" s="4">
        <v>4</v>
      </c>
      <c r="Q468" s="28">
        <f t="shared" si="96"/>
        <v>0</v>
      </c>
      <c r="R468" s="50">
        <f t="shared" si="97"/>
        <v>0</v>
      </c>
      <c r="S468" s="2" t="str">
        <f t="shared" si="98"/>
        <v>Normal</v>
      </c>
      <c r="T468" s="4">
        <v>0</v>
      </c>
      <c r="U468" s="4" t="str">
        <f t="shared" si="99"/>
        <v>Nein</v>
      </c>
      <c r="V468" s="4">
        <f t="shared" si="100"/>
        <v>0</v>
      </c>
      <c r="W468" s="19">
        <f t="shared" si="101"/>
        <v>0.79</v>
      </c>
      <c r="X468" s="5">
        <v>0</v>
      </c>
      <c r="Y468" s="28">
        <f t="shared" si="102"/>
        <v>0</v>
      </c>
      <c r="Z468" s="31" t="s">
        <v>172</v>
      </c>
      <c r="AA468" t="str">
        <f t="shared" si="103"/>
        <v>Normal/Gering</v>
      </c>
    </row>
    <row r="469" spans="1:27" x14ac:dyDescent="0.35">
      <c r="A469" s="32" t="s">
        <v>16</v>
      </c>
      <c r="B469" s="2" t="str">
        <f>VLOOKUP(A469,Stammdaten!$A$3:$B$7,2,FALSE)</f>
        <v>Filiale Ost</v>
      </c>
      <c r="C469" s="3" t="str" cm="1">
        <f t="array" ref="C469">INDEX(Stammdaten!$A$11:$A$25,INT((ROW()-5)/12)+1 - INT((ROW()-5)/180)*15)</f>
        <v>A009</v>
      </c>
      <c r="D469" s="2" t="str">
        <f>VLOOKUP(C469,Stammdaten!$A$11:$B$25,2,FALSE)</f>
        <v>Sahne 200ml</v>
      </c>
      <c r="E469" s="3" t="str">
        <f>VLOOKUP(C469,Stammdaten!$A$11:$C$25,3,FALSE)</f>
        <v>Sahne</v>
      </c>
      <c r="F469" s="19">
        <f>VLOOKUP(C469,Stammdaten!$A$11:$D$25,4,FALSE)</f>
        <v>0.79</v>
      </c>
      <c r="G469" s="4">
        <f t="shared" si="91"/>
        <v>9</v>
      </c>
      <c r="H469" s="20" t="str">
        <f>VLOOKUP(G469,Stammdaten!$A$30:$B$41,2,FALSE)</f>
        <v>September</v>
      </c>
      <c r="I469" s="4">
        <v>178</v>
      </c>
      <c r="J469" s="4">
        <v>172</v>
      </c>
      <c r="K469" s="4">
        <f t="shared" si="92"/>
        <v>-6</v>
      </c>
      <c r="L469" s="27">
        <f t="shared" si="93"/>
        <v>-3.3707865168539324</v>
      </c>
      <c r="M469" s="52" t="str">
        <f t="shared" si="94"/>
        <v>Schwund</v>
      </c>
      <c r="N469" s="28">
        <f t="shared" si="95"/>
        <v>4.74</v>
      </c>
      <c r="O469" s="5">
        <v>5</v>
      </c>
      <c r="P469" s="4">
        <v>2</v>
      </c>
      <c r="Q469" s="28">
        <f t="shared" si="96"/>
        <v>1.1850000000000001</v>
      </c>
      <c r="R469" s="50">
        <f t="shared" si="97"/>
        <v>1.4219999999999999</v>
      </c>
      <c r="S469" s="2" t="str">
        <f t="shared" si="98"/>
        <v>Normal</v>
      </c>
      <c r="T469" s="4">
        <v>0</v>
      </c>
      <c r="U469" s="4" t="str">
        <f t="shared" si="99"/>
        <v>Nein</v>
      </c>
      <c r="V469" s="4">
        <f t="shared" si="100"/>
        <v>0</v>
      </c>
      <c r="W469" s="19">
        <f t="shared" si="101"/>
        <v>0.79</v>
      </c>
      <c r="X469" s="5">
        <v>0</v>
      </c>
      <c r="Y469" s="28">
        <f t="shared" si="102"/>
        <v>0</v>
      </c>
      <c r="Z469" s="31" t="s">
        <v>172</v>
      </c>
      <c r="AA469" t="str">
        <f t="shared" si="103"/>
        <v>Prozessfehler</v>
      </c>
    </row>
    <row r="470" spans="1:27" x14ac:dyDescent="0.35">
      <c r="A470" s="32" t="s">
        <v>16</v>
      </c>
      <c r="B470" s="2" t="str">
        <f>VLOOKUP(A470,Stammdaten!$A$3:$B$7,2,FALSE)</f>
        <v>Filiale Ost</v>
      </c>
      <c r="C470" s="3" t="str" cm="1">
        <f t="array" ref="C470">INDEX(Stammdaten!$A$11:$A$25,INT((ROW()-5)/12)+1 - INT((ROW()-5)/180)*15)</f>
        <v>A009</v>
      </c>
      <c r="D470" s="2" t="str">
        <f>VLOOKUP(C470,Stammdaten!$A$11:$B$25,2,FALSE)</f>
        <v>Sahne 200ml</v>
      </c>
      <c r="E470" s="3" t="str">
        <f>VLOOKUP(C470,Stammdaten!$A$11:$C$25,3,FALSE)</f>
        <v>Sahne</v>
      </c>
      <c r="F470" s="19">
        <f>VLOOKUP(C470,Stammdaten!$A$11:$D$25,4,FALSE)</f>
        <v>0.79</v>
      </c>
      <c r="G470" s="4">
        <f t="shared" si="91"/>
        <v>10</v>
      </c>
      <c r="H470" s="20" t="str">
        <f>VLOOKUP(G470,Stammdaten!$A$30:$B$41,2,FALSE)</f>
        <v>Oktober</v>
      </c>
      <c r="I470" s="4">
        <v>184</v>
      </c>
      <c r="J470" s="4">
        <v>184</v>
      </c>
      <c r="K470" s="4">
        <f t="shared" si="92"/>
        <v>0</v>
      </c>
      <c r="L470" s="27">
        <f t="shared" si="93"/>
        <v>0</v>
      </c>
      <c r="M470" s="52" t="str">
        <f t="shared" si="94"/>
        <v>Perfekt</v>
      </c>
      <c r="N470" s="28">
        <f t="shared" si="95"/>
        <v>0</v>
      </c>
      <c r="O470" s="5">
        <v>4</v>
      </c>
      <c r="P470" s="4">
        <v>1</v>
      </c>
      <c r="Q470" s="28">
        <f t="shared" si="96"/>
        <v>0</v>
      </c>
      <c r="R470" s="50">
        <f t="shared" si="97"/>
        <v>0</v>
      </c>
      <c r="S470" s="2" t="str">
        <f t="shared" si="98"/>
        <v>Normal</v>
      </c>
      <c r="T470" s="4">
        <v>0</v>
      </c>
      <c r="U470" s="4" t="str">
        <f t="shared" si="99"/>
        <v>Nein</v>
      </c>
      <c r="V470" s="4">
        <f t="shared" si="100"/>
        <v>0</v>
      </c>
      <c r="W470" s="19">
        <f t="shared" si="101"/>
        <v>0.79</v>
      </c>
      <c r="X470" s="5">
        <v>0</v>
      </c>
      <c r="Y470" s="28">
        <f t="shared" si="102"/>
        <v>0</v>
      </c>
      <c r="Z470" s="31" t="s">
        <v>172</v>
      </c>
      <c r="AA470" t="str">
        <f t="shared" si="103"/>
        <v>Normal/Gering</v>
      </c>
    </row>
    <row r="471" spans="1:27" x14ac:dyDescent="0.35">
      <c r="A471" s="32" t="s">
        <v>16</v>
      </c>
      <c r="B471" s="2" t="str">
        <f>VLOOKUP(A471,Stammdaten!$A$3:$B$7,2,FALSE)</f>
        <v>Filiale Ost</v>
      </c>
      <c r="C471" s="3" t="str" cm="1">
        <f t="array" ref="C471">INDEX(Stammdaten!$A$11:$A$25,INT((ROW()-5)/12)+1 - INT((ROW()-5)/180)*15)</f>
        <v>A009</v>
      </c>
      <c r="D471" s="2" t="str">
        <f>VLOOKUP(C471,Stammdaten!$A$11:$B$25,2,FALSE)</f>
        <v>Sahne 200ml</v>
      </c>
      <c r="E471" s="3" t="str">
        <f>VLOOKUP(C471,Stammdaten!$A$11:$C$25,3,FALSE)</f>
        <v>Sahne</v>
      </c>
      <c r="F471" s="19">
        <f>VLOOKUP(C471,Stammdaten!$A$11:$D$25,4,FALSE)</f>
        <v>0.79</v>
      </c>
      <c r="G471" s="4">
        <f t="shared" si="91"/>
        <v>11</v>
      </c>
      <c r="H471" s="20" t="str">
        <f>VLOOKUP(G471,Stammdaten!$A$30:$B$41,2,FALSE)</f>
        <v>November</v>
      </c>
      <c r="I471" s="4">
        <v>188</v>
      </c>
      <c r="J471" s="4">
        <v>182</v>
      </c>
      <c r="K471" s="4">
        <f t="shared" si="92"/>
        <v>-6</v>
      </c>
      <c r="L471" s="27">
        <f t="shared" si="93"/>
        <v>-3.1914893617021276</v>
      </c>
      <c r="M471" s="52" t="str">
        <f t="shared" si="94"/>
        <v>Schwund</v>
      </c>
      <c r="N471" s="28">
        <f t="shared" si="95"/>
        <v>4.74</v>
      </c>
      <c r="O471" s="5">
        <v>8</v>
      </c>
      <c r="P471" s="4">
        <v>0</v>
      </c>
      <c r="Q471" s="28">
        <f t="shared" si="96"/>
        <v>1.1850000000000001</v>
      </c>
      <c r="R471" s="50">
        <f t="shared" si="97"/>
        <v>1.4219999999999999</v>
      </c>
      <c r="S471" s="2" t="str">
        <f t="shared" si="98"/>
        <v>Black Friday</v>
      </c>
      <c r="T471" s="4">
        <v>0</v>
      </c>
      <c r="U471" s="4" t="str">
        <f t="shared" si="99"/>
        <v>Nein</v>
      </c>
      <c r="V471" s="4">
        <f t="shared" si="100"/>
        <v>0</v>
      </c>
      <c r="W471" s="19">
        <f t="shared" si="101"/>
        <v>0.79</v>
      </c>
      <c r="X471" s="5">
        <v>0</v>
      </c>
      <c r="Y471" s="28">
        <f t="shared" si="102"/>
        <v>0</v>
      </c>
      <c r="Z471" s="31" t="s">
        <v>172</v>
      </c>
      <c r="AA471" t="str">
        <f t="shared" si="103"/>
        <v>Buchungsfehler Wareneingang</v>
      </c>
    </row>
    <row r="472" spans="1:27" x14ac:dyDescent="0.35">
      <c r="A472" s="32" t="s">
        <v>16</v>
      </c>
      <c r="B472" s="2" t="str">
        <f>VLOOKUP(A472,Stammdaten!$A$3:$B$7,2,FALSE)</f>
        <v>Filiale Ost</v>
      </c>
      <c r="C472" s="3" t="str" cm="1">
        <f t="array" ref="C472">INDEX(Stammdaten!$A$11:$A$25,INT((ROW()-5)/12)+1 - INT((ROW()-5)/180)*15)</f>
        <v>A009</v>
      </c>
      <c r="D472" s="2" t="str">
        <f>VLOOKUP(C472,Stammdaten!$A$11:$B$25,2,FALSE)</f>
        <v>Sahne 200ml</v>
      </c>
      <c r="E472" s="3" t="str">
        <f>VLOOKUP(C472,Stammdaten!$A$11:$C$25,3,FALSE)</f>
        <v>Sahne</v>
      </c>
      <c r="F472" s="19">
        <f>VLOOKUP(C472,Stammdaten!$A$11:$D$25,4,FALSE)</f>
        <v>0.79</v>
      </c>
      <c r="G472" s="4">
        <f t="shared" si="91"/>
        <v>12</v>
      </c>
      <c r="H472" s="20" t="str">
        <f>VLOOKUP(G472,Stammdaten!$A$30:$B$41,2,FALSE)</f>
        <v>Dezember</v>
      </c>
      <c r="I472" s="4">
        <v>247</v>
      </c>
      <c r="J472" s="4">
        <v>251</v>
      </c>
      <c r="K472" s="4">
        <f t="shared" si="92"/>
        <v>4</v>
      </c>
      <c r="L472" s="27">
        <f t="shared" si="93"/>
        <v>1.6194331983805668</v>
      </c>
      <c r="M472" s="52" t="str">
        <f t="shared" si="94"/>
        <v>Überbestand</v>
      </c>
      <c r="N472" s="28">
        <f t="shared" si="95"/>
        <v>3.16</v>
      </c>
      <c r="O472" s="5">
        <v>2</v>
      </c>
      <c r="P472" s="4">
        <v>3</v>
      </c>
      <c r="Q472" s="28">
        <f t="shared" si="96"/>
        <v>0</v>
      </c>
      <c r="R472" s="50">
        <f t="shared" si="97"/>
        <v>0</v>
      </c>
      <c r="S472" s="2" t="str">
        <f t="shared" si="98"/>
        <v>Weihnachten/Silvester</v>
      </c>
      <c r="T472" s="4">
        <v>4</v>
      </c>
      <c r="U472" s="4" t="str">
        <f t="shared" si="99"/>
        <v>Ja - 20% Reduzierung</v>
      </c>
      <c r="V472" s="4">
        <f t="shared" si="100"/>
        <v>20</v>
      </c>
      <c r="W472" s="19">
        <f t="shared" si="101"/>
        <v>0.63</v>
      </c>
      <c r="X472" s="5">
        <v>17</v>
      </c>
      <c r="Y472" s="28">
        <f t="shared" si="102"/>
        <v>2.69</v>
      </c>
      <c r="Z472" s="31" t="s">
        <v>173</v>
      </c>
      <c r="AA472" t="str">
        <f t="shared" si="103"/>
        <v>Kassenfehler (Überbestand)</v>
      </c>
    </row>
    <row r="473" spans="1:27" x14ac:dyDescent="0.35">
      <c r="A473" s="32" t="s">
        <v>16</v>
      </c>
      <c r="B473" s="2" t="str">
        <f>VLOOKUP(A473,Stammdaten!$A$3:$B$7,2,FALSE)</f>
        <v>Filiale Ost</v>
      </c>
      <c r="C473" s="3" t="str" cm="1">
        <f t="array" ref="C473">INDEX(Stammdaten!$A$11:$A$25,INT((ROW()-5)/12)+1 - INT((ROW()-5)/180)*15)</f>
        <v>A010</v>
      </c>
      <c r="D473" s="2" t="str">
        <f>VLOOKUP(C473,Stammdaten!$A$11:$B$25,2,FALSE)</f>
        <v>Schmand 200g</v>
      </c>
      <c r="E473" s="3" t="str">
        <f>VLOOKUP(C473,Stammdaten!$A$11:$C$25,3,FALSE)</f>
        <v>Sahne</v>
      </c>
      <c r="F473" s="19">
        <f>VLOOKUP(C473,Stammdaten!$A$11:$D$25,4,FALSE)</f>
        <v>0.89</v>
      </c>
      <c r="G473" s="4">
        <f t="shared" si="91"/>
        <v>1</v>
      </c>
      <c r="H473" s="20" t="str">
        <f>VLOOKUP(G473,Stammdaten!$A$30:$B$41,2,FALSE)</f>
        <v>Januar</v>
      </c>
      <c r="I473" s="4">
        <v>147</v>
      </c>
      <c r="J473" s="4">
        <v>145</v>
      </c>
      <c r="K473" s="4">
        <f t="shared" si="92"/>
        <v>-2</v>
      </c>
      <c r="L473" s="27">
        <f t="shared" si="93"/>
        <v>-1.3605442176870748</v>
      </c>
      <c r="M473" s="52" t="str">
        <f t="shared" si="94"/>
        <v>Schwund</v>
      </c>
      <c r="N473" s="28">
        <f t="shared" si="95"/>
        <v>1.78</v>
      </c>
      <c r="O473" s="5">
        <v>1</v>
      </c>
      <c r="P473" s="4">
        <v>0</v>
      </c>
      <c r="Q473" s="28">
        <f t="shared" si="96"/>
        <v>0.44500000000000001</v>
      </c>
      <c r="R473" s="50">
        <f t="shared" si="97"/>
        <v>0.53400000000000003</v>
      </c>
      <c r="S473" s="2" t="str">
        <f t="shared" si="98"/>
        <v>Normal</v>
      </c>
      <c r="T473" s="4">
        <v>0</v>
      </c>
      <c r="U473" s="4" t="str">
        <f t="shared" si="99"/>
        <v>Ja - 20% Reduzierung</v>
      </c>
      <c r="V473" s="4">
        <f t="shared" si="100"/>
        <v>20</v>
      </c>
      <c r="W473" s="19">
        <f t="shared" si="101"/>
        <v>0.71</v>
      </c>
      <c r="X473" s="5">
        <v>10</v>
      </c>
      <c r="Y473" s="28">
        <f t="shared" si="102"/>
        <v>1.78</v>
      </c>
      <c r="Z473" s="31" t="s">
        <v>173</v>
      </c>
      <c r="AA473" t="str">
        <f t="shared" si="103"/>
        <v>Normal/Gering</v>
      </c>
    </row>
    <row r="474" spans="1:27" x14ac:dyDescent="0.35">
      <c r="A474" s="32" t="s">
        <v>16</v>
      </c>
      <c r="B474" s="2" t="str">
        <f>VLOOKUP(A474,Stammdaten!$A$3:$B$7,2,FALSE)</f>
        <v>Filiale Ost</v>
      </c>
      <c r="C474" s="3" t="str" cm="1">
        <f t="array" ref="C474">INDEX(Stammdaten!$A$11:$A$25,INT((ROW()-5)/12)+1 - INT((ROW()-5)/180)*15)</f>
        <v>A010</v>
      </c>
      <c r="D474" s="2" t="str">
        <f>VLOOKUP(C474,Stammdaten!$A$11:$B$25,2,FALSE)</f>
        <v>Schmand 200g</v>
      </c>
      <c r="E474" s="3" t="str">
        <f>VLOOKUP(C474,Stammdaten!$A$11:$C$25,3,FALSE)</f>
        <v>Sahne</v>
      </c>
      <c r="F474" s="19">
        <f>VLOOKUP(C474,Stammdaten!$A$11:$D$25,4,FALSE)</f>
        <v>0.89</v>
      </c>
      <c r="G474" s="4">
        <f t="shared" si="91"/>
        <v>2</v>
      </c>
      <c r="H474" s="20" t="str">
        <f>VLOOKUP(G474,Stammdaten!$A$30:$B$41,2,FALSE)</f>
        <v>Februar</v>
      </c>
      <c r="I474" s="4">
        <v>132</v>
      </c>
      <c r="J474" s="4">
        <v>131</v>
      </c>
      <c r="K474" s="4">
        <f t="shared" si="92"/>
        <v>-1</v>
      </c>
      <c r="L474" s="27">
        <f t="shared" si="93"/>
        <v>-0.75757575757575757</v>
      </c>
      <c r="M474" s="52" t="str">
        <f t="shared" si="94"/>
        <v>Schwund</v>
      </c>
      <c r="N474" s="28">
        <f t="shared" si="95"/>
        <v>0.89</v>
      </c>
      <c r="O474" s="5">
        <v>11</v>
      </c>
      <c r="P474" s="4">
        <v>5</v>
      </c>
      <c r="Q474" s="28">
        <f t="shared" si="96"/>
        <v>0.2225</v>
      </c>
      <c r="R474" s="50">
        <f t="shared" si="97"/>
        <v>0.26700000000000002</v>
      </c>
      <c r="S474" s="2" t="str">
        <f t="shared" si="98"/>
        <v>Karneval</v>
      </c>
      <c r="T474" s="4">
        <v>0</v>
      </c>
      <c r="U474" s="4" t="str">
        <f t="shared" si="99"/>
        <v>Nein</v>
      </c>
      <c r="V474" s="4">
        <f t="shared" si="100"/>
        <v>0</v>
      </c>
      <c r="W474" s="19">
        <f t="shared" si="101"/>
        <v>0.89</v>
      </c>
      <c r="X474" s="5">
        <v>0</v>
      </c>
      <c r="Y474" s="28">
        <f t="shared" si="102"/>
        <v>0</v>
      </c>
      <c r="Z474" s="31" t="s">
        <v>172</v>
      </c>
      <c r="AA474" t="str">
        <f t="shared" si="103"/>
        <v>Normal/Gering</v>
      </c>
    </row>
    <row r="475" spans="1:27" x14ac:dyDescent="0.35">
      <c r="A475" s="32" t="s">
        <v>16</v>
      </c>
      <c r="B475" s="2" t="str">
        <f>VLOOKUP(A475,Stammdaten!$A$3:$B$7,2,FALSE)</f>
        <v>Filiale Ost</v>
      </c>
      <c r="C475" s="3" t="str" cm="1">
        <f t="array" ref="C475">INDEX(Stammdaten!$A$11:$A$25,INT((ROW()-5)/12)+1 - INT((ROW()-5)/180)*15)</f>
        <v>A010</v>
      </c>
      <c r="D475" s="2" t="str">
        <f>VLOOKUP(C475,Stammdaten!$A$11:$B$25,2,FALSE)</f>
        <v>Schmand 200g</v>
      </c>
      <c r="E475" s="3" t="str">
        <f>VLOOKUP(C475,Stammdaten!$A$11:$C$25,3,FALSE)</f>
        <v>Sahne</v>
      </c>
      <c r="F475" s="19">
        <f>VLOOKUP(C475,Stammdaten!$A$11:$D$25,4,FALSE)</f>
        <v>0.89</v>
      </c>
      <c r="G475" s="4">
        <f t="shared" si="91"/>
        <v>3</v>
      </c>
      <c r="H475" s="20" t="str">
        <f>VLOOKUP(G475,Stammdaten!$A$30:$B$41,2,FALSE)</f>
        <v>März</v>
      </c>
      <c r="I475" s="4">
        <v>174</v>
      </c>
      <c r="J475" s="4">
        <v>174</v>
      </c>
      <c r="K475" s="4">
        <f t="shared" si="92"/>
        <v>0</v>
      </c>
      <c r="L475" s="27">
        <f t="shared" si="93"/>
        <v>0</v>
      </c>
      <c r="M475" s="52" t="str">
        <f t="shared" si="94"/>
        <v>Perfekt</v>
      </c>
      <c r="N475" s="28">
        <f t="shared" si="95"/>
        <v>0</v>
      </c>
      <c r="O475" s="5">
        <v>7</v>
      </c>
      <c r="P475" s="4">
        <v>4</v>
      </c>
      <c r="Q475" s="28">
        <f t="shared" si="96"/>
        <v>0</v>
      </c>
      <c r="R475" s="50">
        <f t="shared" si="97"/>
        <v>0</v>
      </c>
      <c r="S475" s="2" t="str">
        <f t="shared" si="98"/>
        <v>Normal</v>
      </c>
      <c r="T475" s="4">
        <v>0</v>
      </c>
      <c r="U475" s="4" t="str">
        <f t="shared" si="99"/>
        <v>Nein</v>
      </c>
      <c r="V475" s="4">
        <f t="shared" si="100"/>
        <v>0</v>
      </c>
      <c r="W475" s="19">
        <f t="shared" si="101"/>
        <v>0.89</v>
      </c>
      <c r="X475" s="5">
        <v>0</v>
      </c>
      <c r="Y475" s="28">
        <f t="shared" si="102"/>
        <v>0</v>
      </c>
      <c r="Z475" s="31" t="s">
        <v>172</v>
      </c>
      <c r="AA475" t="str">
        <f t="shared" si="103"/>
        <v>Normal/Gering</v>
      </c>
    </row>
    <row r="476" spans="1:27" x14ac:dyDescent="0.35">
      <c r="A476" s="32" t="s">
        <v>16</v>
      </c>
      <c r="B476" s="2" t="str">
        <f>VLOOKUP(A476,Stammdaten!$A$3:$B$7,2,FALSE)</f>
        <v>Filiale Ost</v>
      </c>
      <c r="C476" s="3" t="str" cm="1">
        <f t="array" ref="C476">INDEX(Stammdaten!$A$11:$A$25,INT((ROW()-5)/12)+1 - INT((ROW()-5)/180)*15)</f>
        <v>A010</v>
      </c>
      <c r="D476" s="2" t="str">
        <f>VLOOKUP(C476,Stammdaten!$A$11:$B$25,2,FALSE)</f>
        <v>Schmand 200g</v>
      </c>
      <c r="E476" s="3" t="str">
        <f>VLOOKUP(C476,Stammdaten!$A$11:$C$25,3,FALSE)</f>
        <v>Sahne</v>
      </c>
      <c r="F476" s="19">
        <f>VLOOKUP(C476,Stammdaten!$A$11:$D$25,4,FALSE)</f>
        <v>0.89</v>
      </c>
      <c r="G476" s="4">
        <f t="shared" si="91"/>
        <v>4</v>
      </c>
      <c r="H476" s="20" t="str">
        <f>VLOOKUP(G476,Stammdaten!$A$30:$B$41,2,FALSE)</f>
        <v>April</v>
      </c>
      <c r="I476" s="4">
        <v>203</v>
      </c>
      <c r="J476" s="4">
        <v>199</v>
      </c>
      <c r="K476" s="4">
        <f t="shared" si="92"/>
        <v>-4</v>
      </c>
      <c r="L476" s="27">
        <f t="shared" si="93"/>
        <v>-1.9704433497536946</v>
      </c>
      <c r="M476" s="52" t="str">
        <f t="shared" si="94"/>
        <v>Schwund</v>
      </c>
      <c r="N476" s="28">
        <f t="shared" si="95"/>
        <v>3.56</v>
      </c>
      <c r="O476" s="5">
        <v>11</v>
      </c>
      <c r="P476" s="4">
        <v>0</v>
      </c>
      <c r="Q476" s="28">
        <f t="shared" si="96"/>
        <v>0.89</v>
      </c>
      <c r="R476" s="50">
        <f t="shared" si="97"/>
        <v>1.0680000000000001</v>
      </c>
      <c r="S476" s="2" t="str">
        <f t="shared" si="98"/>
        <v>Ostern</v>
      </c>
      <c r="T476" s="4">
        <v>0</v>
      </c>
      <c r="U476" s="4" t="str">
        <f t="shared" si="99"/>
        <v>Nein</v>
      </c>
      <c r="V476" s="4">
        <f t="shared" si="100"/>
        <v>0</v>
      </c>
      <c r="W476" s="19">
        <f t="shared" si="101"/>
        <v>0.89</v>
      </c>
      <c r="X476" s="5">
        <v>0</v>
      </c>
      <c r="Y476" s="28">
        <f t="shared" si="102"/>
        <v>0</v>
      </c>
      <c r="Z476" s="31" t="s">
        <v>172</v>
      </c>
      <c r="AA476" t="str">
        <f t="shared" si="103"/>
        <v>Normal/Gering</v>
      </c>
    </row>
    <row r="477" spans="1:27" x14ac:dyDescent="0.35">
      <c r="A477" s="32" t="s">
        <v>16</v>
      </c>
      <c r="B477" s="2" t="str">
        <f>VLOOKUP(A477,Stammdaten!$A$3:$B$7,2,FALSE)</f>
        <v>Filiale Ost</v>
      </c>
      <c r="C477" s="3" t="str" cm="1">
        <f t="array" ref="C477">INDEX(Stammdaten!$A$11:$A$25,INT((ROW()-5)/12)+1 - INT((ROW()-5)/180)*15)</f>
        <v>A010</v>
      </c>
      <c r="D477" s="2" t="str">
        <f>VLOOKUP(C477,Stammdaten!$A$11:$B$25,2,FALSE)</f>
        <v>Schmand 200g</v>
      </c>
      <c r="E477" s="3" t="str">
        <f>VLOOKUP(C477,Stammdaten!$A$11:$C$25,3,FALSE)</f>
        <v>Sahne</v>
      </c>
      <c r="F477" s="19">
        <f>VLOOKUP(C477,Stammdaten!$A$11:$D$25,4,FALSE)</f>
        <v>0.89</v>
      </c>
      <c r="G477" s="4">
        <f t="shared" si="91"/>
        <v>5</v>
      </c>
      <c r="H477" s="20" t="str">
        <f>VLOOKUP(G477,Stammdaten!$A$30:$B$41,2,FALSE)</f>
        <v>Mai</v>
      </c>
      <c r="I477" s="4">
        <v>168</v>
      </c>
      <c r="J477" s="4">
        <v>164</v>
      </c>
      <c r="K477" s="4">
        <f t="shared" si="92"/>
        <v>-4</v>
      </c>
      <c r="L477" s="27">
        <f t="shared" si="93"/>
        <v>-2.3809523809523809</v>
      </c>
      <c r="M477" s="52" t="str">
        <f t="shared" si="94"/>
        <v>Schwund</v>
      </c>
      <c r="N477" s="28">
        <f t="shared" si="95"/>
        <v>3.56</v>
      </c>
      <c r="O477" s="5">
        <v>5</v>
      </c>
      <c r="P477" s="4">
        <v>5</v>
      </c>
      <c r="Q477" s="28">
        <f t="shared" si="96"/>
        <v>0.89</v>
      </c>
      <c r="R477" s="50">
        <f t="shared" si="97"/>
        <v>1.0680000000000001</v>
      </c>
      <c r="S477" s="2" t="str">
        <f t="shared" si="98"/>
        <v>Normal</v>
      </c>
      <c r="T477" s="4">
        <v>0</v>
      </c>
      <c r="U477" s="4" t="str">
        <f t="shared" si="99"/>
        <v>Nein</v>
      </c>
      <c r="V477" s="4">
        <f t="shared" si="100"/>
        <v>0</v>
      </c>
      <c r="W477" s="19">
        <f t="shared" si="101"/>
        <v>0.89</v>
      </c>
      <c r="X477" s="5">
        <v>0</v>
      </c>
      <c r="Y477" s="28">
        <f t="shared" si="102"/>
        <v>0</v>
      </c>
      <c r="Z477" s="31" t="s">
        <v>172</v>
      </c>
      <c r="AA477" t="str">
        <f t="shared" si="103"/>
        <v>Prozessfehler</v>
      </c>
    </row>
    <row r="478" spans="1:27" x14ac:dyDescent="0.35">
      <c r="A478" s="32" t="s">
        <v>16</v>
      </c>
      <c r="B478" s="2" t="str">
        <f>VLOOKUP(A478,Stammdaten!$A$3:$B$7,2,FALSE)</f>
        <v>Filiale Ost</v>
      </c>
      <c r="C478" s="3" t="str" cm="1">
        <f t="array" ref="C478">INDEX(Stammdaten!$A$11:$A$25,INT((ROW()-5)/12)+1 - INT((ROW()-5)/180)*15)</f>
        <v>A010</v>
      </c>
      <c r="D478" s="2" t="str">
        <f>VLOOKUP(C478,Stammdaten!$A$11:$B$25,2,FALSE)</f>
        <v>Schmand 200g</v>
      </c>
      <c r="E478" s="3" t="str">
        <f>VLOOKUP(C478,Stammdaten!$A$11:$C$25,3,FALSE)</f>
        <v>Sahne</v>
      </c>
      <c r="F478" s="19">
        <f>VLOOKUP(C478,Stammdaten!$A$11:$D$25,4,FALSE)</f>
        <v>0.89</v>
      </c>
      <c r="G478" s="4">
        <f t="shared" si="91"/>
        <v>6</v>
      </c>
      <c r="H478" s="20" t="str">
        <f>VLOOKUP(G478,Stammdaten!$A$30:$B$41,2,FALSE)</f>
        <v>Juni</v>
      </c>
      <c r="I478" s="4">
        <v>169</v>
      </c>
      <c r="J478" s="4">
        <v>169</v>
      </c>
      <c r="K478" s="4">
        <f t="shared" si="92"/>
        <v>0</v>
      </c>
      <c r="L478" s="27">
        <f t="shared" si="93"/>
        <v>0</v>
      </c>
      <c r="M478" s="52" t="str">
        <f t="shared" si="94"/>
        <v>Perfekt</v>
      </c>
      <c r="N478" s="28">
        <f t="shared" si="95"/>
        <v>0</v>
      </c>
      <c r="O478" s="5">
        <v>13</v>
      </c>
      <c r="P478" s="4">
        <v>5</v>
      </c>
      <c r="Q478" s="28">
        <f t="shared" si="96"/>
        <v>0</v>
      </c>
      <c r="R478" s="50">
        <f t="shared" si="97"/>
        <v>0</v>
      </c>
      <c r="S478" s="2" t="str">
        <f t="shared" si="98"/>
        <v>Normal</v>
      </c>
      <c r="T478" s="4">
        <v>0</v>
      </c>
      <c r="U478" s="4" t="str">
        <f t="shared" si="99"/>
        <v>Nein</v>
      </c>
      <c r="V478" s="4">
        <f t="shared" si="100"/>
        <v>0</v>
      </c>
      <c r="W478" s="19">
        <f t="shared" si="101"/>
        <v>0.89</v>
      </c>
      <c r="X478" s="5">
        <v>0</v>
      </c>
      <c r="Y478" s="28">
        <f t="shared" si="102"/>
        <v>0</v>
      </c>
      <c r="Z478" s="31" t="s">
        <v>172</v>
      </c>
      <c r="AA478" t="str">
        <f t="shared" si="103"/>
        <v>Normal/Gering</v>
      </c>
    </row>
    <row r="479" spans="1:27" x14ac:dyDescent="0.35">
      <c r="A479" s="32" t="s">
        <v>16</v>
      </c>
      <c r="B479" s="2" t="str">
        <f>VLOOKUP(A479,Stammdaten!$A$3:$B$7,2,FALSE)</f>
        <v>Filiale Ost</v>
      </c>
      <c r="C479" s="3" t="str" cm="1">
        <f t="array" ref="C479">INDEX(Stammdaten!$A$11:$A$25,INT((ROW()-5)/12)+1 - INT((ROW()-5)/180)*15)</f>
        <v>A010</v>
      </c>
      <c r="D479" s="2" t="str">
        <f>VLOOKUP(C479,Stammdaten!$A$11:$B$25,2,FALSE)</f>
        <v>Schmand 200g</v>
      </c>
      <c r="E479" s="3" t="str">
        <f>VLOOKUP(C479,Stammdaten!$A$11:$C$25,3,FALSE)</f>
        <v>Sahne</v>
      </c>
      <c r="F479" s="19">
        <f>VLOOKUP(C479,Stammdaten!$A$11:$D$25,4,FALSE)</f>
        <v>0.89</v>
      </c>
      <c r="G479" s="4">
        <f t="shared" si="91"/>
        <v>7</v>
      </c>
      <c r="H479" s="20" t="str">
        <f>VLOOKUP(G479,Stammdaten!$A$30:$B$41,2,FALSE)</f>
        <v>Juli</v>
      </c>
      <c r="I479" s="4">
        <v>191</v>
      </c>
      <c r="J479" s="4">
        <v>188</v>
      </c>
      <c r="K479" s="4">
        <f t="shared" si="92"/>
        <v>-3</v>
      </c>
      <c r="L479" s="27">
        <f t="shared" si="93"/>
        <v>-1.5706806282722512</v>
      </c>
      <c r="M479" s="52" t="str">
        <f t="shared" si="94"/>
        <v>Schwund</v>
      </c>
      <c r="N479" s="28">
        <f t="shared" si="95"/>
        <v>2.67</v>
      </c>
      <c r="O479" s="5">
        <v>9</v>
      </c>
      <c r="P479" s="4">
        <v>0</v>
      </c>
      <c r="Q479" s="28">
        <f t="shared" si="96"/>
        <v>0.66749999999999998</v>
      </c>
      <c r="R479" s="50">
        <f t="shared" si="97"/>
        <v>0.80099999999999993</v>
      </c>
      <c r="S479" s="2" t="str">
        <f t="shared" si="98"/>
        <v>Normal</v>
      </c>
      <c r="T479" s="4">
        <v>0</v>
      </c>
      <c r="U479" s="4" t="str">
        <f t="shared" si="99"/>
        <v>Nein</v>
      </c>
      <c r="V479" s="4">
        <f t="shared" si="100"/>
        <v>0</v>
      </c>
      <c r="W479" s="19">
        <f t="shared" si="101"/>
        <v>0.89</v>
      </c>
      <c r="X479" s="5">
        <v>0</v>
      </c>
      <c r="Y479" s="28">
        <f t="shared" si="102"/>
        <v>0</v>
      </c>
      <c r="Z479" s="31" t="s">
        <v>172</v>
      </c>
      <c r="AA479" t="str">
        <f t="shared" si="103"/>
        <v>Normal/Gering</v>
      </c>
    </row>
    <row r="480" spans="1:27" x14ac:dyDescent="0.35">
      <c r="A480" s="32" t="s">
        <v>16</v>
      </c>
      <c r="B480" s="2" t="str">
        <f>VLOOKUP(A480,Stammdaten!$A$3:$B$7,2,FALSE)</f>
        <v>Filiale Ost</v>
      </c>
      <c r="C480" s="3" t="str" cm="1">
        <f t="array" ref="C480">INDEX(Stammdaten!$A$11:$A$25,INT((ROW()-5)/12)+1 - INT((ROW()-5)/180)*15)</f>
        <v>A010</v>
      </c>
      <c r="D480" s="2" t="str">
        <f>VLOOKUP(C480,Stammdaten!$A$11:$B$25,2,FALSE)</f>
        <v>Schmand 200g</v>
      </c>
      <c r="E480" s="3" t="str">
        <f>VLOOKUP(C480,Stammdaten!$A$11:$C$25,3,FALSE)</f>
        <v>Sahne</v>
      </c>
      <c r="F480" s="19">
        <f>VLOOKUP(C480,Stammdaten!$A$11:$D$25,4,FALSE)</f>
        <v>0.89</v>
      </c>
      <c r="G480" s="4">
        <f t="shared" si="91"/>
        <v>8</v>
      </c>
      <c r="H480" s="20" t="str">
        <f>VLOOKUP(G480,Stammdaten!$A$30:$B$41,2,FALSE)</f>
        <v>August</v>
      </c>
      <c r="I480" s="4">
        <v>179</v>
      </c>
      <c r="J480" s="4">
        <v>176</v>
      </c>
      <c r="K480" s="4">
        <f t="shared" si="92"/>
        <v>-3</v>
      </c>
      <c r="L480" s="27">
        <f t="shared" si="93"/>
        <v>-1.6759776536312849</v>
      </c>
      <c r="M480" s="52" t="str">
        <f t="shared" si="94"/>
        <v>Schwund</v>
      </c>
      <c r="N480" s="28">
        <f t="shared" si="95"/>
        <v>2.67</v>
      </c>
      <c r="O480" s="5">
        <v>1</v>
      </c>
      <c r="P480" s="4">
        <v>3</v>
      </c>
      <c r="Q480" s="28">
        <f t="shared" si="96"/>
        <v>0.66749999999999998</v>
      </c>
      <c r="R480" s="50">
        <f t="shared" si="97"/>
        <v>0.80099999999999993</v>
      </c>
      <c r="S480" s="2" t="str">
        <f t="shared" si="98"/>
        <v>Normal</v>
      </c>
      <c r="T480" s="4">
        <v>0</v>
      </c>
      <c r="U480" s="4" t="str">
        <f t="shared" si="99"/>
        <v>Ja - 20% Reduzierung</v>
      </c>
      <c r="V480" s="4">
        <f t="shared" si="100"/>
        <v>20</v>
      </c>
      <c r="W480" s="19">
        <f t="shared" si="101"/>
        <v>0.71</v>
      </c>
      <c r="X480" s="5">
        <v>9</v>
      </c>
      <c r="Y480" s="28">
        <f t="shared" si="102"/>
        <v>1.6</v>
      </c>
      <c r="Z480" s="31" t="s">
        <v>164</v>
      </c>
      <c r="AA480" t="str">
        <f t="shared" si="103"/>
        <v>MHD - Prozessfehler</v>
      </c>
    </row>
    <row r="481" spans="1:27" x14ac:dyDescent="0.35">
      <c r="A481" s="32" t="s">
        <v>16</v>
      </c>
      <c r="B481" s="2" t="str">
        <f>VLOOKUP(A481,Stammdaten!$A$3:$B$7,2,FALSE)</f>
        <v>Filiale Ost</v>
      </c>
      <c r="C481" s="3" t="str" cm="1">
        <f t="array" ref="C481">INDEX(Stammdaten!$A$11:$A$25,INT((ROW()-5)/12)+1 - INT((ROW()-5)/180)*15)</f>
        <v>A010</v>
      </c>
      <c r="D481" s="2" t="str">
        <f>VLOOKUP(C481,Stammdaten!$A$11:$B$25,2,FALSE)</f>
        <v>Schmand 200g</v>
      </c>
      <c r="E481" s="3" t="str">
        <f>VLOOKUP(C481,Stammdaten!$A$11:$C$25,3,FALSE)</f>
        <v>Sahne</v>
      </c>
      <c r="F481" s="19">
        <f>VLOOKUP(C481,Stammdaten!$A$11:$D$25,4,FALSE)</f>
        <v>0.89</v>
      </c>
      <c r="G481" s="4">
        <f t="shared" si="91"/>
        <v>9</v>
      </c>
      <c r="H481" s="20" t="str">
        <f>VLOOKUP(G481,Stammdaten!$A$30:$B$41,2,FALSE)</f>
        <v>September</v>
      </c>
      <c r="I481" s="4">
        <v>154</v>
      </c>
      <c r="J481" s="4">
        <v>152</v>
      </c>
      <c r="K481" s="4">
        <f t="shared" si="92"/>
        <v>-2</v>
      </c>
      <c r="L481" s="27">
        <f t="shared" si="93"/>
        <v>-1.2987012987012987</v>
      </c>
      <c r="M481" s="52" t="str">
        <f t="shared" si="94"/>
        <v>Schwund</v>
      </c>
      <c r="N481" s="28">
        <f t="shared" si="95"/>
        <v>1.78</v>
      </c>
      <c r="O481" s="5">
        <v>3</v>
      </c>
      <c r="P481" s="4">
        <v>1</v>
      </c>
      <c r="Q481" s="28">
        <f t="shared" si="96"/>
        <v>0.44500000000000001</v>
      </c>
      <c r="R481" s="50">
        <f t="shared" si="97"/>
        <v>0.53400000000000003</v>
      </c>
      <c r="S481" s="2" t="str">
        <f t="shared" si="98"/>
        <v>Normal</v>
      </c>
      <c r="T481" s="4">
        <v>0</v>
      </c>
      <c r="U481" s="4" t="str">
        <f t="shared" si="99"/>
        <v>Ja - 20% Reduzierung</v>
      </c>
      <c r="V481" s="4">
        <f t="shared" si="100"/>
        <v>20</v>
      </c>
      <c r="W481" s="19">
        <f t="shared" si="101"/>
        <v>0.71</v>
      </c>
      <c r="X481" s="5">
        <v>15</v>
      </c>
      <c r="Y481" s="28">
        <f t="shared" si="102"/>
        <v>2.67</v>
      </c>
      <c r="Z481" s="31" t="s">
        <v>173</v>
      </c>
      <c r="AA481" t="str">
        <f t="shared" si="103"/>
        <v>Normal/Gering</v>
      </c>
    </row>
    <row r="482" spans="1:27" x14ac:dyDescent="0.35">
      <c r="A482" s="32" t="s">
        <v>16</v>
      </c>
      <c r="B482" s="2" t="str">
        <f>VLOOKUP(A482,Stammdaten!$A$3:$B$7,2,FALSE)</f>
        <v>Filiale Ost</v>
      </c>
      <c r="C482" s="3" t="str" cm="1">
        <f t="array" ref="C482">INDEX(Stammdaten!$A$11:$A$25,INT((ROW()-5)/12)+1 - INT((ROW()-5)/180)*15)</f>
        <v>A010</v>
      </c>
      <c r="D482" s="2" t="str">
        <f>VLOOKUP(C482,Stammdaten!$A$11:$B$25,2,FALSE)</f>
        <v>Schmand 200g</v>
      </c>
      <c r="E482" s="3" t="str">
        <f>VLOOKUP(C482,Stammdaten!$A$11:$C$25,3,FALSE)</f>
        <v>Sahne</v>
      </c>
      <c r="F482" s="19">
        <f>VLOOKUP(C482,Stammdaten!$A$11:$D$25,4,FALSE)</f>
        <v>0.89</v>
      </c>
      <c r="G482" s="4">
        <f t="shared" si="91"/>
        <v>10</v>
      </c>
      <c r="H482" s="20" t="str">
        <f>VLOOKUP(G482,Stammdaten!$A$30:$B$41,2,FALSE)</f>
        <v>Oktober</v>
      </c>
      <c r="I482" s="4">
        <v>162</v>
      </c>
      <c r="J482" s="4">
        <v>159</v>
      </c>
      <c r="K482" s="4">
        <f t="shared" si="92"/>
        <v>-3</v>
      </c>
      <c r="L482" s="27">
        <f t="shared" si="93"/>
        <v>-1.8518518518518516</v>
      </c>
      <c r="M482" s="52" t="str">
        <f t="shared" si="94"/>
        <v>Schwund</v>
      </c>
      <c r="N482" s="28">
        <f t="shared" si="95"/>
        <v>2.67</v>
      </c>
      <c r="O482" s="5">
        <v>11</v>
      </c>
      <c r="P482" s="4">
        <v>5</v>
      </c>
      <c r="Q482" s="28">
        <f t="shared" si="96"/>
        <v>0.66749999999999998</v>
      </c>
      <c r="R482" s="50">
        <f t="shared" si="97"/>
        <v>0.80099999999999993</v>
      </c>
      <c r="S482" s="2" t="str">
        <f t="shared" si="98"/>
        <v>Normal</v>
      </c>
      <c r="T482" s="4">
        <v>0</v>
      </c>
      <c r="U482" s="4" t="str">
        <f t="shared" si="99"/>
        <v>Nein</v>
      </c>
      <c r="V482" s="4">
        <f t="shared" si="100"/>
        <v>0</v>
      </c>
      <c r="W482" s="19">
        <f t="shared" si="101"/>
        <v>0.89</v>
      </c>
      <c r="X482" s="5">
        <v>0</v>
      </c>
      <c r="Y482" s="28">
        <f t="shared" si="102"/>
        <v>0</v>
      </c>
      <c r="Z482" s="31" t="s">
        <v>172</v>
      </c>
      <c r="AA482" t="str">
        <f t="shared" si="103"/>
        <v>Normal/Gering</v>
      </c>
    </row>
    <row r="483" spans="1:27" x14ac:dyDescent="0.35">
      <c r="A483" s="32" t="s">
        <v>16</v>
      </c>
      <c r="B483" s="2" t="str">
        <f>VLOOKUP(A483,Stammdaten!$A$3:$B$7,2,FALSE)</f>
        <v>Filiale Ost</v>
      </c>
      <c r="C483" s="3" t="str" cm="1">
        <f t="array" ref="C483">INDEX(Stammdaten!$A$11:$A$25,INT((ROW()-5)/12)+1 - INT((ROW()-5)/180)*15)</f>
        <v>A010</v>
      </c>
      <c r="D483" s="2" t="str">
        <f>VLOOKUP(C483,Stammdaten!$A$11:$B$25,2,FALSE)</f>
        <v>Schmand 200g</v>
      </c>
      <c r="E483" s="3" t="str">
        <f>VLOOKUP(C483,Stammdaten!$A$11:$C$25,3,FALSE)</f>
        <v>Sahne</v>
      </c>
      <c r="F483" s="19">
        <f>VLOOKUP(C483,Stammdaten!$A$11:$D$25,4,FALSE)</f>
        <v>0.89</v>
      </c>
      <c r="G483" s="4">
        <f t="shared" si="91"/>
        <v>11</v>
      </c>
      <c r="H483" s="20" t="str">
        <f>VLOOKUP(G483,Stammdaten!$A$30:$B$41,2,FALSE)</f>
        <v>November</v>
      </c>
      <c r="I483" s="4">
        <v>176</v>
      </c>
      <c r="J483" s="4">
        <v>173</v>
      </c>
      <c r="K483" s="4">
        <f t="shared" si="92"/>
        <v>-3</v>
      </c>
      <c r="L483" s="27">
        <f t="shared" si="93"/>
        <v>-1.7045454545454544</v>
      </c>
      <c r="M483" s="52" t="str">
        <f t="shared" si="94"/>
        <v>Schwund</v>
      </c>
      <c r="N483" s="28">
        <f t="shared" si="95"/>
        <v>2.67</v>
      </c>
      <c r="O483" s="5">
        <v>2</v>
      </c>
      <c r="P483" s="4">
        <v>1</v>
      </c>
      <c r="Q483" s="28">
        <f t="shared" si="96"/>
        <v>0.66749999999999998</v>
      </c>
      <c r="R483" s="50">
        <f t="shared" si="97"/>
        <v>0.80099999999999993</v>
      </c>
      <c r="S483" s="2" t="str">
        <f t="shared" si="98"/>
        <v>Black Friday</v>
      </c>
      <c r="T483" s="4">
        <v>0</v>
      </c>
      <c r="U483" s="4" t="str">
        <f t="shared" si="99"/>
        <v>Ja - 20% Reduzierung</v>
      </c>
      <c r="V483" s="4">
        <f t="shared" si="100"/>
        <v>20</v>
      </c>
      <c r="W483" s="19">
        <f t="shared" si="101"/>
        <v>0.71</v>
      </c>
      <c r="X483" s="5">
        <v>26</v>
      </c>
      <c r="Y483" s="28">
        <f t="shared" si="102"/>
        <v>4.63</v>
      </c>
      <c r="Z483" s="31" t="s">
        <v>173</v>
      </c>
      <c r="AA483" t="str">
        <f t="shared" si="103"/>
        <v>Normal/Gering</v>
      </c>
    </row>
    <row r="484" spans="1:27" x14ac:dyDescent="0.35">
      <c r="A484" s="32" t="s">
        <v>16</v>
      </c>
      <c r="B484" s="2" t="str">
        <f>VLOOKUP(A484,Stammdaten!$A$3:$B$7,2,FALSE)</f>
        <v>Filiale Ost</v>
      </c>
      <c r="C484" s="3" t="str" cm="1">
        <f t="array" ref="C484">INDEX(Stammdaten!$A$11:$A$25,INT((ROW()-5)/12)+1 - INT((ROW()-5)/180)*15)</f>
        <v>A010</v>
      </c>
      <c r="D484" s="2" t="str">
        <f>VLOOKUP(C484,Stammdaten!$A$11:$B$25,2,FALSE)</f>
        <v>Schmand 200g</v>
      </c>
      <c r="E484" s="3" t="str">
        <f>VLOOKUP(C484,Stammdaten!$A$11:$C$25,3,FALSE)</f>
        <v>Sahne</v>
      </c>
      <c r="F484" s="19">
        <f>VLOOKUP(C484,Stammdaten!$A$11:$D$25,4,FALSE)</f>
        <v>0.89</v>
      </c>
      <c r="G484" s="4">
        <f t="shared" si="91"/>
        <v>12</v>
      </c>
      <c r="H484" s="20" t="str">
        <f>VLOOKUP(G484,Stammdaten!$A$30:$B$41,2,FALSE)</f>
        <v>Dezember</v>
      </c>
      <c r="I484" s="4">
        <v>215</v>
      </c>
      <c r="J484" s="4">
        <v>208</v>
      </c>
      <c r="K484" s="4">
        <f t="shared" si="92"/>
        <v>-7</v>
      </c>
      <c r="L484" s="27">
        <f t="shared" si="93"/>
        <v>-3.2558139534883721</v>
      </c>
      <c r="M484" s="52" t="str">
        <f t="shared" si="94"/>
        <v>Schwund</v>
      </c>
      <c r="N484" s="28">
        <f t="shared" si="95"/>
        <v>6.23</v>
      </c>
      <c r="O484" s="5">
        <v>7</v>
      </c>
      <c r="P484" s="4">
        <v>0</v>
      </c>
      <c r="Q484" s="28">
        <f t="shared" si="96"/>
        <v>1.5575000000000001</v>
      </c>
      <c r="R484" s="50">
        <f t="shared" si="97"/>
        <v>1.869</v>
      </c>
      <c r="S484" s="2" t="str">
        <f t="shared" si="98"/>
        <v>Weihnachten/Silvester</v>
      </c>
      <c r="T484" s="4">
        <v>0</v>
      </c>
      <c r="U484" s="4" t="str">
        <f t="shared" si="99"/>
        <v>Nein</v>
      </c>
      <c r="V484" s="4">
        <f t="shared" si="100"/>
        <v>0</v>
      </c>
      <c r="W484" s="19">
        <f t="shared" si="101"/>
        <v>0.89</v>
      </c>
      <c r="X484" s="5">
        <v>0</v>
      </c>
      <c r="Y484" s="28">
        <f t="shared" si="102"/>
        <v>0</v>
      </c>
      <c r="Z484" s="31" t="s">
        <v>172</v>
      </c>
      <c r="AA484" t="str">
        <f t="shared" si="103"/>
        <v>Buchungsfehler Wareneingang</v>
      </c>
    </row>
    <row r="485" spans="1:27" x14ac:dyDescent="0.35">
      <c r="A485" s="32" t="s">
        <v>16</v>
      </c>
      <c r="B485" s="2" t="str">
        <f>VLOOKUP(A485,Stammdaten!$A$3:$B$7,2,FALSE)</f>
        <v>Filiale Ost</v>
      </c>
      <c r="C485" s="3" t="str" cm="1">
        <f t="array" ref="C485">INDEX(Stammdaten!$A$11:$A$25,INT((ROW()-5)/12)+1 - INT((ROW()-5)/180)*15)</f>
        <v>A011</v>
      </c>
      <c r="D485" s="2" t="str">
        <f>VLOOKUP(C485,Stammdaten!$A$11:$B$25,2,FALSE)</f>
        <v>Mozzarella 125g</v>
      </c>
      <c r="E485" s="3" t="str">
        <f>VLOOKUP(C485,Stammdaten!$A$11:$C$25,3,FALSE)</f>
        <v>Käse</v>
      </c>
      <c r="F485" s="19">
        <f>VLOOKUP(C485,Stammdaten!$A$11:$D$25,4,FALSE)</f>
        <v>1.19</v>
      </c>
      <c r="G485" s="4">
        <f t="shared" si="91"/>
        <v>1</v>
      </c>
      <c r="H485" s="20" t="str">
        <f>VLOOKUP(G485,Stammdaten!$A$30:$B$41,2,FALSE)</f>
        <v>Januar</v>
      </c>
      <c r="I485" s="4">
        <v>253</v>
      </c>
      <c r="J485" s="4">
        <v>248</v>
      </c>
      <c r="K485" s="4">
        <f t="shared" si="92"/>
        <v>-5</v>
      </c>
      <c r="L485" s="27">
        <f t="shared" si="93"/>
        <v>-1.9762845849802373</v>
      </c>
      <c r="M485" s="52" t="str">
        <f t="shared" si="94"/>
        <v>Schwund</v>
      </c>
      <c r="N485" s="28">
        <f t="shared" si="95"/>
        <v>5.9499999999999993</v>
      </c>
      <c r="O485" s="5">
        <v>5</v>
      </c>
      <c r="P485" s="4">
        <v>4</v>
      </c>
      <c r="Q485" s="28">
        <f t="shared" si="96"/>
        <v>1.4874999999999998</v>
      </c>
      <c r="R485" s="50">
        <f t="shared" si="97"/>
        <v>1.7849999999999997</v>
      </c>
      <c r="S485" s="2" t="str">
        <f t="shared" si="98"/>
        <v>Normal</v>
      </c>
      <c r="T485" s="4">
        <v>0</v>
      </c>
      <c r="U485" s="4" t="str">
        <f t="shared" si="99"/>
        <v>Nein</v>
      </c>
      <c r="V485" s="4">
        <f t="shared" si="100"/>
        <v>0</v>
      </c>
      <c r="W485" s="19">
        <f t="shared" si="101"/>
        <v>1.19</v>
      </c>
      <c r="X485" s="5">
        <v>0</v>
      </c>
      <c r="Y485" s="28">
        <f t="shared" si="102"/>
        <v>0</v>
      </c>
      <c r="Z485" s="31" t="s">
        <v>172</v>
      </c>
      <c r="AA485" t="str">
        <f t="shared" si="103"/>
        <v>Normal/Gering</v>
      </c>
    </row>
    <row r="486" spans="1:27" x14ac:dyDescent="0.35">
      <c r="A486" s="32" t="s">
        <v>16</v>
      </c>
      <c r="B486" s="2" t="str">
        <f>VLOOKUP(A486,Stammdaten!$A$3:$B$7,2,FALSE)</f>
        <v>Filiale Ost</v>
      </c>
      <c r="C486" s="3" t="str" cm="1">
        <f t="array" ref="C486">INDEX(Stammdaten!$A$11:$A$25,INT((ROW()-5)/12)+1 - INT((ROW()-5)/180)*15)</f>
        <v>A011</v>
      </c>
      <c r="D486" s="2" t="str">
        <f>VLOOKUP(C486,Stammdaten!$A$11:$B$25,2,FALSE)</f>
        <v>Mozzarella 125g</v>
      </c>
      <c r="E486" s="3" t="str">
        <f>VLOOKUP(C486,Stammdaten!$A$11:$C$25,3,FALSE)</f>
        <v>Käse</v>
      </c>
      <c r="F486" s="19">
        <f>VLOOKUP(C486,Stammdaten!$A$11:$D$25,4,FALSE)</f>
        <v>1.19</v>
      </c>
      <c r="G486" s="4">
        <f t="shared" si="91"/>
        <v>2</v>
      </c>
      <c r="H486" s="20" t="str">
        <f>VLOOKUP(G486,Stammdaten!$A$30:$B$41,2,FALSE)</f>
        <v>Februar</v>
      </c>
      <c r="I486" s="4">
        <v>241</v>
      </c>
      <c r="J486" s="4">
        <v>245</v>
      </c>
      <c r="K486" s="4">
        <f t="shared" si="92"/>
        <v>4</v>
      </c>
      <c r="L486" s="27">
        <f t="shared" si="93"/>
        <v>1.6597510373443984</v>
      </c>
      <c r="M486" s="52" t="str">
        <f t="shared" si="94"/>
        <v>Überbestand</v>
      </c>
      <c r="N486" s="28">
        <f t="shared" si="95"/>
        <v>4.76</v>
      </c>
      <c r="O486" s="5">
        <v>5</v>
      </c>
      <c r="P486" s="4">
        <v>2</v>
      </c>
      <c r="Q486" s="28">
        <f t="shared" si="96"/>
        <v>0</v>
      </c>
      <c r="R486" s="50">
        <f t="shared" si="97"/>
        <v>0</v>
      </c>
      <c r="S486" s="2" t="str">
        <f t="shared" si="98"/>
        <v>Karneval</v>
      </c>
      <c r="T486" s="4">
        <v>4</v>
      </c>
      <c r="U486" s="4" t="str">
        <f t="shared" si="99"/>
        <v>Nein</v>
      </c>
      <c r="V486" s="4">
        <f t="shared" si="100"/>
        <v>0</v>
      </c>
      <c r="W486" s="19">
        <f t="shared" si="101"/>
        <v>1.19</v>
      </c>
      <c r="X486" s="5">
        <v>0</v>
      </c>
      <c r="Y486" s="28">
        <f t="shared" si="102"/>
        <v>0</v>
      </c>
      <c r="Z486" s="31" t="s">
        <v>172</v>
      </c>
      <c r="AA486" t="str">
        <f t="shared" si="103"/>
        <v>Kassenfehler (Überbestand)</v>
      </c>
    </row>
    <row r="487" spans="1:27" x14ac:dyDescent="0.35">
      <c r="A487" s="32" t="s">
        <v>16</v>
      </c>
      <c r="B487" s="2" t="str">
        <f>VLOOKUP(A487,Stammdaten!$A$3:$B$7,2,FALSE)</f>
        <v>Filiale Ost</v>
      </c>
      <c r="C487" s="3" t="str" cm="1">
        <f t="array" ref="C487">INDEX(Stammdaten!$A$11:$A$25,INT((ROW()-5)/12)+1 - INT((ROW()-5)/180)*15)</f>
        <v>A011</v>
      </c>
      <c r="D487" s="2" t="str">
        <f>VLOOKUP(C487,Stammdaten!$A$11:$B$25,2,FALSE)</f>
        <v>Mozzarella 125g</v>
      </c>
      <c r="E487" s="3" t="str">
        <f>VLOOKUP(C487,Stammdaten!$A$11:$C$25,3,FALSE)</f>
        <v>Käse</v>
      </c>
      <c r="F487" s="19">
        <f>VLOOKUP(C487,Stammdaten!$A$11:$D$25,4,FALSE)</f>
        <v>1.19</v>
      </c>
      <c r="G487" s="4">
        <f t="shared" si="91"/>
        <v>3</v>
      </c>
      <c r="H487" s="20" t="str">
        <f>VLOOKUP(G487,Stammdaten!$A$30:$B$41,2,FALSE)</f>
        <v>März</v>
      </c>
      <c r="I487" s="4">
        <v>292</v>
      </c>
      <c r="J487" s="4">
        <v>296</v>
      </c>
      <c r="K487" s="4">
        <f t="shared" si="92"/>
        <v>4</v>
      </c>
      <c r="L487" s="27">
        <f t="shared" si="93"/>
        <v>1.3698630136986301</v>
      </c>
      <c r="M487" s="52" t="str">
        <f t="shared" si="94"/>
        <v>Überbestand</v>
      </c>
      <c r="N487" s="28">
        <f t="shared" si="95"/>
        <v>4.76</v>
      </c>
      <c r="O487" s="5">
        <v>3</v>
      </c>
      <c r="P487" s="4">
        <v>3</v>
      </c>
      <c r="Q487" s="28">
        <f t="shared" si="96"/>
        <v>0</v>
      </c>
      <c r="R487" s="50">
        <f t="shared" si="97"/>
        <v>0</v>
      </c>
      <c r="S487" s="2" t="str">
        <f t="shared" si="98"/>
        <v>Normal</v>
      </c>
      <c r="T487" s="4">
        <v>4</v>
      </c>
      <c r="U487" s="4" t="str">
        <f t="shared" si="99"/>
        <v>Ja - 20% Reduzierung</v>
      </c>
      <c r="V487" s="4">
        <f t="shared" si="100"/>
        <v>20</v>
      </c>
      <c r="W487" s="19">
        <f t="shared" si="101"/>
        <v>0.95</v>
      </c>
      <c r="X487" s="5">
        <v>20</v>
      </c>
      <c r="Y487" s="28">
        <f t="shared" si="102"/>
        <v>4.76</v>
      </c>
      <c r="Z487" s="31" t="s">
        <v>173</v>
      </c>
      <c r="AA487" t="str">
        <f t="shared" si="103"/>
        <v>Kassenfehler (Überbestand)</v>
      </c>
    </row>
    <row r="488" spans="1:27" x14ac:dyDescent="0.35">
      <c r="A488" s="32" t="s">
        <v>16</v>
      </c>
      <c r="B488" s="2" t="str">
        <f>VLOOKUP(A488,Stammdaten!$A$3:$B$7,2,FALSE)</f>
        <v>Filiale Ost</v>
      </c>
      <c r="C488" s="3" t="str" cm="1">
        <f t="array" ref="C488">INDEX(Stammdaten!$A$11:$A$25,INT((ROW()-5)/12)+1 - INT((ROW()-5)/180)*15)</f>
        <v>A011</v>
      </c>
      <c r="D488" s="2" t="str">
        <f>VLOOKUP(C488,Stammdaten!$A$11:$B$25,2,FALSE)</f>
        <v>Mozzarella 125g</v>
      </c>
      <c r="E488" s="3" t="str">
        <f>VLOOKUP(C488,Stammdaten!$A$11:$C$25,3,FALSE)</f>
        <v>Käse</v>
      </c>
      <c r="F488" s="19">
        <f>VLOOKUP(C488,Stammdaten!$A$11:$D$25,4,FALSE)</f>
        <v>1.19</v>
      </c>
      <c r="G488" s="4">
        <f t="shared" si="91"/>
        <v>4</v>
      </c>
      <c r="H488" s="20" t="str">
        <f>VLOOKUP(G488,Stammdaten!$A$30:$B$41,2,FALSE)</f>
        <v>April</v>
      </c>
      <c r="I488" s="4">
        <v>344</v>
      </c>
      <c r="J488" s="4">
        <v>334</v>
      </c>
      <c r="K488" s="4">
        <f t="shared" si="92"/>
        <v>-10</v>
      </c>
      <c r="L488" s="27">
        <f t="shared" si="93"/>
        <v>-2.9069767441860463</v>
      </c>
      <c r="M488" s="52" t="str">
        <f t="shared" si="94"/>
        <v>Schwund</v>
      </c>
      <c r="N488" s="28">
        <f t="shared" si="95"/>
        <v>11.899999999999999</v>
      </c>
      <c r="O488" s="5">
        <v>2</v>
      </c>
      <c r="P488" s="4">
        <v>2</v>
      </c>
      <c r="Q488" s="28">
        <f t="shared" si="96"/>
        <v>2.9749999999999996</v>
      </c>
      <c r="R488" s="50">
        <f t="shared" si="97"/>
        <v>3.5699999999999994</v>
      </c>
      <c r="S488" s="2" t="str">
        <f t="shared" si="98"/>
        <v>Ostern</v>
      </c>
      <c r="T488" s="4">
        <v>0</v>
      </c>
      <c r="U488" s="4" t="str">
        <f t="shared" si="99"/>
        <v>Ja - 20% Reduzierung</v>
      </c>
      <c r="V488" s="4">
        <f t="shared" si="100"/>
        <v>20</v>
      </c>
      <c r="W488" s="19">
        <f t="shared" si="101"/>
        <v>0.95</v>
      </c>
      <c r="X488" s="5">
        <v>41</v>
      </c>
      <c r="Y488" s="28">
        <f t="shared" si="102"/>
        <v>9.76</v>
      </c>
      <c r="Z488" s="31" t="s">
        <v>167</v>
      </c>
      <c r="AA488" t="str">
        <f t="shared" si="103"/>
        <v>MHD - Prozessfehler</v>
      </c>
    </row>
    <row r="489" spans="1:27" x14ac:dyDescent="0.35">
      <c r="A489" s="32" t="s">
        <v>16</v>
      </c>
      <c r="B489" s="2" t="str">
        <f>VLOOKUP(A489,Stammdaten!$A$3:$B$7,2,FALSE)</f>
        <v>Filiale Ost</v>
      </c>
      <c r="C489" s="3" t="str" cm="1">
        <f t="array" ref="C489">INDEX(Stammdaten!$A$11:$A$25,INT((ROW()-5)/12)+1 - INT((ROW()-5)/180)*15)</f>
        <v>A011</v>
      </c>
      <c r="D489" s="2" t="str">
        <f>VLOOKUP(C489,Stammdaten!$A$11:$B$25,2,FALSE)</f>
        <v>Mozzarella 125g</v>
      </c>
      <c r="E489" s="3" t="str">
        <f>VLOOKUP(C489,Stammdaten!$A$11:$C$25,3,FALSE)</f>
        <v>Käse</v>
      </c>
      <c r="F489" s="19">
        <f>VLOOKUP(C489,Stammdaten!$A$11:$D$25,4,FALSE)</f>
        <v>1.19</v>
      </c>
      <c r="G489" s="4">
        <f t="shared" si="91"/>
        <v>5</v>
      </c>
      <c r="H489" s="20" t="str">
        <f>VLOOKUP(G489,Stammdaten!$A$30:$B$41,2,FALSE)</f>
        <v>Mai</v>
      </c>
      <c r="I489" s="4">
        <v>262</v>
      </c>
      <c r="J489" s="4">
        <v>252</v>
      </c>
      <c r="K489" s="4">
        <f t="shared" si="92"/>
        <v>-10</v>
      </c>
      <c r="L489" s="27">
        <f t="shared" si="93"/>
        <v>-3.8167938931297711</v>
      </c>
      <c r="M489" s="52" t="str">
        <f t="shared" si="94"/>
        <v>Schwund</v>
      </c>
      <c r="N489" s="28">
        <f t="shared" si="95"/>
        <v>11.899999999999999</v>
      </c>
      <c r="O489" s="5">
        <v>7</v>
      </c>
      <c r="P489" s="4">
        <v>3</v>
      </c>
      <c r="Q489" s="28">
        <f t="shared" si="96"/>
        <v>2.9749999999999996</v>
      </c>
      <c r="R489" s="50">
        <f t="shared" si="97"/>
        <v>3.5699999999999994</v>
      </c>
      <c r="S489" s="2" t="str">
        <f t="shared" si="98"/>
        <v>Normal</v>
      </c>
      <c r="T489" s="4">
        <v>0</v>
      </c>
      <c r="U489" s="4" t="str">
        <f t="shared" si="99"/>
        <v>Nein</v>
      </c>
      <c r="V489" s="4">
        <f t="shared" si="100"/>
        <v>0</v>
      </c>
      <c r="W489" s="19">
        <f t="shared" si="101"/>
        <v>1.19</v>
      </c>
      <c r="X489" s="5">
        <v>0</v>
      </c>
      <c r="Y489" s="28">
        <f t="shared" si="102"/>
        <v>0</v>
      </c>
      <c r="Z489" s="31" t="s">
        <v>172</v>
      </c>
      <c r="AA489" t="str">
        <f t="shared" si="103"/>
        <v>Prozessfehler</v>
      </c>
    </row>
    <row r="490" spans="1:27" x14ac:dyDescent="0.35">
      <c r="A490" s="32" t="s">
        <v>16</v>
      </c>
      <c r="B490" s="2" t="str">
        <f>VLOOKUP(A490,Stammdaten!$A$3:$B$7,2,FALSE)</f>
        <v>Filiale Ost</v>
      </c>
      <c r="C490" s="3" t="str" cm="1">
        <f t="array" ref="C490">INDEX(Stammdaten!$A$11:$A$25,INT((ROW()-5)/12)+1 - INT((ROW()-5)/180)*15)</f>
        <v>A011</v>
      </c>
      <c r="D490" s="2" t="str">
        <f>VLOOKUP(C490,Stammdaten!$A$11:$B$25,2,FALSE)</f>
        <v>Mozzarella 125g</v>
      </c>
      <c r="E490" s="3" t="str">
        <f>VLOOKUP(C490,Stammdaten!$A$11:$C$25,3,FALSE)</f>
        <v>Käse</v>
      </c>
      <c r="F490" s="19">
        <f>VLOOKUP(C490,Stammdaten!$A$11:$D$25,4,FALSE)</f>
        <v>1.19</v>
      </c>
      <c r="G490" s="4">
        <f t="shared" si="91"/>
        <v>6</v>
      </c>
      <c r="H490" s="20" t="str">
        <f>VLOOKUP(G490,Stammdaten!$A$30:$B$41,2,FALSE)</f>
        <v>Juni</v>
      </c>
      <c r="I490" s="4">
        <v>285</v>
      </c>
      <c r="J490" s="4">
        <v>278</v>
      </c>
      <c r="K490" s="4">
        <f t="shared" si="92"/>
        <v>-7</v>
      </c>
      <c r="L490" s="27">
        <f t="shared" si="93"/>
        <v>-2.4561403508771931</v>
      </c>
      <c r="M490" s="52" t="str">
        <f t="shared" si="94"/>
        <v>Schwund</v>
      </c>
      <c r="N490" s="28">
        <f t="shared" si="95"/>
        <v>8.33</v>
      </c>
      <c r="O490" s="5">
        <v>8</v>
      </c>
      <c r="P490" s="4">
        <v>2</v>
      </c>
      <c r="Q490" s="28">
        <f t="shared" si="96"/>
        <v>2.0825</v>
      </c>
      <c r="R490" s="50">
        <f t="shared" si="97"/>
        <v>2.4990000000000001</v>
      </c>
      <c r="S490" s="2" t="str">
        <f t="shared" si="98"/>
        <v>Normal</v>
      </c>
      <c r="T490" s="4">
        <v>0</v>
      </c>
      <c r="U490" s="4" t="str">
        <f t="shared" si="99"/>
        <v>Nein</v>
      </c>
      <c r="V490" s="4">
        <f t="shared" si="100"/>
        <v>0</v>
      </c>
      <c r="W490" s="19">
        <f t="shared" si="101"/>
        <v>1.19</v>
      </c>
      <c r="X490" s="5">
        <v>0</v>
      </c>
      <c r="Y490" s="28">
        <f t="shared" si="102"/>
        <v>0</v>
      </c>
      <c r="Z490" s="31" t="s">
        <v>172</v>
      </c>
      <c r="AA490" t="str">
        <f t="shared" si="103"/>
        <v>Prozessfehler</v>
      </c>
    </row>
    <row r="491" spans="1:27" x14ac:dyDescent="0.35">
      <c r="A491" s="32" t="s">
        <v>16</v>
      </c>
      <c r="B491" s="2" t="str">
        <f>VLOOKUP(A491,Stammdaten!$A$3:$B$7,2,FALSE)</f>
        <v>Filiale Ost</v>
      </c>
      <c r="C491" s="3" t="str" cm="1">
        <f t="array" ref="C491">INDEX(Stammdaten!$A$11:$A$25,INT((ROW()-5)/12)+1 - INT((ROW()-5)/180)*15)</f>
        <v>A011</v>
      </c>
      <c r="D491" s="2" t="str">
        <f>VLOOKUP(C491,Stammdaten!$A$11:$B$25,2,FALSE)</f>
        <v>Mozzarella 125g</v>
      </c>
      <c r="E491" s="3" t="str">
        <f>VLOOKUP(C491,Stammdaten!$A$11:$C$25,3,FALSE)</f>
        <v>Käse</v>
      </c>
      <c r="F491" s="19">
        <f>VLOOKUP(C491,Stammdaten!$A$11:$D$25,4,FALSE)</f>
        <v>1.19</v>
      </c>
      <c r="G491" s="4">
        <f t="shared" si="91"/>
        <v>7</v>
      </c>
      <c r="H491" s="20" t="str">
        <f>VLOOKUP(G491,Stammdaten!$A$30:$B$41,2,FALSE)</f>
        <v>Juli</v>
      </c>
      <c r="I491" s="4">
        <v>324</v>
      </c>
      <c r="J491" s="4">
        <v>307</v>
      </c>
      <c r="K491" s="4">
        <f t="shared" si="92"/>
        <v>-17</v>
      </c>
      <c r="L491" s="27">
        <f t="shared" si="93"/>
        <v>-5.2469135802469129</v>
      </c>
      <c r="M491" s="52" t="str">
        <f t="shared" si="94"/>
        <v>Schwund</v>
      </c>
      <c r="N491" s="28">
        <f t="shared" si="95"/>
        <v>20.23</v>
      </c>
      <c r="O491" s="5">
        <v>2</v>
      </c>
      <c r="P491" s="4">
        <v>3</v>
      </c>
      <c r="Q491" s="28">
        <f t="shared" si="96"/>
        <v>5.0575000000000001</v>
      </c>
      <c r="R491" s="50">
        <f t="shared" si="97"/>
        <v>6.069</v>
      </c>
      <c r="S491" s="2" t="str">
        <f t="shared" si="98"/>
        <v>Normal</v>
      </c>
      <c r="T491" s="4">
        <v>0</v>
      </c>
      <c r="U491" s="4" t="str">
        <f t="shared" si="99"/>
        <v>Ja - 20% Reduzierung</v>
      </c>
      <c r="V491" s="4">
        <f t="shared" si="100"/>
        <v>20</v>
      </c>
      <c r="W491" s="19">
        <f t="shared" si="101"/>
        <v>0.95</v>
      </c>
      <c r="X491" s="5">
        <v>45</v>
      </c>
      <c r="Y491" s="28">
        <f t="shared" si="102"/>
        <v>10.71</v>
      </c>
      <c r="Z491" s="31" t="s">
        <v>173</v>
      </c>
      <c r="AA491" t="str">
        <f t="shared" si="103"/>
        <v>Prozessfehler</v>
      </c>
    </row>
    <row r="492" spans="1:27" x14ac:dyDescent="0.35">
      <c r="A492" s="32" t="s">
        <v>16</v>
      </c>
      <c r="B492" s="2" t="str">
        <f>VLOOKUP(A492,Stammdaten!$A$3:$B$7,2,FALSE)</f>
        <v>Filiale Ost</v>
      </c>
      <c r="C492" s="3" t="str" cm="1">
        <f t="array" ref="C492">INDEX(Stammdaten!$A$11:$A$25,INT((ROW()-5)/12)+1 - INT((ROW()-5)/180)*15)</f>
        <v>A011</v>
      </c>
      <c r="D492" s="2" t="str">
        <f>VLOOKUP(C492,Stammdaten!$A$11:$B$25,2,FALSE)</f>
        <v>Mozzarella 125g</v>
      </c>
      <c r="E492" s="3" t="str">
        <f>VLOOKUP(C492,Stammdaten!$A$11:$C$25,3,FALSE)</f>
        <v>Käse</v>
      </c>
      <c r="F492" s="19">
        <f>VLOOKUP(C492,Stammdaten!$A$11:$D$25,4,FALSE)</f>
        <v>1.19</v>
      </c>
      <c r="G492" s="4">
        <f t="shared" si="91"/>
        <v>8</v>
      </c>
      <c r="H492" s="20" t="str">
        <f>VLOOKUP(G492,Stammdaten!$A$30:$B$41,2,FALSE)</f>
        <v>August</v>
      </c>
      <c r="I492" s="4">
        <v>326</v>
      </c>
      <c r="J492" s="4">
        <v>326</v>
      </c>
      <c r="K492" s="4">
        <f t="shared" si="92"/>
        <v>0</v>
      </c>
      <c r="L492" s="27">
        <f t="shared" si="93"/>
        <v>0</v>
      </c>
      <c r="M492" s="52" t="str">
        <f t="shared" si="94"/>
        <v>Perfekt</v>
      </c>
      <c r="N492" s="28">
        <f t="shared" si="95"/>
        <v>0</v>
      </c>
      <c r="O492" s="5">
        <v>8</v>
      </c>
      <c r="P492" s="4">
        <v>1</v>
      </c>
      <c r="Q492" s="28">
        <f t="shared" si="96"/>
        <v>0</v>
      </c>
      <c r="R492" s="50">
        <f t="shared" si="97"/>
        <v>0</v>
      </c>
      <c r="S492" s="2" t="str">
        <f t="shared" si="98"/>
        <v>Normal</v>
      </c>
      <c r="T492" s="4">
        <v>0</v>
      </c>
      <c r="U492" s="4" t="str">
        <f t="shared" si="99"/>
        <v>Nein</v>
      </c>
      <c r="V492" s="4">
        <f t="shared" si="100"/>
        <v>0</v>
      </c>
      <c r="W492" s="19">
        <f t="shared" si="101"/>
        <v>1.19</v>
      </c>
      <c r="X492" s="5">
        <v>0</v>
      </c>
      <c r="Y492" s="28">
        <f t="shared" si="102"/>
        <v>0</v>
      </c>
      <c r="Z492" s="31" t="s">
        <v>172</v>
      </c>
      <c r="AA492" t="str">
        <f t="shared" si="103"/>
        <v>Normal/Gering</v>
      </c>
    </row>
    <row r="493" spans="1:27" x14ac:dyDescent="0.35">
      <c r="A493" s="32" t="s">
        <v>16</v>
      </c>
      <c r="B493" s="2" t="str">
        <f>VLOOKUP(A493,Stammdaten!$A$3:$B$7,2,FALSE)</f>
        <v>Filiale Ost</v>
      </c>
      <c r="C493" s="3" t="str" cm="1">
        <f t="array" ref="C493">INDEX(Stammdaten!$A$11:$A$25,INT((ROW()-5)/12)+1 - INT((ROW()-5)/180)*15)</f>
        <v>A011</v>
      </c>
      <c r="D493" s="2" t="str">
        <f>VLOOKUP(C493,Stammdaten!$A$11:$B$25,2,FALSE)</f>
        <v>Mozzarella 125g</v>
      </c>
      <c r="E493" s="3" t="str">
        <f>VLOOKUP(C493,Stammdaten!$A$11:$C$25,3,FALSE)</f>
        <v>Käse</v>
      </c>
      <c r="F493" s="19">
        <f>VLOOKUP(C493,Stammdaten!$A$11:$D$25,4,FALSE)</f>
        <v>1.19</v>
      </c>
      <c r="G493" s="4">
        <f t="shared" si="91"/>
        <v>9</v>
      </c>
      <c r="H493" s="20" t="str">
        <f>VLOOKUP(G493,Stammdaten!$A$30:$B$41,2,FALSE)</f>
        <v>September</v>
      </c>
      <c r="I493" s="4">
        <v>259</v>
      </c>
      <c r="J493" s="4">
        <v>248</v>
      </c>
      <c r="K493" s="4">
        <f t="shared" si="92"/>
        <v>-11</v>
      </c>
      <c r="L493" s="27">
        <f t="shared" si="93"/>
        <v>-4.2471042471042466</v>
      </c>
      <c r="M493" s="52" t="str">
        <f t="shared" si="94"/>
        <v>Schwund</v>
      </c>
      <c r="N493" s="28">
        <f t="shared" si="95"/>
        <v>13.09</v>
      </c>
      <c r="O493" s="5">
        <v>6</v>
      </c>
      <c r="P493" s="4">
        <v>0</v>
      </c>
      <c r="Q493" s="28">
        <f t="shared" si="96"/>
        <v>3.2725</v>
      </c>
      <c r="R493" s="50">
        <f t="shared" si="97"/>
        <v>3.9269999999999996</v>
      </c>
      <c r="S493" s="2" t="str">
        <f t="shared" si="98"/>
        <v>Normal</v>
      </c>
      <c r="T493" s="4">
        <v>0</v>
      </c>
      <c r="U493" s="4" t="str">
        <f t="shared" si="99"/>
        <v>Nein</v>
      </c>
      <c r="V493" s="4">
        <f t="shared" si="100"/>
        <v>0</v>
      </c>
      <c r="W493" s="19">
        <f t="shared" si="101"/>
        <v>1.19</v>
      </c>
      <c r="X493" s="5">
        <v>0</v>
      </c>
      <c r="Y493" s="28">
        <f t="shared" si="102"/>
        <v>0</v>
      </c>
      <c r="Z493" s="31" t="s">
        <v>172</v>
      </c>
      <c r="AA493" t="str">
        <f t="shared" si="103"/>
        <v>Buchungsfehler Wareneingang</v>
      </c>
    </row>
    <row r="494" spans="1:27" x14ac:dyDescent="0.35">
      <c r="A494" s="32" t="s">
        <v>16</v>
      </c>
      <c r="B494" s="2" t="str">
        <f>VLOOKUP(A494,Stammdaten!$A$3:$B$7,2,FALSE)</f>
        <v>Filiale Ost</v>
      </c>
      <c r="C494" s="3" t="str" cm="1">
        <f t="array" ref="C494">INDEX(Stammdaten!$A$11:$A$25,INT((ROW()-5)/12)+1 - INT((ROW()-5)/180)*15)</f>
        <v>A011</v>
      </c>
      <c r="D494" s="2" t="str">
        <f>VLOOKUP(C494,Stammdaten!$A$11:$B$25,2,FALSE)</f>
        <v>Mozzarella 125g</v>
      </c>
      <c r="E494" s="3" t="str">
        <f>VLOOKUP(C494,Stammdaten!$A$11:$C$25,3,FALSE)</f>
        <v>Käse</v>
      </c>
      <c r="F494" s="19">
        <f>VLOOKUP(C494,Stammdaten!$A$11:$D$25,4,FALSE)</f>
        <v>1.19</v>
      </c>
      <c r="G494" s="4">
        <f t="shared" si="91"/>
        <v>10</v>
      </c>
      <c r="H494" s="20" t="str">
        <f>VLOOKUP(G494,Stammdaten!$A$30:$B$41,2,FALSE)</f>
        <v>Oktober</v>
      </c>
      <c r="I494" s="4">
        <v>273</v>
      </c>
      <c r="J494" s="4">
        <v>277</v>
      </c>
      <c r="K494" s="4">
        <f t="shared" si="92"/>
        <v>4</v>
      </c>
      <c r="L494" s="27">
        <f t="shared" si="93"/>
        <v>1.4652014652014651</v>
      </c>
      <c r="M494" s="52" t="str">
        <f t="shared" si="94"/>
        <v>Überbestand</v>
      </c>
      <c r="N494" s="28">
        <f t="shared" si="95"/>
        <v>4.76</v>
      </c>
      <c r="O494" s="5">
        <v>8</v>
      </c>
      <c r="P494" s="4">
        <v>1</v>
      </c>
      <c r="Q494" s="28">
        <f t="shared" si="96"/>
        <v>0</v>
      </c>
      <c r="R494" s="50">
        <f t="shared" si="97"/>
        <v>0</v>
      </c>
      <c r="S494" s="2" t="str">
        <f t="shared" si="98"/>
        <v>Normal</v>
      </c>
      <c r="T494" s="4">
        <v>4</v>
      </c>
      <c r="U494" s="4" t="str">
        <f t="shared" si="99"/>
        <v>Nein</v>
      </c>
      <c r="V494" s="4">
        <f t="shared" si="100"/>
        <v>0</v>
      </c>
      <c r="W494" s="19">
        <f t="shared" si="101"/>
        <v>1.19</v>
      </c>
      <c r="X494" s="5">
        <v>0</v>
      </c>
      <c r="Y494" s="28">
        <f t="shared" si="102"/>
        <v>0</v>
      </c>
      <c r="Z494" s="31" t="s">
        <v>172</v>
      </c>
      <c r="AA494" t="str">
        <f t="shared" si="103"/>
        <v>Kassenfehler (Überbestand)</v>
      </c>
    </row>
    <row r="495" spans="1:27" x14ac:dyDescent="0.35">
      <c r="A495" s="32" t="s">
        <v>16</v>
      </c>
      <c r="B495" s="2" t="str">
        <f>VLOOKUP(A495,Stammdaten!$A$3:$B$7,2,FALSE)</f>
        <v>Filiale Ost</v>
      </c>
      <c r="C495" s="3" t="str" cm="1">
        <f t="array" ref="C495">INDEX(Stammdaten!$A$11:$A$25,INT((ROW()-5)/12)+1 - INT((ROW()-5)/180)*15)</f>
        <v>A011</v>
      </c>
      <c r="D495" s="2" t="str">
        <f>VLOOKUP(C495,Stammdaten!$A$11:$B$25,2,FALSE)</f>
        <v>Mozzarella 125g</v>
      </c>
      <c r="E495" s="3" t="str">
        <f>VLOOKUP(C495,Stammdaten!$A$11:$C$25,3,FALSE)</f>
        <v>Käse</v>
      </c>
      <c r="F495" s="19">
        <f>VLOOKUP(C495,Stammdaten!$A$11:$D$25,4,FALSE)</f>
        <v>1.19</v>
      </c>
      <c r="G495" s="4">
        <f t="shared" si="91"/>
        <v>11</v>
      </c>
      <c r="H495" s="20" t="str">
        <f>VLOOKUP(G495,Stammdaten!$A$30:$B$41,2,FALSE)</f>
        <v>November</v>
      </c>
      <c r="I495" s="4">
        <v>300</v>
      </c>
      <c r="J495" s="4">
        <v>290</v>
      </c>
      <c r="K495" s="4">
        <f t="shared" si="92"/>
        <v>-10</v>
      </c>
      <c r="L495" s="27">
        <f t="shared" si="93"/>
        <v>-3.3333333333333335</v>
      </c>
      <c r="M495" s="52" t="str">
        <f t="shared" si="94"/>
        <v>Schwund</v>
      </c>
      <c r="N495" s="28">
        <f t="shared" si="95"/>
        <v>11.899999999999999</v>
      </c>
      <c r="O495" s="5">
        <v>9</v>
      </c>
      <c r="P495" s="4">
        <v>2</v>
      </c>
      <c r="Q495" s="28">
        <f t="shared" si="96"/>
        <v>2.9749999999999996</v>
      </c>
      <c r="R495" s="50">
        <f t="shared" si="97"/>
        <v>3.5699999999999994</v>
      </c>
      <c r="S495" s="2" t="str">
        <f t="shared" si="98"/>
        <v>Black Friday</v>
      </c>
      <c r="T495" s="4">
        <v>0</v>
      </c>
      <c r="U495" s="4" t="str">
        <f t="shared" si="99"/>
        <v>Nein</v>
      </c>
      <c r="V495" s="4">
        <f t="shared" si="100"/>
        <v>0</v>
      </c>
      <c r="W495" s="19">
        <f t="shared" si="101"/>
        <v>1.19</v>
      </c>
      <c r="X495" s="5">
        <v>0</v>
      </c>
      <c r="Y495" s="28">
        <f t="shared" si="102"/>
        <v>0</v>
      </c>
      <c r="Z495" s="31" t="s">
        <v>172</v>
      </c>
      <c r="AA495" t="str">
        <f t="shared" si="103"/>
        <v>Prozessfehler</v>
      </c>
    </row>
    <row r="496" spans="1:27" x14ac:dyDescent="0.35">
      <c r="A496" s="32" t="s">
        <v>16</v>
      </c>
      <c r="B496" s="2" t="str">
        <f>VLOOKUP(A496,Stammdaten!$A$3:$B$7,2,FALSE)</f>
        <v>Filiale Ost</v>
      </c>
      <c r="C496" s="3" t="str" cm="1">
        <f t="array" ref="C496">INDEX(Stammdaten!$A$11:$A$25,INT((ROW()-5)/12)+1 - INT((ROW()-5)/180)*15)</f>
        <v>A011</v>
      </c>
      <c r="D496" s="2" t="str">
        <f>VLOOKUP(C496,Stammdaten!$A$11:$B$25,2,FALSE)</f>
        <v>Mozzarella 125g</v>
      </c>
      <c r="E496" s="3" t="str">
        <f>VLOOKUP(C496,Stammdaten!$A$11:$C$25,3,FALSE)</f>
        <v>Käse</v>
      </c>
      <c r="F496" s="19">
        <f>VLOOKUP(C496,Stammdaten!$A$11:$D$25,4,FALSE)</f>
        <v>1.19</v>
      </c>
      <c r="G496" s="4">
        <f t="shared" si="91"/>
        <v>12</v>
      </c>
      <c r="H496" s="20" t="str">
        <f>VLOOKUP(G496,Stammdaten!$A$30:$B$41,2,FALSE)</f>
        <v>Dezember</v>
      </c>
      <c r="I496" s="4">
        <v>367</v>
      </c>
      <c r="J496" s="4">
        <v>374</v>
      </c>
      <c r="K496" s="4">
        <f t="shared" si="92"/>
        <v>7</v>
      </c>
      <c r="L496" s="27">
        <f t="shared" si="93"/>
        <v>1.9073569482288828</v>
      </c>
      <c r="M496" s="52" t="str">
        <f t="shared" si="94"/>
        <v>Überbestand</v>
      </c>
      <c r="N496" s="28">
        <f t="shared" si="95"/>
        <v>8.33</v>
      </c>
      <c r="O496" s="5">
        <v>3</v>
      </c>
      <c r="P496" s="4">
        <v>2</v>
      </c>
      <c r="Q496" s="28">
        <f t="shared" si="96"/>
        <v>0</v>
      </c>
      <c r="R496" s="50">
        <f t="shared" si="97"/>
        <v>0</v>
      </c>
      <c r="S496" s="2" t="str">
        <f t="shared" si="98"/>
        <v>Weihnachten/Silvester</v>
      </c>
      <c r="T496" s="4">
        <v>7</v>
      </c>
      <c r="U496" s="4" t="str">
        <f t="shared" si="99"/>
        <v>Ja - 20% Reduzierung</v>
      </c>
      <c r="V496" s="4">
        <f t="shared" si="100"/>
        <v>20</v>
      </c>
      <c r="W496" s="19">
        <f t="shared" si="101"/>
        <v>0.95</v>
      </c>
      <c r="X496" s="5">
        <v>37</v>
      </c>
      <c r="Y496" s="28">
        <f t="shared" si="102"/>
        <v>8.81</v>
      </c>
      <c r="Z496" s="31" t="s">
        <v>164</v>
      </c>
      <c r="AA496" t="str">
        <f t="shared" si="103"/>
        <v>MHD - Prozessfehler</v>
      </c>
    </row>
    <row r="497" spans="1:27" x14ac:dyDescent="0.35">
      <c r="A497" s="32" t="s">
        <v>16</v>
      </c>
      <c r="B497" s="2" t="str">
        <f>VLOOKUP(A497,Stammdaten!$A$3:$B$7,2,FALSE)</f>
        <v>Filiale Ost</v>
      </c>
      <c r="C497" s="3" t="str" cm="1">
        <f t="array" ref="C497">INDEX(Stammdaten!$A$11:$A$25,INT((ROW()-5)/12)+1 - INT((ROW()-5)/180)*15)</f>
        <v>A012</v>
      </c>
      <c r="D497" s="2" t="str">
        <f>VLOOKUP(C497,Stammdaten!$A$11:$B$25,2,FALSE)</f>
        <v>Quark 500g</v>
      </c>
      <c r="E497" s="3" t="str">
        <f>VLOOKUP(C497,Stammdaten!$A$11:$C$25,3,FALSE)</f>
        <v>Quark</v>
      </c>
      <c r="F497" s="19">
        <f>VLOOKUP(C497,Stammdaten!$A$11:$D$25,4,FALSE)</f>
        <v>1.39</v>
      </c>
      <c r="G497" s="4">
        <f t="shared" si="91"/>
        <v>1</v>
      </c>
      <c r="H497" s="20" t="str">
        <f>VLOOKUP(G497,Stammdaten!$A$30:$B$41,2,FALSE)</f>
        <v>Januar</v>
      </c>
      <c r="I497" s="4">
        <v>337</v>
      </c>
      <c r="J497" s="4">
        <v>340</v>
      </c>
      <c r="K497" s="4">
        <f t="shared" si="92"/>
        <v>3</v>
      </c>
      <c r="L497" s="27">
        <f t="shared" si="93"/>
        <v>0.89020771513353114</v>
      </c>
      <c r="M497" s="52" t="str">
        <f t="shared" si="94"/>
        <v>Überbestand</v>
      </c>
      <c r="N497" s="28">
        <f t="shared" si="95"/>
        <v>4.17</v>
      </c>
      <c r="O497" s="5">
        <v>13</v>
      </c>
      <c r="P497" s="4">
        <v>4</v>
      </c>
      <c r="Q497" s="28">
        <f t="shared" si="96"/>
        <v>0</v>
      </c>
      <c r="R497" s="50">
        <f t="shared" si="97"/>
        <v>0</v>
      </c>
      <c r="S497" s="2" t="str">
        <f t="shared" si="98"/>
        <v>Normal</v>
      </c>
      <c r="T497" s="4">
        <v>3</v>
      </c>
      <c r="U497" s="4" t="str">
        <f t="shared" si="99"/>
        <v>Nein</v>
      </c>
      <c r="V497" s="4">
        <f t="shared" si="100"/>
        <v>0</v>
      </c>
      <c r="W497" s="19">
        <f t="shared" si="101"/>
        <v>1.39</v>
      </c>
      <c r="X497" s="5">
        <v>0</v>
      </c>
      <c r="Y497" s="28">
        <f t="shared" si="102"/>
        <v>0</v>
      </c>
      <c r="Z497" s="31" t="s">
        <v>172</v>
      </c>
      <c r="AA497" t="str">
        <f t="shared" si="103"/>
        <v>Kassenfehler (Überbestand)</v>
      </c>
    </row>
    <row r="498" spans="1:27" x14ac:dyDescent="0.35">
      <c r="A498" s="32" t="s">
        <v>16</v>
      </c>
      <c r="B498" s="2" t="str">
        <f>VLOOKUP(A498,Stammdaten!$A$3:$B$7,2,FALSE)</f>
        <v>Filiale Ost</v>
      </c>
      <c r="C498" s="3" t="str" cm="1">
        <f t="array" ref="C498">INDEX(Stammdaten!$A$11:$A$25,INT((ROW()-5)/12)+1 - INT((ROW()-5)/180)*15)</f>
        <v>A012</v>
      </c>
      <c r="D498" s="2" t="str">
        <f>VLOOKUP(C498,Stammdaten!$A$11:$B$25,2,FALSE)</f>
        <v>Quark 500g</v>
      </c>
      <c r="E498" s="3" t="str">
        <f>VLOOKUP(C498,Stammdaten!$A$11:$C$25,3,FALSE)</f>
        <v>Quark</v>
      </c>
      <c r="F498" s="19">
        <f>VLOOKUP(C498,Stammdaten!$A$11:$D$25,4,FALSE)</f>
        <v>1.39</v>
      </c>
      <c r="G498" s="4">
        <f t="shared" si="91"/>
        <v>2</v>
      </c>
      <c r="H498" s="20" t="str">
        <f>VLOOKUP(G498,Stammdaten!$A$30:$B$41,2,FALSE)</f>
        <v>Februar</v>
      </c>
      <c r="I498" s="4">
        <v>291</v>
      </c>
      <c r="J498" s="4">
        <v>281</v>
      </c>
      <c r="K498" s="4">
        <f t="shared" si="92"/>
        <v>-10</v>
      </c>
      <c r="L498" s="27">
        <f t="shared" si="93"/>
        <v>-3.4364261168384882</v>
      </c>
      <c r="M498" s="52" t="str">
        <f t="shared" si="94"/>
        <v>Schwund</v>
      </c>
      <c r="N498" s="28">
        <f t="shared" si="95"/>
        <v>13.899999999999999</v>
      </c>
      <c r="O498" s="5">
        <v>2</v>
      </c>
      <c r="P498" s="4">
        <v>2</v>
      </c>
      <c r="Q498" s="28">
        <f t="shared" si="96"/>
        <v>3.4749999999999996</v>
      </c>
      <c r="R498" s="50">
        <f t="shared" si="97"/>
        <v>4.169999999999999</v>
      </c>
      <c r="S498" s="2" t="str">
        <f t="shared" si="98"/>
        <v>Karneval</v>
      </c>
      <c r="T498" s="4">
        <v>0</v>
      </c>
      <c r="U498" s="4" t="str">
        <f t="shared" si="99"/>
        <v>Ja - 20% Reduzierung</v>
      </c>
      <c r="V498" s="4">
        <f t="shared" si="100"/>
        <v>20</v>
      </c>
      <c r="W498" s="19">
        <f t="shared" si="101"/>
        <v>1.1100000000000001</v>
      </c>
      <c r="X498" s="5">
        <v>23</v>
      </c>
      <c r="Y498" s="28">
        <f t="shared" si="102"/>
        <v>6.39</v>
      </c>
      <c r="Z498" s="31" t="s">
        <v>173</v>
      </c>
      <c r="AA498" t="str">
        <f t="shared" si="103"/>
        <v>Prozessfehler</v>
      </c>
    </row>
    <row r="499" spans="1:27" x14ac:dyDescent="0.35">
      <c r="A499" s="32" t="s">
        <v>16</v>
      </c>
      <c r="B499" s="2" t="str">
        <f>VLOOKUP(A499,Stammdaten!$A$3:$B$7,2,FALSE)</f>
        <v>Filiale Ost</v>
      </c>
      <c r="C499" s="3" t="str" cm="1">
        <f t="array" ref="C499">INDEX(Stammdaten!$A$11:$A$25,INT((ROW()-5)/12)+1 - INT((ROW()-5)/180)*15)</f>
        <v>A012</v>
      </c>
      <c r="D499" s="2" t="str">
        <f>VLOOKUP(C499,Stammdaten!$A$11:$B$25,2,FALSE)</f>
        <v>Quark 500g</v>
      </c>
      <c r="E499" s="3" t="str">
        <f>VLOOKUP(C499,Stammdaten!$A$11:$C$25,3,FALSE)</f>
        <v>Quark</v>
      </c>
      <c r="F499" s="19">
        <f>VLOOKUP(C499,Stammdaten!$A$11:$D$25,4,FALSE)</f>
        <v>1.39</v>
      </c>
      <c r="G499" s="4">
        <f t="shared" si="91"/>
        <v>3</v>
      </c>
      <c r="H499" s="20" t="str">
        <f>VLOOKUP(G499,Stammdaten!$A$30:$B$41,2,FALSE)</f>
        <v>März</v>
      </c>
      <c r="I499" s="4">
        <v>397</v>
      </c>
      <c r="J499" s="4">
        <v>383</v>
      </c>
      <c r="K499" s="4">
        <f t="shared" si="92"/>
        <v>-14</v>
      </c>
      <c r="L499" s="27">
        <f t="shared" si="93"/>
        <v>-3.5264483627204033</v>
      </c>
      <c r="M499" s="52" t="str">
        <f t="shared" si="94"/>
        <v>Schwund</v>
      </c>
      <c r="N499" s="28">
        <f t="shared" si="95"/>
        <v>19.459999999999997</v>
      </c>
      <c r="O499" s="5">
        <v>14</v>
      </c>
      <c r="P499" s="4">
        <v>2</v>
      </c>
      <c r="Q499" s="28">
        <f t="shared" si="96"/>
        <v>4.8649999999999993</v>
      </c>
      <c r="R499" s="50">
        <f t="shared" si="97"/>
        <v>5.8379999999999992</v>
      </c>
      <c r="S499" s="2" t="str">
        <f t="shared" si="98"/>
        <v>Normal</v>
      </c>
      <c r="T499" s="4">
        <v>0</v>
      </c>
      <c r="U499" s="4" t="str">
        <f t="shared" si="99"/>
        <v>Nein</v>
      </c>
      <c r="V499" s="4">
        <f t="shared" si="100"/>
        <v>0</v>
      </c>
      <c r="W499" s="19">
        <f t="shared" si="101"/>
        <v>1.39</v>
      </c>
      <c r="X499" s="5">
        <v>0</v>
      </c>
      <c r="Y499" s="28">
        <f t="shared" si="102"/>
        <v>0</v>
      </c>
      <c r="Z499" s="31" t="s">
        <v>172</v>
      </c>
      <c r="AA499" t="str">
        <f t="shared" si="103"/>
        <v>Prozessfehler</v>
      </c>
    </row>
    <row r="500" spans="1:27" x14ac:dyDescent="0.35">
      <c r="A500" s="32" t="s">
        <v>16</v>
      </c>
      <c r="B500" s="2" t="str">
        <f>VLOOKUP(A500,Stammdaten!$A$3:$B$7,2,FALSE)</f>
        <v>Filiale Ost</v>
      </c>
      <c r="C500" s="3" t="str" cm="1">
        <f t="array" ref="C500">INDEX(Stammdaten!$A$11:$A$25,INT((ROW()-5)/12)+1 - INT((ROW()-5)/180)*15)</f>
        <v>A012</v>
      </c>
      <c r="D500" s="2" t="str">
        <f>VLOOKUP(C500,Stammdaten!$A$11:$B$25,2,FALSE)</f>
        <v>Quark 500g</v>
      </c>
      <c r="E500" s="3" t="str">
        <f>VLOOKUP(C500,Stammdaten!$A$11:$C$25,3,FALSE)</f>
        <v>Quark</v>
      </c>
      <c r="F500" s="19">
        <f>VLOOKUP(C500,Stammdaten!$A$11:$D$25,4,FALSE)</f>
        <v>1.39</v>
      </c>
      <c r="G500" s="4">
        <f t="shared" si="91"/>
        <v>4</v>
      </c>
      <c r="H500" s="20" t="str">
        <f>VLOOKUP(G500,Stammdaten!$A$30:$B$41,2,FALSE)</f>
        <v>April</v>
      </c>
      <c r="I500" s="4">
        <v>446</v>
      </c>
      <c r="J500" s="4">
        <v>436</v>
      </c>
      <c r="K500" s="4">
        <f t="shared" si="92"/>
        <v>-10</v>
      </c>
      <c r="L500" s="27">
        <f t="shared" si="93"/>
        <v>-2.2421524663677128</v>
      </c>
      <c r="M500" s="52" t="str">
        <f t="shared" si="94"/>
        <v>Schwund</v>
      </c>
      <c r="N500" s="28">
        <f t="shared" si="95"/>
        <v>13.899999999999999</v>
      </c>
      <c r="O500" s="5">
        <v>1</v>
      </c>
      <c r="P500" s="4">
        <v>5</v>
      </c>
      <c r="Q500" s="28">
        <f t="shared" si="96"/>
        <v>3.4749999999999996</v>
      </c>
      <c r="R500" s="50">
        <f t="shared" si="97"/>
        <v>4.169999999999999</v>
      </c>
      <c r="S500" s="2" t="str">
        <f t="shared" si="98"/>
        <v>Ostern</v>
      </c>
      <c r="T500" s="4">
        <v>0</v>
      </c>
      <c r="U500" s="4" t="str">
        <f t="shared" si="99"/>
        <v>Ja - 20% Reduzierung</v>
      </c>
      <c r="V500" s="4">
        <f t="shared" si="100"/>
        <v>20</v>
      </c>
      <c r="W500" s="19">
        <f t="shared" si="101"/>
        <v>1.1100000000000001</v>
      </c>
      <c r="X500" s="5">
        <v>36</v>
      </c>
      <c r="Y500" s="28">
        <f t="shared" si="102"/>
        <v>10.01</v>
      </c>
      <c r="Z500" s="31" t="s">
        <v>173</v>
      </c>
      <c r="AA500" t="str">
        <f t="shared" si="103"/>
        <v>Prozessfehler</v>
      </c>
    </row>
    <row r="501" spans="1:27" x14ac:dyDescent="0.35">
      <c r="A501" s="32" t="s">
        <v>16</v>
      </c>
      <c r="B501" s="2" t="str">
        <f>VLOOKUP(A501,Stammdaten!$A$3:$B$7,2,FALSE)</f>
        <v>Filiale Ost</v>
      </c>
      <c r="C501" s="3" t="str" cm="1">
        <f t="array" ref="C501">INDEX(Stammdaten!$A$11:$A$25,INT((ROW()-5)/12)+1 - INT((ROW()-5)/180)*15)</f>
        <v>A012</v>
      </c>
      <c r="D501" s="2" t="str">
        <f>VLOOKUP(C501,Stammdaten!$A$11:$B$25,2,FALSE)</f>
        <v>Quark 500g</v>
      </c>
      <c r="E501" s="3" t="str">
        <f>VLOOKUP(C501,Stammdaten!$A$11:$C$25,3,FALSE)</f>
        <v>Quark</v>
      </c>
      <c r="F501" s="19">
        <f>VLOOKUP(C501,Stammdaten!$A$11:$D$25,4,FALSE)</f>
        <v>1.39</v>
      </c>
      <c r="G501" s="4">
        <f t="shared" si="91"/>
        <v>5</v>
      </c>
      <c r="H501" s="20" t="str">
        <f>VLOOKUP(G501,Stammdaten!$A$30:$B$41,2,FALSE)</f>
        <v>Mai</v>
      </c>
      <c r="I501" s="4">
        <v>378</v>
      </c>
      <c r="J501" s="4">
        <v>370</v>
      </c>
      <c r="K501" s="4">
        <f t="shared" si="92"/>
        <v>-8</v>
      </c>
      <c r="L501" s="27">
        <f t="shared" si="93"/>
        <v>-2.1164021164021163</v>
      </c>
      <c r="M501" s="52" t="str">
        <f t="shared" si="94"/>
        <v>Schwund</v>
      </c>
      <c r="N501" s="28">
        <f t="shared" si="95"/>
        <v>11.12</v>
      </c>
      <c r="O501" s="5">
        <v>14</v>
      </c>
      <c r="P501" s="4">
        <v>1</v>
      </c>
      <c r="Q501" s="28">
        <f t="shared" si="96"/>
        <v>2.78</v>
      </c>
      <c r="R501" s="50">
        <f t="shared" si="97"/>
        <v>3.3359999999999999</v>
      </c>
      <c r="S501" s="2" t="str">
        <f t="shared" si="98"/>
        <v>Normal</v>
      </c>
      <c r="T501" s="4">
        <v>0</v>
      </c>
      <c r="U501" s="4" t="str">
        <f t="shared" si="99"/>
        <v>Nein</v>
      </c>
      <c r="V501" s="4">
        <f t="shared" si="100"/>
        <v>0</v>
      </c>
      <c r="W501" s="19">
        <f t="shared" si="101"/>
        <v>1.39</v>
      </c>
      <c r="X501" s="5">
        <v>0</v>
      </c>
      <c r="Y501" s="28">
        <f t="shared" si="102"/>
        <v>0</v>
      </c>
      <c r="Z501" s="31" t="s">
        <v>172</v>
      </c>
      <c r="AA501" t="str">
        <f t="shared" si="103"/>
        <v>Buchungsfehler Wareneingang</v>
      </c>
    </row>
    <row r="502" spans="1:27" x14ac:dyDescent="0.35">
      <c r="A502" s="32" t="s">
        <v>16</v>
      </c>
      <c r="B502" s="2" t="str">
        <f>VLOOKUP(A502,Stammdaten!$A$3:$B$7,2,FALSE)</f>
        <v>Filiale Ost</v>
      </c>
      <c r="C502" s="3" t="str" cm="1">
        <f t="array" ref="C502">INDEX(Stammdaten!$A$11:$A$25,INT((ROW()-5)/12)+1 - INT((ROW()-5)/180)*15)</f>
        <v>A012</v>
      </c>
      <c r="D502" s="2" t="str">
        <f>VLOOKUP(C502,Stammdaten!$A$11:$B$25,2,FALSE)</f>
        <v>Quark 500g</v>
      </c>
      <c r="E502" s="3" t="str">
        <f>VLOOKUP(C502,Stammdaten!$A$11:$C$25,3,FALSE)</f>
        <v>Quark</v>
      </c>
      <c r="F502" s="19">
        <f>VLOOKUP(C502,Stammdaten!$A$11:$D$25,4,FALSE)</f>
        <v>1.39</v>
      </c>
      <c r="G502" s="4">
        <f t="shared" si="91"/>
        <v>6</v>
      </c>
      <c r="H502" s="20" t="str">
        <f>VLOOKUP(G502,Stammdaten!$A$30:$B$41,2,FALSE)</f>
        <v>Juni</v>
      </c>
      <c r="I502" s="4">
        <v>392</v>
      </c>
      <c r="J502" s="4">
        <v>382</v>
      </c>
      <c r="K502" s="4">
        <f t="shared" si="92"/>
        <v>-10</v>
      </c>
      <c r="L502" s="27">
        <f t="shared" si="93"/>
        <v>-2.5510204081632653</v>
      </c>
      <c r="M502" s="52" t="str">
        <f t="shared" si="94"/>
        <v>Schwund</v>
      </c>
      <c r="N502" s="28">
        <f t="shared" si="95"/>
        <v>13.899999999999999</v>
      </c>
      <c r="O502" s="5">
        <v>4</v>
      </c>
      <c r="P502" s="4">
        <v>5</v>
      </c>
      <c r="Q502" s="28">
        <f t="shared" si="96"/>
        <v>3.4749999999999996</v>
      </c>
      <c r="R502" s="50">
        <f t="shared" si="97"/>
        <v>4.169999999999999</v>
      </c>
      <c r="S502" s="2" t="str">
        <f t="shared" si="98"/>
        <v>Normal</v>
      </c>
      <c r="T502" s="4">
        <v>0</v>
      </c>
      <c r="U502" s="4" t="str">
        <f t="shared" si="99"/>
        <v>Nein</v>
      </c>
      <c r="V502" s="4">
        <f t="shared" si="100"/>
        <v>0</v>
      </c>
      <c r="W502" s="19">
        <f t="shared" si="101"/>
        <v>1.39</v>
      </c>
      <c r="X502" s="5">
        <v>0</v>
      </c>
      <c r="Y502" s="28">
        <f t="shared" si="102"/>
        <v>0</v>
      </c>
      <c r="Z502" s="31" t="s">
        <v>172</v>
      </c>
      <c r="AA502" t="str">
        <f t="shared" si="103"/>
        <v>Prozessfehler</v>
      </c>
    </row>
    <row r="503" spans="1:27" x14ac:dyDescent="0.35">
      <c r="A503" s="32" t="s">
        <v>16</v>
      </c>
      <c r="B503" s="2" t="str">
        <f>VLOOKUP(A503,Stammdaten!$A$3:$B$7,2,FALSE)</f>
        <v>Filiale Ost</v>
      </c>
      <c r="C503" s="3" t="str" cm="1">
        <f t="array" ref="C503">INDEX(Stammdaten!$A$11:$A$25,INT((ROW()-5)/12)+1 - INT((ROW()-5)/180)*15)</f>
        <v>A012</v>
      </c>
      <c r="D503" s="2" t="str">
        <f>VLOOKUP(C503,Stammdaten!$A$11:$B$25,2,FALSE)</f>
        <v>Quark 500g</v>
      </c>
      <c r="E503" s="3" t="str">
        <f>VLOOKUP(C503,Stammdaten!$A$11:$C$25,3,FALSE)</f>
        <v>Quark</v>
      </c>
      <c r="F503" s="19">
        <f>VLOOKUP(C503,Stammdaten!$A$11:$D$25,4,FALSE)</f>
        <v>1.39</v>
      </c>
      <c r="G503" s="4">
        <f t="shared" si="91"/>
        <v>7</v>
      </c>
      <c r="H503" s="20" t="str">
        <f>VLOOKUP(G503,Stammdaten!$A$30:$B$41,2,FALSE)</f>
        <v>Juli</v>
      </c>
      <c r="I503" s="4">
        <v>449</v>
      </c>
      <c r="J503" s="4">
        <v>457</v>
      </c>
      <c r="K503" s="4">
        <f t="shared" si="92"/>
        <v>8</v>
      </c>
      <c r="L503" s="27">
        <f t="shared" si="93"/>
        <v>1.7817371937639197</v>
      </c>
      <c r="M503" s="52" t="str">
        <f t="shared" si="94"/>
        <v>Überbestand</v>
      </c>
      <c r="N503" s="28">
        <f t="shared" si="95"/>
        <v>11.12</v>
      </c>
      <c r="O503" s="5">
        <v>7</v>
      </c>
      <c r="P503" s="4">
        <v>4</v>
      </c>
      <c r="Q503" s="28">
        <f t="shared" si="96"/>
        <v>0</v>
      </c>
      <c r="R503" s="50">
        <f t="shared" si="97"/>
        <v>0</v>
      </c>
      <c r="S503" s="2" t="str">
        <f t="shared" si="98"/>
        <v>Normal</v>
      </c>
      <c r="T503" s="4">
        <v>8</v>
      </c>
      <c r="U503" s="4" t="str">
        <f t="shared" si="99"/>
        <v>Nein</v>
      </c>
      <c r="V503" s="4">
        <f t="shared" si="100"/>
        <v>0</v>
      </c>
      <c r="W503" s="19">
        <f t="shared" si="101"/>
        <v>1.39</v>
      </c>
      <c r="X503" s="5">
        <v>0</v>
      </c>
      <c r="Y503" s="28">
        <f t="shared" si="102"/>
        <v>0</v>
      </c>
      <c r="Z503" s="31" t="s">
        <v>172</v>
      </c>
      <c r="AA503" t="str">
        <f t="shared" si="103"/>
        <v>Kassenfehler (Überbestand)</v>
      </c>
    </row>
    <row r="504" spans="1:27" x14ac:dyDescent="0.35">
      <c r="A504" s="32" t="s">
        <v>16</v>
      </c>
      <c r="B504" s="2" t="str">
        <f>VLOOKUP(A504,Stammdaten!$A$3:$B$7,2,FALSE)</f>
        <v>Filiale Ost</v>
      </c>
      <c r="C504" s="3" t="str" cm="1">
        <f t="array" ref="C504">INDEX(Stammdaten!$A$11:$A$25,INT((ROW()-5)/12)+1 - INT((ROW()-5)/180)*15)</f>
        <v>A012</v>
      </c>
      <c r="D504" s="2" t="str">
        <f>VLOOKUP(C504,Stammdaten!$A$11:$B$25,2,FALSE)</f>
        <v>Quark 500g</v>
      </c>
      <c r="E504" s="3" t="str">
        <f>VLOOKUP(C504,Stammdaten!$A$11:$C$25,3,FALSE)</f>
        <v>Quark</v>
      </c>
      <c r="F504" s="19">
        <f>VLOOKUP(C504,Stammdaten!$A$11:$D$25,4,FALSE)</f>
        <v>1.39</v>
      </c>
      <c r="G504" s="4">
        <f t="shared" si="91"/>
        <v>8</v>
      </c>
      <c r="H504" s="20" t="str">
        <f>VLOOKUP(G504,Stammdaten!$A$30:$B$41,2,FALSE)</f>
        <v>August</v>
      </c>
      <c r="I504" s="4">
        <v>393</v>
      </c>
      <c r="J504" s="4">
        <v>381</v>
      </c>
      <c r="K504" s="4">
        <f t="shared" si="92"/>
        <v>-12</v>
      </c>
      <c r="L504" s="27">
        <f t="shared" si="93"/>
        <v>-3.0534351145038165</v>
      </c>
      <c r="M504" s="52" t="str">
        <f t="shared" si="94"/>
        <v>Schwund</v>
      </c>
      <c r="N504" s="28">
        <f t="shared" si="95"/>
        <v>16.68</v>
      </c>
      <c r="O504" s="5">
        <v>7</v>
      </c>
      <c r="P504" s="4">
        <v>1</v>
      </c>
      <c r="Q504" s="28">
        <f t="shared" si="96"/>
        <v>4.17</v>
      </c>
      <c r="R504" s="50">
        <f t="shared" si="97"/>
        <v>5.0039999999999996</v>
      </c>
      <c r="S504" s="2" t="str">
        <f t="shared" si="98"/>
        <v>Normal</v>
      </c>
      <c r="T504" s="4">
        <v>0</v>
      </c>
      <c r="U504" s="4" t="str">
        <f t="shared" si="99"/>
        <v>Nein</v>
      </c>
      <c r="V504" s="4">
        <f t="shared" si="100"/>
        <v>0</v>
      </c>
      <c r="W504" s="19">
        <f t="shared" si="101"/>
        <v>1.39</v>
      </c>
      <c r="X504" s="5">
        <v>0</v>
      </c>
      <c r="Y504" s="28">
        <f t="shared" si="102"/>
        <v>0</v>
      </c>
      <c r="Z504" s="31" t="s">
        <v>172</v>
      </c>
      <c r="AA504" t="str">
        <f t="shared" si="103"/>
        <v>Buchungsfehler Wareneingang</v>
      </c>
    </row>
    <row r="505" spans="1:27" x14ac:dyDescent="0.35">
      <c r="A505" s="32" t="s">
        <v>16</v>
      </c>
      <c r="B505" s="2" t="str">
        <f>VLOOKUP(A505,Stammdaten!$A$3:$B$7,2,FALSE)</f>
        <v>Filiale Ost</v>
      </c>
      <c r="C505" s="3" t="str" cm="1">
        <f t="array" ref="C505">INDEX(Stammdaten!$A$11:$A$25,INT((ROW()-5)/12)+1 - INT((ROW()-5)/180)*15)</f>
        <v>A012</v>
      </c>
      <c r="D505" s="2" t="str">
        <f>VLOOKUP(C505,Stammdaten!$A$11:$B$25,2,FALSE)</f>
        <v>Quark 500g</v>
      </c>
      <c r="E505" s="3" t="str">
        <f>VLOOKUP(C505,Stammdaten!$A$11:$C$25,3,FALSE)</f>
        <v>Quark</v>
      </c>
      <c r="F505" s="19">
        <f>VLOOKUP(C505,Stammdaten!$A$11:$D$25,4,FALSE)</f>
        <v>1.39</v>
      </c>
      <c r="G505" s="4">
        <f t="shared" si="91"/>
        <v>9</v>
      </c>
      <c r="H505" s="20" t="str">
        <f>VLOOKUP(G505,Stammdaten!$A$30:$B$41,2,FALSE)</f>
        <v>September</v>
      </c>
      <c r="I505" s="4">
        <v>342</v>
      </c>
      <c r="J505" s="4">
        <v>333</v>
      </c>
      <c r="K505" s="4">
        <f t="shared" si="92"/>
        <v>-9</v>
      </c>
      <c r="L505" s="27">
        <f t="shared" si="93"/>
        <v>-2.6315789473684208</v>
      </c>
      <c r="M505" s="52" t="str">
        <f t="shared" si="94"/>
        <v>Schwund</v>
      </c>
      <c r="N505" s="28">
        <f t="shared" si="95"/>
        <v>12.51</v>
      </c>
      <c r="O505" s="5">
        <v>6</v>
      </c>
      <c r="P505" s="4">
        <v>3</v>
      </c>
      <c r="Q505" s="28">
        <f t="shared" si="96"/>
        <v>3.1274999999999999</v>
      </c>
      <c r="R505" s="50">
        <f t="shared" si="97"/>
        <v>3.7529999999999997</v>
      </c>
      <c r="S505" s="2" t="str">
        <f t="shared" si="98"/>
        <v>Normal</v>
      </c>
      <c r="T505" s="4">
        <v>0</v>
      </c>
      <c r="U505" s="4" t="str">
        <f t="shared" si="99"/>
        <v>Nein</v>
      </c>
      <c r="V505" s="4">
        <f t="shared" si="100"/>
        <v>0</v>
      </c>
      <c r="W505" s="19">
        <f t="shared" si="101"/>
        <v>1.39</v>
      </c>
      <c r="X505" s="5">
        <v>0</v>
      </c>
      <c r="Y505" s="28">
        <f t="shared" si="102"/>
        <v>0</v>
      </c>
      <c r="Z505" s="31" t="s">
        <v>172</v>
      </c>
      <c r="AA505" t="str">
        <f t="shared" si="103"/>
        <v>Prozessfehler</v>
      </c>
    </row>
    <row r="506" spans="1:27" x14ac:dyDescent="0.35">
      <c r="A506" s="32" t="s">
        <v>16</v>
      </c>
      <c r="B506" s="2" t="str">
        <f>VLOOKUP(A506,Stammdaten!$A$3:$B$7,2,FALSE)</f>
        <v>Filiale Ost</v>
      </c>
      <c r="C506" s="3" t="str" cm="1">
        <f t="array" ref="C506">INDEX(Stammdaten!$A$11:$A$25,INT((ROW()-5)/12)+1 - INT((ROW()-5)/180)*15)</f>
        <v>A012</v>
      </c>
      <c r="D506" s="2" t="str">
        <f>VLOOKUP(C506,Stammdaten!$A$11:$B$25,2,FALSE)</f>
        <v>Quark 500g</v>
      </c>
      <c r="E506" s="3" t="str">
        <f>VLOOKUP(C506,Stammdaten!$A$11:$C$25,3,FALSE)</f>
        <v>Quark</v>
      </c>
      <c r="F506" s="19">
        <f>VLOOKUP(C506,Stammdaten!$A$11:$D$25,4,FALSE)</f>
        <v>1.39</v>
      </c>
      <c r="G506" s="4">
        <f t="shared" si="91"/>
        <v>10</v>
      </c>
      <c r="H506" s="20" t="str">
        <f>VLOOKUP(G506,Stammdaten!$A$30:$B$41,2,FALSE)</f>
        <v>Oktober</v>
      </c>
      <c r="I506" s="4">
        <v>371</v>
      </c>
      <c r="J506" s="4">
        <v>365</v>
      </c>
      <c r="K506" s="4">
        <f t="shared" si="92"/>
        <v>-6</v>
      </c>
      <c r="L506" s="27">
        <f t="shared" si="93"/>
        <v>-1.6172506738544474</v>
      </c>
      <c r="M506" s="52" t="str">
        <f t="shared" si="94"/>
        <v>Schwund</v>
      </c>
      <c r="N506" s="28">
        <f t="shared" si="95"/>
        <v>8.34</v>
      </c>
      <c r="O506" s="5">
        <v>14</v>
      </c>
      <c r="P506" s="4">
        <v>0</v>
      </c>
      <c r="Q506" s="28">
        <f t="shared" si="96"/>
        <v>2.085</v>
      </c>
      <c r="R506" s="50">
        <f t="shared" si="97"/>
        <v>2.5019999999999998</v>
      </c>
      <c r="S506" s="2" t="str">
        <f t="shared" si="98"/>
        <v>Normal</v>
      </c>
      <c r="T506" s="4">
        <v>0</v>
      </c>
      <c r="U506" s="4" t="str">
        <f t="shared" si="99"/>
        <v>Nein</v>
      </c>
      <c r="V506" s="4">
        <f t="shared" si="100"/>
        <v>0</v>
      </c>
      <c r="W506" s="19">
        <f t="shared" si="101"/>
        <v>1.39</v>
      </c>
      <c r="X506" s="5">
        <v>0</v>
      </c>
      <c r="Y506" s="28">
        <f t="shared" si="102"/>
        <v>0</v>
      </c>
      <c r="Z506" s="31" t="s">
        <v>172</v>
      </c>
      <c r="AA506" t="str">
        <f t="shared" si="103"/>
        <v>Normal/Gering</v>
      </c>
    </row>
    <row r="507" spans="1:27" x14ac:dyDescent="0.35">
      <c r="A507" s="32" t="s">
        <v>16</v>
      </c>
      <c r="B507" s="2" t="str">
        <f>VLOOKUP(A507,Stammdaten!$A$3:$B$7,2,FALSE)</f>
        <v>Filiale Ost</v>
      </c>
      <c r="C507" s="3" t="str" cm="1">
        <f t="array" ref="C507">INDEX(Stammdaten!$A$11:$A$25,INT((ROW()-5)/12)+1 - INT((ROW()-5)/180)*15)</f>
        <v>A012</v>
      </c>
      <c r="D507" s="2" t="str">
        <f>VLOOKUP(C507,Stammdaten!$A$11:$B$25,2,FALSE)</f>
        <v>Quark 500g</v>
      </c>
      <c r="E507" s="3" t="str">
        <f>VLOOKUP(C507,Stammdaten!$A$11:$C$25,3,FALSE)</f>
        <v>Quark</v>
      </c>
      <c r="F507" s="19">
        <f>VLOOKUP(C507,Stammdaten!$A$11:$D$25,4,FALSE)</f>
        <v>1.39</v>
      </c>
      <c r="G507" s="4">
        <f t="shared" si="91"/>
        <v>11</v>
      </c>
      <c r="H507" s="20" t="str">
        <f>VLOOKUP(G507,Stammdaten!$A$30:$B$41,2,FALSE)</f>
        <v>November</v>
      </c>
      <c r="I507" s="4">
        <v>388</v>
      </c>
      <c r="J507" s="4">
        <v>381</v>
      </c>
      <c r="K507" s="4">
        <f t="shared" si="92"/>
        <v>-7</v>
      </c>
      <c r="L507" s="27">
        <f t="shared" si="93"/>
        <v>-1.804123711340206</v>
      </c>
      <c r="M507" s="52" t="str">
        <f t="shared" si="94"/>
        <v>Schwund</v>
      </c>
      <c r="N507" s="28">
        <f t="shared" si="95"/>
        <v>9.7299999999999986</v>
      </c>
      <c r="O507" s="5">
        <v>12</v>
      </c>
      <c r="P507" s="4">
        <v>2</v>
      </c>
      <c r="Q507" s="28">
        <f t="shared" si="96"/>
        <v>2.4324999999999997</v>
      </c>
      <c r="R507" s="50">
        <f t="shared" si="97"/>
        <v>2.9189999999999996</v>
      </c>
      <c r="S507" s="2" t="str">
        <f t="shared" si="98"/>
        <v>Black Friday</v>
      </c>
      <c r="T507" s="4">
        <v>0</v>
      </c>
      <c r="U507" s="4" t="str">
        <f t="shared" si="99"/>
        <v>Nein</v>
      </c>
      <c r="V507" s="4">
        <f t="shared" si="100"/>
        <v>0</v>
      </c>
      <c r="W507" s="19">
        <f t="shared" si="101"/>
        <v>1.39</v>
      </c>
      <c r="X507" s="5">
        <v>0</v>
      </c>
      <c r="Y507" s="28">
        <f t="shared" si="102"/>
        <v>0</v>
      </c>
      <c r="Z507" s="31" t="s">
        <v>172</v>
      </c>
      <c r="AA507" t="str">
        <f t="shared" si="103"/>
        <v>Normal/Gering</v>
      </c>
    </row>
    <row r="508" spans="1:27" x14ac:dyDescent="0.35">
      <c r="A508" s="32" t="s">
        <v>16</v>
      </c>
      <c r="B508" s="2" t="str">
        <f>VLOOKUP(A508,Stammdaten!$A$3:$B$7,2,FALSE)</f>
        <v>Filiale Ost</v>
      </c>
      <c r="C508" s="3" t="str" cm="1">
        <f t="array" ref="C508">INDEX(Stammdaten!$A$11:$A$25,INT((ROW()-5)/12)+1 - INT((ROW()-5)/180)*15)</f>
        <v>A012</v>
      </c>
      <c r="D508" s="2" t="str">
        <f>VLOOKUP(C508,Stammdaten!$A$11:$B$25,2,FALSE)</f>
        <v>Quark 500g</v>
      </c>
      <c r="E508" s="3" t="str">
        <f>VLOOKUP(C508,Stammdaten!$A$11:$C$25,3,FALSE)</f>
        <v>Quark</v>
      </c>
      <c r="F508" s="19">
        <f>VLOOKUP(C508,Stammdaten!$A$11:$D$25,4,FALSE)</f>
        <v>1.39</v>
      </c>
      <c r="G508" s="4">
        <f t="shared" si="91"/>
        <v>12</v>
      </c>
      <c r="H508" s="20" t="str">
        <f>VLOOKUP(G508,Stammdaten!$A$30:$B$41,2,FALSE)</f>
        <v>Dezember</v>
      </c>
      <c r="I508" s="4">
        <v>529</v>
      </c>
      <c r="J508" s="4">
        <v>518</v>
      </c>
      <c r="K508" s="4">
        <f t="shared" si="92"/>
        <v>-11</v>
      </c>
      <c r="L508" s="27">
        <f t="shared" si="93"/>
        <v>-2.0793950850661624</v>
      </c>
      <c r="M508" s="52" t="str">
        <f t="shared" si="94"/>
        <v>Schwund</v>
      </c>
      <c r="N508" s="28">
        <f t="shared" si="95"/>
        <v>15.29</v>
      </c>
      <c r="O508" s="5">
        <v>0</v>
      </c>
      <c r="P508" s="4">
        <v>4</v>
      </c>
      <c r="Q508" s="28">
        <f t="shared" si="96"/>
        <v>3.8224999999999998</v>
      </c>
      <c r="R508" s="50">
        <f t="shared" si="97"/>
        <v>4.5869999999999997</v>
      </c>
      <c r="S508" s="2" t="str">
        <f t="shared" si="98"/>
        <v>Weihnachten/Silvester</v>
      </c>
      <c r="T508" s="4">
        <v>0</v>
      </c>
      <c r="U508" s="4" t="str">
        <f t="shared" si="99"/>
        <v>Abschreibung</v>
      </c>
      <c r="V508" s="4">
        <f t="shared" si="100"/>
        <v>100</v>
      </c>
      <c r="W508" s="19">
        <f t="shared" si="101"/>
        <v>0</v>
      </c>
      <c r="X508" s="5">
        <v>11</v>
      </c>
      <c r="Y508" s="28">
        <f t="shared" si="102"/>
        <v>15.29</v>
      </c>
      <c r="Z508" s="31" t="s">
        <v>173</v>
      </c>
      <c r="AA508" t="str">
        <f t="shared" si="103"/>
        <v>Verderb - Abgelaufen</v>
      </c>
    </row>
    <row r="509" spans="1:27" x14ac:dyDescent="0.35">
      <c r="A509" s="32" t="s">
        <v>16</v>
      </c>
      <c r="B509" s="2" t="str">
        <f>VLOOKUP(A509,Stammdaten!$A$3:$B$7,2,FALSE)</f>
        <v>Filiale Ost</v>
      </c>
      <c r="C509" s="3" t="str" cm="1">
        <f t="array" ref="C509">INDEX(Stammdaten!$A$11:$A$25,INT((ROW()-5)/12)+1 - INT((ROW()-5)/180)*15)</f>
        <v>A013</v>
      </c>
      <c r="D509" s="2" t="str">
        <f>VLOOKUP(C509,Stammdaten!$A$11:$B$25,2,FALSE)</f>
        <v>Skyr 450g</v>
      </c>
      <c r="E509" s="3" t="str">
        <f>VLOOKUP(C509,Stammdaten!$A$11:$C$25,3,FALSE)</f>
        <v>Joghurt</v>
      </c>
      <c r="F509" s="19">
        <f>VLOOKUP(C509,Stammdaten!$A$11:$D$25,4,FALSE)</f>
        <v>1.99</v>
      </c>
      <c r="G509" s="4">
        <f t="shared" si="91"/>
        <v>1</v>
      </c>
      <c r="H509" s="20" t="str">
        <f>VLOOKUP(G509,Stammdaten!$A$30:$B$41,2,FALSE)</f>
        <v>Januar</v>
      </c>
      <c r="I509" s="4">
        <v>200</v>
      </c>
      <c r="J509" s="4">
        <v>194</v>
      </c>
      <c r="K509" s="4">
        <f t="shared" si="92"/>
        <v>-6</v>
      </c>
      <c r="L509" s="27">
        <f t="shared" si="93"/>
        <v>-3</v>
      </c>
      <c r="M509" s="52" t="str">
        <f t="shared" si="94"/>
        <v>Schwund</v>
      </c>
      <c r="N509" s="28">
        <f t="shared" si="95"/>
        <v>11.94</v>
      </c>
      <c r="O509" s="5">
        <v>11</v>
      </c>
      <c r="P509" s="4">
        <v>3</v>
      </c>
      <c r="Q509" s="28">
        <f t="shared" si="96"/>
        <v>2.9849999999999999</v>
      </c>
      <c r="R509" s="50">
        <f t="shared" si="97"/>
        <v>3.5819999999999999</v>
      </c>
      <c r="S509" s="2" t="str">
        <f t="shared" si="98"/>
        <v>Normal</v>
      </c>
      <c r="T509" s="4">
        <v>0</v>
      </c>
      <c r="U509" s="4" t="str">
        <f t="shared" si="99"/>
        <v>Nein</v>
      </c>
      <c r="V509" s="4">
        <f t="shared" si="100"/>
        <v>0</v>
      </c>
      <c r="W509" s="19">
        <f t="shared" si="101"/>
        <v>1.99</v>
      </c>
      <c r="X509" s="5">
        <v>0</v>
      </c>
      <c r="Y509" s="28">
        <f t="shared" si="102"/>
        <v>0</v>
      </c>
      <c r="Z509" s="31" t="s">
        <v>172</v>
      </c>
      <c r="AA509" t="str">
        <f t="shared" si="103"/>
        <v>Prozessfehler</v>
      </c>
    </row>
    <row r="510" spans="1:27" x14ac:dyDescent="0.35">
      <c r="A510" s="32" t="s">
        <v>16</v>
      </c>
      <c r="B510" s="2" t="str">
        <f>VLOOKUP(A510,Stammdaten!$A$3:$B$7,2,FALSE)</f>
        <v>Filiale Ost</v>
      </c>
      <c r="C510" s="3" t="str" cm="1">
        <f t="array" ref="C510">INDEX(Stammdaten!$A$11:$A$25,INT((ROW()-5)/12)+1 - INT((ROW()-5)/180)*15)</f>
        <v>A013</v>
      </c>
      <c r="D510" s="2" t="str">
        <f>VLOOKUP(C510,Stammdaten!$A$11:$B$25,2,FALSE)</f>
        <v>Skyr 450g</v>
      </c>
      <c r="E510" s="3" t="str">
        <f>VLOOKUP(C510,Stammdaten!$A$11:$C$25,3,FALSE)</f>
        <v>Joghurt</v>
      </c>
      <c r="F510" s="19">
        <f>VLOOKUP(C510,Stammdaten!$A$11:$D$25,4,FALSE)</f>
        <v>1.99</v>
      </c>
      <c r="G510" s="4">
        <f t="shared" si="91"/>
        <v>2</v>
      </c>
      <c r="H510" s="20" t="str">
        <f>VLOOKUP(G510,Stammdaten!$A$30:$B$41,2,FALSE)</f>
        <v>Februar</v>
      </c>
      <c r="I510" s="4">
        <v>201</v>
      </c>
      <c r="J510" s="4">
        <v>198</v>
      </c>
      <c r="K510" s="4">
        <f t="shared" si="92"/>
        <v>-3</v>
      </c>
      <c r="L510" s="27">
        <f t="shared" si="93"/>
        <v>-1.4925373134328357</v>
      </c>
      <c r="M510" s="52" t="str">
        <f t="shared" si="94"/>
        <v>Schwund</v>
      </c>
      <c r="N510" s="28">
        <f t="shared" si="95"/>
        <v>5.97</v>
      </c>
      <c r="O510" s="5">
        <v>20</v>
      </c>
      <c r="P510" s="4">
        <v>7</v>
      </c>
      <c r="Q510" s="28">
        <f t="shared" si="96"/>
        <v>1.4924999999999999</v>
      </c>
      <c r="R510" s="50">
        <f t="shared" si="97"/>
        <v>1.7909999999999999</v>
      </c>
      <c r="S510" s="2" t="str">
        <f t="shared" si="98"/>
        <v>Karneval</v>
      </c>
      <c r="T510" s="4">
        <v>0</v>
      </c>
      <c r="U510" s="4" t="str">
        <f t="shared" si="99"/>
        <v>Nein</v>
      </c>
      <c r="V510" s="4">
        <f t="shared" si="100"/>
        <v>0</v>
      </c>
      <c r="W510" s="19">
        <f t="shared" si="101"/>
        <v>1.99</v>
      </c>
      <c r="X510" s="5">
        <v>0</v>
      </c>
      <c r="Y510" s="28">
        <f t="shared" si="102"/>
        <v>0</v>
      </c>
      <c r="Z510" s="31" t="s">
        <v>172</v>
      </c>
      <c r="AA510" t="str">
        <f t="shared" si="103"/>
        <v>Normal/Gering</v>
      </c>
    </row>
    <row r="511" spans="1:27" x14ac:dyDescent="0.35">
      <c r="A511" s="32" t="s">
        <v>16</v>
      </c>
      <c r="B511" s="2" t="str">
        <f>VLOOKUP(A511,Stammdaten!$A$3:$B$7,2,FALSE)</f>
        <v>Filiale Ost</v>
      </c>
      <c r="C511" s="3" t="str" cm="1">
        <f t="array" ref="C511">INDEX(Stammdaten!$A$11:$A$25,INT((ROW()-5)/12)+1 - INT((ROW()-5)/180)*15)</f>
        <v>A013</v>
      </c>
      <c r="D511" s="2" t="str">
        <f>VLOOKUP(C511,Stammdaten!$A$11:$B$25,2,FALSE)</f>
        <v>Skyr 450g</v>
      </c>
      <c r="E511" s="3" t="str">
        <f>VLOOKUP(C511,Stammdaten!$A$11:$C$25,3,FALSE)</f>
        <v>Joghurt</v>
      </c>
      <c r="F511" s="19">
        <f>VLOOKUP(C511,Stammdaten!$A$11:$D$25,4,FALSE)</f>
        <v>1.99</v>
      </c>
      <c r="G511" s="4">
        <f t="shared" si="91"/>
        <v>3</v>
      </c>
      <c r="H511" s="20" t="str">
        <f>VLOOKUP(G511,Stammdaten!$A$30:$B$41,2,FALSE)</f>
        <v>März</v>
      </c>
      <c r="I511" s="4">
        <v>234</v>
      </c>
      <c r="J511" s="4">
        <v>226</v>
      </c>
      <c r="K511" s="4">
        <f t="shared" si="92"/>
        <v>-8</v>
      </c>
      <c r="L511" s="27">
        <f t="shared" si="93"/>
        <v>-3.4188034188034191</v>
      </c>
      <c r="M511" s="52" t="str">
        <f t="shared" si="94"/>
        <v>Schwund</v>
      </c>
      <c r="N511" s="28">
        <f t="shared" si="95"/>
        <v>15.92</v>
      </c>
      <c r="O511" s="5">
        <v>19</v>
      </c>
      <c r="P511" s="4">
        <v>4</v>
      </c>
      <c r="Q511" s="28">
        <f t="shared" si="96"/>
        <v>3.98</v>
      </c>
      <c r="R511" s="50">
        <f t="shared" si="97"/>
        <v>4.7759999999999998</v>
      </c>
      <c r="S511" s="2" t="str">
        <f t="shared" si="98"/>
        <v>Normal</v>
      </c>
      <c r="T511" s="4">
        <v>0</v>
      </c>
      <c r="U511" s="4" t="str">
        <f t="shared" si="99"/>
        <v>Nein</v>
      </c>
      <c r="V511" s="4">
        <f t="shared" si="100"/>
        <v>0</v>
      </c>
      <c r="W511" s="19">
        <f t="shared" si="101"/>
        <v>1.99</v>
      </c>
      <c r="X511" s="5">
        <v>0</v>
      </c>
      <c r="Y511" s="28">
        <f t="shared" si="102"/>
        <v>0</v>
      </c>
      <c r="Z511" s="31" t="s">
        <v>172</v>
      </c>
      <c r="AA511" t="str">
        <f t="shared" si="103"/>
        <v>Prozessfehler</v>
      </c>
    </row>
    <row r="512" spans="1:27" x14ac:dyDescent="0.35">
      <c r="A512" s="32" t="s">
        <v>16</v>
      </c>
      <c r="B512" s="2" t="str">
        <f>VLOOKUP(A512,Stammdaten!$A$3:$B$7,2,FALSE)</f>
        <v>Filiale Ost</v>
      </c>
      <c r="C512" s="3" t="str" cm="1">
        <f t="array" ref="C512">INDEX(Stammdaten!$A$11:$A$25,INT((ROW()-5)/12)+1 - INT((ROW()-5)/180)*15)</f>
        <v>A013</v>
      </c>
      <c r="D512" s="2" t="str">
        <f>VLOOKUP(C512,Stammdaten!$A$11:$B$25,2,FALSE)</f>
        <v>Skyr 450g</v>
      </c>
      <c r="E512" s="3" t="str">
        <f>VLOOKUP(C512,Stammdaten!$A$11:$C$25,3,FALSE)</f>
        <v>Joghurt</v>
      </c>
      <c r="F512" s="19">
        <f>VLOOKUP(C512,Stammdaten!$A$11:$D$25,4,FALSE)</f>
        <v>1.99</v>
      </c>
      <c r="G512" s="4">
        <f t="shared" si="91"/>
        <v>4</v>
      </c>
      <c r="H512" s="20" t="str">
        <f>VLOOKUP(G512,Stammdaten!$A$30:$B$41,2,FALSE)</f>
        <v>April</v>
      </c>
      <c r="I512" s="4">
        <v>273</v>
      </c>
      <c r="J512" s="4">
        <v>265</v>
      </c>
      <c r="K512" s="4">
        <f t="shared" si="92"/>
        <v>-8</v>
      </c>
      <c r="L512" s="27">
        <f t="shared" si="93"/>
        <v>-2.9304029304029302</v>
      </c>
      <c r="M512" s="52" t="str">
        <f t="shared" si="94"/>
        <v>Schwund</v>
      </c>
      <c r="N512" s="28">
        <f t="shared" si="95"/>
        <v>15.92</v>
      </c>
      <c r="O512" s="5">
        <v>9</v>
      </c>
      <c r="P512" s="4">
        <v>7</v>
      </c>
      <c r="Q512" s="28">
        <f t="shared" si="96"/>
        <v>3.98</v>
      </c>
      <c r="R512" s="50">
        <f t="shared" si="97"/>
        <v>4.7759999999999998</v>
      </c>
      <c r="S512" s="2" t="str">
        <f t="shared" si="98"/>
        <v>Ostern</v>
      </c>
      <c r="T512" s="4">
        <v>0</v>
      </c>
      <c r="U512" s="4" t="str">
        <f t="shared" si="99"/>
        <v>Nein</v>
      </c>
      <c r="V512" s="4">
        <f t="shared" si="100"/>
        <v>0</v>
      </c>
      <c r="W512" s="19">
        <f t="shared" si="101"/>
        <v>1.99</v>
      </c>
      <c r="X512" s="5">
        <v>0</v>
      </c>
      <c r="Y512" s="28">
        <f t="shared" si="102"/>
        <v>0</v>
      </c>
      <c r="Z512" s="31" t="s">
        <v>172</v>
      </c>
      <c r="AA512" t="str">
        <f t="shared" si="103"/>
        <v>Prozessfehler</v>
      </c>
    </row>
    <row r="513" spans="1:27" x14ac:dyDescent="0.35">
      <c r="A513" s="32" t="s">
        <v>16</v>
      </c>
      <c r="B513" s="2" t="str">
        <f>VLOOKUP(A513,Stammdaten!$A$3:$B$7,2,FALSE)</f>
        <v>Filiale Ost</v>
      </c>
      <c r="C513" s="3" t="str" cm="1">
        <f t="array" ref="C513">INDEX(Stammdaten!$A$11:$A$25,INT((ROW()-5)/12)+1 - INT((ROW()-5)/180)*15)</f>
        <v>A013</v>
      </c>
      <c r="D513" s="2" t="str">
        <f>VLOOKUP(C513,Stammdaten!$A$11:$B$25,2,FALSE)</f>
        <v>Skyr 450g</v>
      </c>
      <c r="E513" s="3" t="str">
        <f>VLOOKUP(C513,Stammdaten!$A$11:$C$25,3,FALSE)</f>
        <v>Joghurt</v>
      </c>
      <c r="F513" s="19">
        <f>VLOOKUP(C513,Stammdaten!$A$11:$D$25,4,FALSE)</f>
        <v>1.99</v>
      </c>
      <c r="G513" s="4">
        <f t="shared" si="91"/>
        <v>5</v>
      </c>
      <c r="H513" s="20" t="str">
        <f>VLOOKUP(G513,Stammdaten!$A$30:$B$41,2,FALSE)</f>
        <v>Mai</v>
      </c>
      <c r="I513" s="4">
        <v>236</v>
      </c>
      <c r="J513" s="4">
        <v>231</v>
      </c>
      <c r="K513" s="4">
        <f t="shared" si="92"/>
        <v>-5</v>
      </c>
      <c r="L513" s="27">
        <f t="shared" si="93"/>
        <v>-2.1186440677966099</v>
      </c>
      <c r="M513" s="52" t="str">
        <f t="shared" si="94"/>
        <v>Schwund</v>
      </c>
      <c r="N513" s="28">
        <f t="shared" si="95"/>
        <v>9.9499999999999993</v>
      </c>
      <c r="O513" s="5">
        <v>13</v>
      </c>
      <c r="P513" s="4">
        <v>0</v>
      </c>
      <c r="Q513" s="28">
        <f t="shared" si="96"/>
        <v>2.4874999999999998</v>
      </c>
      <c r="R513" s="50">
        <f t="shared" si="97"/>
        <v>2.9849999999999999</v>
      </c>
      <c r="S513" s="2" t="str">
        <f t="shared" si="98"/>
        <v>Normal</v>
      </c>
      <c r="T513" s="4">
        <v>0</v>
      </c>
      <c r="U513" s="4" t="str">
        <f t="shared" si="99"/>
        <v>Nein</v>
      </c>
      <c r="V513" s="4">
        <f t="shared" si="100"/>
        <v>0</v>
      </c>
      <c r="W513" s="19">
        <f t="shared" si="101"/>
        <v>1.99</v>
      </c>
      <c r="X513" s="5">
        <v>0</v>
      </c>
      <c r="Y513" s="28">
        <f t="shared" si="102"/>
        <v>0</v>
      </c>
      <c r="Z513" s="31" t="s">
        <v>172</v>
      </c>
      <c r="AA513" t="str">
        <f t="shared" si="103"/>
        <v>Buchungsfehler Wareneingang</v>
      </c>
    </row>
    <row r="514" spans="1:27" x14ac:dyDescent="0.35">
      <c r="A514" s="32" t="s">
        <v>16</v>
      </c>
      <c r="B514" s="2" t="str">
        <f>VLOOKUP(A514,Stammdaten!$A$3:$B$7,2,FALSE)</f>
        <v>Filiale Ost</v>
      </c>
      <c r="C514" s="3" t="str" cm="1">
        <f t="array" ref="C514">INDEX(Stammdaten!$A$11:$A$25,INT((ROW()-5)/12)+1 - INT((ROW()-5)/180)*15)</f>
        <v>A013</v>
      </c>
      <c r="D514" s="2" t="str">
        <f>VLOOKUP(C514,Stammdaten!$A$11:$B$25,2,FALSE)</f>
        <v>Skyr 450g</v>
      </c>
      <c r="E514" s="3" t="str">
        <f>VLOOKUP(C514,Stammdaten!$A$11:$C$25,3,FALSE)</f>
        <v>Joghurt</v>
      </c>
      <c r="F514" s="19">
        <f>VLOOKUP(C514,Stammdaten!$A$11:$D$25,4,FALSE)</f>
        <v>1.99</v>
      </c>
      <c r="G514" s="4">
        <f t="shared" si="91"/>
        <v>6</v>
      </c>
      <c r="H514" s="20" t="str">
        <f>VLOOKUP(G514,Stammdaten!$A$30:$B$41,2,FALSE)</f>
        <v>Juni</v>
      </c>
      <c r="I514" s="4">
        <v>235</v>
      </c>
      <c r="J514" s="4">
        <v>235</v>
      </c>
      <c r="K514" s="4">
        <f t="shared" si="92"/>
        <v>0</v>
      </c>
      <c r="L514" s="27">
        <f t="shared" si="93"/>
        <v>0</v>
      </c>
      <c r="M514" s="52" t="str">
        <f t="shared" si="94"/>
        <v>Perfekt</v>
      </c>
      <c r="N514" s="28">
        <f t="shared" si="95"/>
        <v>0</v>
      </c>
      <c r="O514" s="5">
        <v>0</v>
      </c>
      <c r="P514" s="4">
        <v>3</v>
      </c>
      <c r="Q514" s="28">
        <f t="shared" si="96"/>
        <v>0</v>
      </c>
      <c r="R514" s="50">
        <f t="shared" si="97"/>
        <v>0</v>
      </c>
      <c r="S514" s="2" t="str">
        <f t="shared" si="98"/>
        <v>Normal</v>
      </c>
      <c r="T514" s="4">
        <v>0</v>
      </c>
      <c r="U514" s="4" t="str">
        <f t="shared" si="99"/>
        <v>Abschreibung</v>
      </c>
      <c r="V514" s="4">
        <f t="shared" si="100"/>
        <v>100</v>
      </c>
      <c r="W514" s="19">
        <f t="shared" si="101"/>
        <v>0</v>
      </c>
      <c r="X514" s="5">
        <v>2</v>
      </c>
      <c r="Y514" s="28">
        <f t="shared" si="102"/>
        <v>3.98</v>
      </c>
      <c r="Z514" s="31" t="s">
        <v>173</v>
      </c>
      <c r="AA514" t="str">
        <f t="shared" si="103"/>
        <v>Verderb - Abgelaufen</v>
      </c>
    </row>
    <row r="515" spans="1:27" x14ac:dyDescent="0.35">
      <c r="A515" s="32" t="s">
        <v>16</v>
      </c>
      <c r="B515" s="2" t="str">
        <f>VLOOKUP(A515,Stammdaten!$A$3:$B$7,2,FALSE)</f>
        <v>Filiale Ost</v>
      </c>
      <c r="C515" s="3" t="str" cm="1">
        <f t="array" ref="C515">INDEX(Stammdaten!$A$11:$A$25,INT((ROW()-5)/12)+1 - INT((ROW()-5)/180)*15)</f>
        <v>A013</v>
      </c>
      <c r="D515" s="2" t="str">
        <f>VLOOKUP(C515,Stammdaten!$A$11:$B$25,2,FALSE)</f>
        <v>Skyr 450g</v>
      </c>
      <c r="E515" s="3" t="str">
        <f>VLOOKUP(C515,Stammdaten!$A$11:$C$25,3,FALSE)</f>
        <v>Joghurt</v>
      </c>
      <c r="F515" s="19">
        <f>VLOOKUP(C515,Stammdaten!$A$11:$D$25,4,FALSE)</f>
        <v>1.99</v>
      </c>
      <c r="G515" s="4">
        <f t="shared" si="91"/>
        <v>7</v>
      </c>
      <c r="H515" s="20" t="str">
        <f>VLOOKUP(G515,Stammdaten!$A$30:$B$41,2,FALSE)</f>
        <v>Juli</v>
      </c>
      <c r="I515" s="4">
        <v>259</v>
      </c>
      <c r="J515" s="4">
        <v>249</v>
      </c>
      <c r="K515" s="4">
        <f t="shared" si="92"/>
        <v>-10</v>
      </c>
      <c r="L515" s="27">
        <f t="shared" si="93"/>
        <v>-3.8610038610038608</v>
      </c>
      <c r="M515" s="52" t="str">
        <f t="shared" si="94"/>
        <v>Schwund</v>
      </c>
      <c r="N515" s="28">
        <f t="shared" si="95"/>
        <v>19.899999999999999</v>
      </c>
      <c r="O515" s="5">
        <v>14</v>
      </c>
      <c r="P515" s="4">
        <v>3</v>
      </c>
      <c r="Q515" s="28">
        <f t="shared" si="96"/>
        <v>4.9749999999999996</v>
      </c>
      <c r="R515" s="50">
        <f t="shared" si="97"/>
        <v>5.97</v>
      </c>
      <c r="S515" s="2" t="str">
        <f t="shared" si="98"/>
        <v>Normal</v>
      </c>
      <c r="T515" s="4">
        <v>0</v>
      </c>
      <c r="U515" s="4" t="str">
        <f t="shared" si="99"/>
        <v>Nein</v>
      </c>
      <c r="V515" s="4">
        <f t="shared" si="100"/>
        <v>0</v>
      </c>
      <c r="W515" s="19">
        <f t="shared" si="101"/>
        <v>1.99</v>
      </c>
      <c r="X515" s="5">
        <v>0</v>
      </c>
      <c r="Y515" s="28">
        <f t="shared" si="102"/>
        <v>0</v>
      </c>
      <c r="Z515" s="31" t="s">
        <v>172</v>
      </c>
      <c r="AA515" t="str">
        <f t="shared" si="103"/>
        <v>Prozessfehler</v>
      </c>
    </row>
    <row r="516" spans="1:27" x14ac:dyDescent="0.35">
      <c r="A516" s="32" t="s">
        <v>16</v>
      </c>
      <c r="B516" s="2" t="str">
        <f>VLOOKUP(A516,Stammdaten!$A$3:$B$7,2,FALSE)</f>
        <v>Filiale Ost</v>
      </c>
      <c r="C516" s="3" t="str" cm="1">
        <f t="array" ref="C516">INDEX(Stammdaten!$A$11:$A$25,INT((ROW()-5)/12)+1 - INT((ROW()-5)/180)*15)</f>
        <v>A013</v>
      </c>
      <c r="D516" s="2" t="str">
        <f>VLOOKUP(C516,Stammdaten!$A$11:$B$25,2,FALSE)</f>
        <v>Skyr 450g</v>
      </c>
      <c r="E516" s="3" t="str">
        <f>VLOOKUP(C516,Stammdaten!$A$11:$C$25,3,FALSE)</f>
        <v>Joghurt</v>
      </c>
      <c r="F516" s="19">
        <f>VLOOKUP(C516,Stammdaten!$A$11:$D$25,4,FALSE)</f>
        <v>1.99</v>
      </c>
      <c r="G516" s="4">
        <f t="shared" si="91"/>
        <v>8</v>
      </c>
      <c r="H516" s="20" t="str">
        <f>VLOOKUP(G516,Stammdaten!$A$30:$B$41,2,FALSE)</f>
        <v>August</v>
      </c>
      <c r="I516" s="4">
        <v>251</v>
      </c>
      <c r="J516" s="4">
        <v>245</v>
      </c>
      <c r="K516" s="4">
        <f t="shared" si="92"/>
        <v>-6</v>
      </c>
      <c r="L516" s="27">
        <f t="shared" si="93"/>
        <v>-2.3904382470119523</v>
      </c>
      <c r="M516" s="52" t="str">
        <f t="shared" si="94"/>
        <v>Schwund</v>
      </c>
      <c r="N516" s="28">
        <f t="shared" si="95"/>
        <v>11.94</v>
      </c>
      <c r="O516" s="5">
        <v>21</v>
      </c>
      <c r="P516" s="4">
        <v>6</v>
      </c>
      <c r="Q516" s="28">
        <f t="shared" si="96"/>
        <v>2.9849999999999999</v>
      </c>
      <c r="R516" s="50">
        <f t="shared" si="97"/>
        <v>3.5819999999999999</v>
      </c>
      <c r="S516" s="2" t="str">
        <f t="shared" si="98"/>
        <v>Normal</v>
      </c>
      <c r="T516" s="4">
        <v>0</v>
      </c>
      <c r="U516" s="4" t="str">
        <f t="shared" si="99"/>
        <v>Nein</v>
      </c>
      <c r="V516" s="4">
        <f t="shared" si="100"/>
        <v>0</v>
      </c>
      <c r="W516" s="19">
        <f t="shared" si="101"/>
        <v>1.99</v>
      </c>
      <c r="X516" s="5">
        <v>0</v>
      </c>
      <c r="Y516" s="28">
        <f t="shared" si="102"/>
        <v>0</v>
      </c>
      <c r="Z516" s="31" t="s">
        <v>172</v>
      </c>
      <c r="AA516" t="str">
        <f t="shared" si="103"/>
        <v>Prozessfehler</v>
      </c>
    </row>
    <row r="517" spans="1:27" x14ac:dyDescent="0.35">
      <c r="A517" s="32" t="s">
        <v>16</v>
      </c>
      <c r="B517" s="2" t="str">
        <f>VLOOKUP(A517,Stammdaten!$A$3:$B$7,2,FALSE)</f>
        <v>Filiale Ost</v>
      </c>
      <c r="C517" s="3" t="str" cm="1">
        <f t="array" ref="C517">INDEX(Stammdaten!$A$11:$A$25,INT((ROW()-5)/12)+1 - INT((ROW()-5)/180)*15)</f>
        <v>A013</v>
      </c>
      <c r="D517" s="2" t="str">
        <f>VLOOKUP(C517,Stammdaten!$A$11:$B$25,2,FALSE)</f>
        <v>Skyr 450g</v>
      </c>
      <c r="E517" s="3" t="str">
        <f>VLOOKUP(C517,Stammdaten!$A$11:$C$25,3,FALSE)</f>
        <v>Joghurt</v>
      </c>
      <c r="F517" s="19">
        <f>VLOOKUP(C517,Stammdaten!$A$11:$D$25,4,FALSE)</f>
        <v>1.99</v>
      </c>
      <c r="G517" s="4">
        <f t="shared" si="91"/>
        <v>9</v>
      </c>
      <c r="H517" s="20" t="str">
        <f>VLOOKUP(G517,Stammdaten!$A$30:$B$41,2,FALSE)</f>
        <v>September</v>
      </c>
      <c r="I517" s="4">
        <v>214</v>
      </c>
      <c r="J517" s="4">
        <v>210</v>
      </c>
      <c r="K517" s="4">
        <f t="shared" si="92"/>
        <v>-4</v>
      </c>
      <c r="L517" s="27">
        <f t="shared" si="93"/>
        <v>-1.8691588785046727</v>
      </c>
      <c r="M517" s="52" t="str">
        <f t="shared" si="94"/>
        <v>Schwund</v>
      </c>
      <c r="N517" s="28">
        <f t="shared" si="95"/>
        <v>7.96</v>
      </c>
      <c r="O517" s="5">
        <v>4</v>
      </c>
      <c r="P517" s="4">
        <v>1</v>
      </c>
      <c r="Q517" s="28">
        <f t="shared" si="96"/>
        <v>1.99</v>
      </c>
      <c r="R517" s="50">
        <f t="shared" si="97"/>
        <v>2.3879999999999999</v>
      </c>
      <c r="S517" s="2" t="str">
        <f t="shared" si="98"/>
        <v>Normal</v>
      </c>
      <c r="T517" s="4">
        <v>0</v>
      </c>
      <c r="U517" s="4" t="str">
        <f t="shared" si="99"/>
        <v>Nein</v>
      </c>
      <c r="V517" s="4">
        <f t="shared" si="100"/>
        <v>0</v>
      </c>
      <c r="W517" s="19">
        <f t="shared" si="101"/>
        <v>1.99</v>
      </c>
      <c r="X517" s="5">
        <v>0</v>
      </c>
      <c r="Y517" s="28">
        <f t="shared" si="102"/>
        <v>0</v>
      </c>
      <c r="Z517" s="31" t="s">
        <v>172</v>
      </c>
      <c r="AA517" t="str">
        <f t="shared" si="103"/>
        <v>Normal/Gering</v>
      </c>
    </row>
    <row r="518" spans="1:27" x14ac:dyDescent="0.35">
      <c r="A518" s="32" t="s">
        <v>16</v>
      </c>
      <c r="B518" s="2" t="str">
        <f>VLOOKUP(A518,Stammdaten!$A$3:$B$7,2,FALSE)</f>
        <v>Filiale Ost</v>
      </c>
      <c r="C518" s="3" t="str" cm="1">
        <f t="array" ref="C518">INDEX(Stammdaten!$A$11:$A$25,INT((ROW()-5)/12)+1 - INT((ROW()-5)/180)*15)</f>
        <v>A013</v>
      </c>
      <c r="D518" s="2" t="str">
        <f>VLOOKUP(C518,Stammdaten!$A$11:$B$25,2,FALSE)</f>
        <v>Skyr 450g</v>
      </c>
      <c r="E518" s="3" t="str">
        <f>VLOOKUP(C518,Stammdaten!$A$11:$C$25,3,FALSE)</f>
        <v>Joghurt</v>
      </c>
      <c r="F518" s="19">
        <f>VLOOKUP(C518,Stammdaten!$A$11:$D$25,4,FALSE)</f>
        <v>1.99</v>
      </c>
      <c r="G518" s="4">
        <f t="shared" ref="G518:G581" si="104">MOD(ROW()-5,12)+1</f>
        <v>10</v>
      </c>
      <c r="H518" s="20" t="str">
        <f>VLOOKUP(G518,Stammdaten!$A$30:$B$41,2,FALSE)</f>
        <v>Oktober</v>
      </c>
      <c r="I518" s="4">
        <v>221</v>
      </c>
      <c r="J518" s="4">
        <v>214</v>
      </c>
      <c r="K518" s="4">
        <f t="shared" ref="K518:K581" si="105">J518-I518</f>
        <v>-7</v>
      </c>
      <c r="L518" s="27">
        <f t="shared" ref="L518:L581" si="106">IF(I518=0,0,(K518)/I518*100)</f>
        <v>-3.1674208144796379</v>
      </c>
      <c r="M518" s="52" t="str">
        <f t="shared" ref="M518:M581" si="107">IF(K518=0,"Perfekt",IF(K518&lt;0,"Schwund","Überbestand"))</f>
        <v>Schwund</v>
      </c>
      <c r="N518" s="28">
        <f t="shared" ref="N518:N581" si="108">ABS(K518)*F518</f>
        <v>13.93</v>
      </c>
      <c r="O518" s="5">
        <v>0</v>
      </c>
      <c r="P518" s="4">
        <v>6</v>
      </c>
      <c r="Q518" s="28">
        <f t="shared" ref="Q518:Q581" si="109">IF(K518&lt;0,ABS(N518)*0.25,0)</f>
        <v>3.4824999999999999</v>
      </c>
      <c r="R518" s="50">
        <f t="shared" ref="R518:R581" si="110">IF(K518&lt;0,ABS(N518)*0.3,0)</f>
        <v>4.1789999999999994</v>
      </c>
      <c r="S518" s="2" t="str">
        <f t="shared" ref="S518:S581" si="111">IF(G518=4,"Ostern",IF(G518=12,"Weihnachten/Silvester",IF(G518=11,"Black Friday",IF(G518=2,"Karneval","Normal"))))</f>
        <v>Normal</v>
      </c>
      <c r="T518" s="4">
        <v>0</v>
      </c>
      <c r="U518" s="4" t="str">
        <f t="shared" ref="U518:U581" si="112">IF(O518&lt;=0,"Abschreibung",IF(O518&lt;=3,"Ja - 20% Reduzierung","Nein"))</f>
        <v>Abschreibung</v>
      </c>
      <c r="V518" s="4">
        <f t="shared" ref="V518:V581" si="113">IF(O518&lt;=0,100,IF(O518&lt;=3,20,0))</f>
        <v>100</v>
      </c>
      <c r="W518" s="19">
        <f t="shared" ref="W518:W581" si="114">IF(V518=100,0,ROUND(F518*(1-V518/100),2))</f>
        <v>0</v>
      </c>
      <c r="X518" s="5">
        <v>4</v>
      </c>
      <c r="Y518" s="28">
        <f t="shared" ref="Y518:Y581" si="115">ROUND(X518*F518*(V518/100),2)</f>
        <v>7.96</v>
      </c>
      <c r="Z518" s="31" t="s">
        <v>173</v>
      </c>
      <c r="AA518" t="str">
        <f t="shared" ref="AA518:AA581" si="116">IF(O518&lt;=0,"Verderb - Abgelaufen",IF(AND(O518&lt;=3,Z518&lt;&gt;"Korrekt",Z518&lt;&gt;"Kein MHD - Prozess"),"MHD - Prozessfehler",IF(K518&gt;0,"Kassenfehler (Überbestand)",IF(AND(ABS(L518)&gt;3,A518="F005"),"Diebstahlrisiko",IF(AND(ABS(L518)&gt;2,P518&lt;2),"Buchungsfehler Wareneingang",IF(ABS(L518)&gt;2,"Prozessfehler","Normal/Gering"))))))</f>
        <v>Verderb - Abgelaufen</v>
      </c>
    </row>
    <row r="519" spans="1:27" x14ac:dyDescent="0.35">
      <c r="A519" s="32" t="s">
        <v>16</v>
      </c>
      <c r="B519" s="2" t="str">
        <f>VLOOKUP(A519,Stammdaten!$A$3:$B$7,2,FALSE)</f>
        <v>Filiale Ost</v>
      </c>
      <c r="C519" s="3" t="str" cm="1">
        <f t="array" ref="C519">INDEX(Stammdaten!$A$11:$A$25,INT((ROW()-5)/12)+1 - INT((ROW()-5)/180)*15)</f>
        <v>A013</v>
      </c>
      <c r="D519" s="2" t="str">
        <f>VLOOKUP(C519,Stammdaten!$A$11:$B$25,2,FALSE)</f>
        <v>Skyr 450g</v>
      </c>
      <c r="E519" s="3" t="str">
        <f>VLOOKUP(C519,Stammdaten!$A$11:$C$25,3,FALSE)</f>
        <v>Joghurt</v>
      </c>
      <c r="F519" s="19">
        <f>VLOOKUP(C519,Stammdaten!$A$11:$D$25,4,FALSE)</f>
        <v>1.99</v>
      </c>
      <c r="G519" s="4">
        <f t="shared" si="104"/>
        <v>11</v>
      </c>
      <c r="H519" s="20" t="str">
        <f>VLOOKUP(G519,Stammdaten!$A$30:$B$41,2,FALSE)</f>
        <v>November</v>
      </c>
      <c r="I519" s="4">
        <v>252</v>
      </c>
      <c r="J519" s="4">
        <v>244</v>
      </c>
      <c r="K519" s="4">
        <f t="shared" si="105"/>
        <v>-8</v>
      </c>
      <c r="L519" s="27">
        <f t="shared" si="106"/>
        <v>-3.1746031746031744</v>
      </c>
      <c r="M519" s="52" t="str">
        <f t="shared" si="107"/>
        <v>Schwund</v>
      </c>
      <c r="N519" s="28">
        <f t="shared" si="108"/>
        <v>15.92</v>
      </c>
      <c r="O519" s="5">
        <v>15</v>
      </c>
      <c r="P519" s="4">
        <v>4</v>
      </c>
      <c r="Q519" s="28">
        <f t="shared" si="109"/>
        <v>3.98</v>
      </c>
      <c r="R519" s="50">
        <f t="shared" si="110"/>
        <v>4.7759999999999998</v>
      </c>
      <c r="S519" s="2" t="str">
        <f t="shared" si="111"/>
        <v>Black Friday</v>
      </c>
      <c r="T519" s="4">
        <v>0</v>
      </c>
      <c r="U519" s="4" t="str">
        <f t="shared" si="112"/>
        <v>Nein</v>
      </c>
      <c r="V519" s="4">
        <f t="shared" si="113"/>
        <v>0</v>
      </c>
      <c r="W519" s="19">
        <f t="shared" si="114"/>
        <v>1.99</v>
      </c>
      <c r="X519" s="5">
        <v>0</v>
      </c>
      <c r="Y519" s="28">
        <f t="shared" si="115"/>
        <v>0</v>
      </c>
      <c r="Z519" s="31" t="s">
        <v>172</v>
      </c>
      <c r="AA519" t="str">
        <f t="shared" si="116"/>
        <v>Prozessfehler</v>
      </c>
    </row>
    <row r="520" spans="1:27" x14ac:dyDescent="0.35">
      <c r="A520" s="32" t="s">
        <v>16</v>
      </c>
      <c r="B520" s="2" t="str">
        <f>VLOOKUP(A520,Stammdaten!$A$3:$B$7,2,FALSE)</f>
        <v>Filiale Ost</v>
      </c>
      <c r="C520" s="3" t="str" cm="1">
        <f t="array" ref="C520">INDEX(Stammdaten!$A$11:$A$25,INT((ROW()-5)/12)+1 - INT((ROW()-5)/180)*15)</f>
        <v>A013</v>
      </c>
      <c r="D520" s="2" t="str">
        <f>VLOOKUP(C520,Stammdaten!$A$11:$B$25,2,FALSE)</f>
        <v>Skyr 450g</v>
      </c>
      <c r="E520" s="3" t="str">
        <f>VLOOKUP(C520,Stammdaten!$A$11:$C$25,3,FALSE)</f>
        <v>Joghurt</v>
      </c>
      <c r="F520" s="19">
        <f>VLOOKUP(C520,Stammdaten!$A$11:$D$25,4,FALSE)</f>
        <v>1.99</v>
      </c>
      <c r="G520" s="4">
        <f t="shared" si="104"/>
        <v>12</v>
      </c>
      <c r="H520" s="20" t="str">
        <f>VLOOKUP(G520,Stammdaten!$A$30:$B$41,2,FALSE)</f>
        <v>Dezember</v>
      </c>
      <c r="I520" s="4">
        <v>324</v>
      </c>
      <c r="J520" s="4">
        <v>313</v>
      </c>
      <c r="K520" s="4">
        <f t="shared" si="105"/>
        <v>-11</v>
      </c>
      <c r="L520" s="27">
        <f t="shared" si="106"/>
        <v>-3.3950617283950617</v>
      </c>
      <c r="M520" s="52" t="str">
        <f t="shared" si="107"/>
        <v>Schwund</v>
      </c>
      <c r="N520" s="28">
        <f t="shared" si="108"/>
        <v>21.89</v>
      </c>
      <c r="O520" s="5">
        <v>8</v>
      </c>
      <c r="P520" s="4">
        <v>6</v>
      </c>
      <c r="Q520" s="28">
        <f t="shared" si="109"/>
        <v>5.4725000000000001</v>
      </c>
      <c r="R520" s="50">
        <f t="shared" si="110"/>
        <v>6.5670000000000002</v>
      </c>
      <c r="S520" s="2" t="str">
        <f t="shared" si="111"/>
        <v>Weihnachten/Silvester</v>
      </c>
      <c r="T520" s="4">
        <v>0</v>
      </c>
      <c r="U520" s="4" t="str">
        <f t="shared" si="112"/>
        <v>Nein</v>
      </c>
      <c r="V520" s="4">
        <f t="shared" si="113"/>
        <v>0</v>
      </c>
      <c r="W520" s="19">
        <f t="shared" si="114"/>
        <v>1.99</v>
      </c>
      <c r="X520" s="5">
        <v>0</v>
      </c>
      <c r="Y520" s="28">
        <f t="shared" si="115"/>
        <v>0</v>
      </c>
      <c r="Z520" s="31" t="s">
        <v>172</v>
      </c>
      <c r="AA520" t="str">
        <f t="shared" si="116"/>
        <v>Prozessfehler</v>
      </c>
    </row>
    <row r="521" spans="1:27" x14ac:dyDescent="0.35">
      <c r="A521" s="32" t="s">
        <v>16</v>
      </c>
      <c r="B521" s="2" t="str">
        <f>VLOOKUP(A521,Stammdaten!$A$3:$B$7,2,FALSE)</f>
        <v>Filiale Ost</v>
      </c>
      <c r="C521" s="3" t="str" cm="1">
        <f t="array" ref="C521">INDEX(Stammdaten!$A$11:$A$25,INT((ROW()-5)/12)+1 - INT((ROW()-5)/180)*15)</f>
        <v>A014</v>
      </c>
      <c r="D521" s="2" t="str">
        <f>VLOOKUP(C521,Stammdaten!$A$11:$B$25,2,FALSE)</f>
        <v>Kefir 500ml</v>
      </c>
      <c r="E521" s="3" t="str">
        <f>VLOOKUP(C521,Stammdaten!$A$11:$C$25,3,FALSE)</f>
        <v>Milch</v>
      </c>
      <c r="F521" s="19">
        <f>VLOOKUP(C521,Stammdaten!$A$11:$D$25,4,FALSE)</f>
        <v>1.39</v>
      </c>
      <c r="G521" s="4">
        <f t="shared" si="104"/>
        <v>1</v>
      </c>
      <c r="H521" s="20" t="str">
        <f>VLOOKUP(G521,Stammdaten!$A$30:$B$41,2,FALSE)</f>
        <v>Januar</v>
      </c>
      <c r="I521" s="4">
        <v>120</v>
      </c>
      <c r="J521" s="4">
        <v>116</v>
      </c>
      <c r="K521" s="4">
        <f t="shared" si="105"/>
        <v>-4</v>
      </c>
      <c r="L521" s="27">
        <f t="shared" si="106"/>
        <v>-3.3333333333333335</v>
      </c>
      <c r="M521" s="52" t="str">
        <f t="shared" si="107"/>
        <v>Schwund</v>
      </c>
      <c r="N521" s="28">
        <f t="shared" si="108"/>
        <v>5.56</v>
      </c>
      <c r="O521" s="5">
        <v>7</v>
      </c>
      <c r="P521" s="4">
        <v>2</v>
      </c>
      <c r="Q521" s="28">
        <f t="shared" si="109"/>
        <v>1.39</v>
      </c>
      <c r="R521" s="50">
        <f t="shared" si="110"/>
        <v>1.6679999999999999</v>
      </c>
      <c r="S521" s="2" t="str">
        <f t="shared" si="111"/>
        <v>Normal</v>
      </c>
      <c r="T521" s="4">
        <v>0</v>
      </c>
      <c r="U521" s="4" t="str">
        <f t="shared" si="112"/>
        <v>Nein</v>
      </c>
      <c r="V521" s="4">
        <f t="shared" si="113"/>
        <v>0</v>
      </c>
      <c r="W521" s="19">
        <f t="shared" si="114"/>
        <v>1.39</v>
      </c>
      <c r="X521" s="5">
        <v>0</v>
      </c>
      <c r="Y521" s="28">
        <f t="shared" si="115"/>
        <v>0</v>
      </c>
      <c r="Z521" s="31" t="s">
        <v>172</v>
      </c>
      <c r="AA521" t="str">
        <f t="shared" si="116"/>
        <v>Prozessfehler</v>
      </c>
    </row>
    <row r="522" spans="1:27" x14ac:dyDescent="0.35">
      <c r="A522" s="32" t="s">
        <v>16</v>
      </c>
      <c r="B522" s="2" t="str">
        <f>VLOOKUP(A522,Stammdaten!$A$3:$B$7,2,FALSE)</f>
        <v>Filiale Ost</v>
      </c>
      <c r="C522" s="3" t="str" cm="1">
        <f t="array" ref="C522">INDEX(Stammdaten!$A$11:$A$25,INT((ROW()-5)/12)+1 - INT((ROW()-5)/180)*15)</f>
        <v>A014</v>
      </c>
      <c r="D522" s="2" t="str">
        <f>VLOOKUP(C522,Stammdaten!$A$11:$B$25,2,FALSE)</f>
        <v>Kefir 500ml</v>
      </c>
      <c r="E522" s="3" t="str">
        <f>VLOOKUP(C522,Stammdaten!$A$11:$C$25,3,FALSE)</f>
        <v>Milch</v>
      </c>
      <c r="F522" s="19">
        <f>VLOOKUP(C522,Stammdaten!$A$11:$D$25,4,FALSE)</f>
        <v>1.39</v>
      </c>
      <c r="G522" s="4">
        <f t="shared" si="104"/>
        <v>2</v>
      </c>
      <c r="H522" s="20" t="str">
        <f>VLOOKUP(G522,Stammdaten!$A$30:$B$41,2,FALSE)</f>
        <v>Februar</v>
      </c>
      <c r="I522" s="4">
        <v>119</v>
      </c>
      <c r="J522" s="4">
        <v>115</v>
      </c>
      <c r="K522" s="4">
        <f t="shared" si="105"/>
        <v>-4</v>
      </c>
      <c r="L522" s="27">
        <f t="shared" si="106"/>
        <v>-3.3613445378151261</v>
      </c>
      <c r="M522" s="52" t="str">
        <f t="shared" si="107"/>
        <v>Schwund</v>
      </c>
      <c r="N522" s="28">
        <f t="shared" si="108"/>
        <v>5.56</v>
      </c>
      <c r="O522" s="5">
        <v>1</v>
      </c>
      <c r="P522" s="4">
        <v>4</v>
      </c>
      <c r="Q522" s="28">
        <f t="shared" si="109"/>
        <v>1.39</v>
      </c>
      <c r="R522" s="50">
        <f t="shared" si="110"/>
        <v>1.6679999999999999</v>
      </c>
      <c r="S522" s="2" t="str">
        <f t="shared" si="111"/>
        <v>Karneval</v>
      </c>
      <c r="T522" s="4">
        <v>0</v>
      </c>
      <c r="U522" s="4" t="str">
        <f t="shared" si="112"/>
        <v>Ja - 20% Reduzierung</v>
      </c>
      <c r="V522" s="4">
        <f t="shared" si="113"/>
        <v>20</v>
      </c>
      <c r="W522" s="19">
        <f t="shared" si="114"/>
        <v>1.1100000000000001</v>
      </c>
      <c r="X522" s="5">
        <v>12</v>
      </c>
      <c r="Y522" s="28">
        <f t="shared" si="115"/>
        <v>3.34</v>
      </c>
      <c r="Z522" s="31" t="s">
        <v>173</v>
      </c>
      <c r="AA522" t="str">
        <f t="shared" si="116"/>
        <v>Prozessfehler</v>
      </c>
    </row>
    <row r="523" spans="1:27" x14ac:dyDescent="0.35">
      <c r="A523" s="32" t="s">
        <v>16</v>
      </c>
      <c r="B523" s="2" t="str">
        <f>VLOOKUP(A523,Stammdaten!$A$3:$B$7,2,FALSE)</f>
        <v>Filiale Ost</v>
      </c>
      <c r="C523" s="3" t="str" cm="1">
        <f t="array" ref="C523">INDEX(Stammdaten!$A$11:$A$25,INT((ROW()-5)/12)+1 - INT((ROW()-5)/180)*15)</f>
        <v>A014</v>
      </c>
      <c r="D523" s="2" t="str">
        <f>VLOOKUP(C523,Stammdaten!$A$11:$B$25,2,FALSE)</f>
        <v>Kefir 500ml</v>
      </c>
      <c r="E523" s="3" t="str">
        <f>VLOOKUP(C523,Stammdaten!$A$11:$C$25,3,FALSE)</f>
        <v>Milch</v>
      </c>
      <c r="F523" s="19">
        <f>VLOOKUP(C523,Stammdaten!$A$11:$D$25,4,FALSE)</f>
        <v>1.39</v>
      </c>
      <c r="G523" s="4">
        <f t="shared" si="104"/>
        <v>3</v>
      </c>
      <c r="H523" s="20" t="str">
        <f>VLOOKUP(G523,Stammdaten!$A$30:$B$41,2,FALSE)</f>
        <v>März</v>
      </c>
      <c r="I523" s="4">
        <v>149</v>
      </c>
      <c r="J523" s="4">
        <v>143</v>
      </c>
      <c r="K523" s="4">
        <f t="shared" si="105"/>
        <v>-6</v>
      </c>
      <c r="L523" s="27">
        <f t="shared" si="106"/>
        <v>-4.0268456375838921</v>
      </c>
      <c r="M523" s="52" t="str">
        <f t="shared" si="107"/>
        <v>Schwund</v>
      </c>
      <c r="N523" s="28">
        <f t="shared" si="108"/>
        <v>8.34</v>
      </c>
      <c r="O523" s="5">
        <v>10</v>
      </c>
      <c r="P523" s="4">
        <v>1</v>
      </c>
      <c r="Q523" s="28">
        <f t="shared" si="109"/>
        <v>2.085</v>
      </c>
      <c r="R523" s="50">
        <f t="shared" si="110"/>
        <v>2.5019999999999998</v>
      </c>
      <c r="S523" s="2" t="str">
        <f t="shared" si="111"/>
        <v>Normal</v>
      </c>
      <c r="T523" s="4">
        <v>0</v>
      </c>
      <c r="U523" s="4" t="str">
        <f t="shared" si="112"/>
        <v>Nein</v>
      </c>
      <c r="V523" s="4">
        <f t="shared" si="113"/>
        <v>0</v>
      </c>
      <c r="W523" s="19">
        <f t="shared" si="114"/>
        <v>1.39</v>
      </c>
      <c r="X523" s="5">
        <v>0</v>
      </c>
      <c r="Y523" s="28">
        <f t="shared" si="115"/>
        <v>0</v>
      </c>
      <c r="Z523" s="31" t="s">
        <v>172</v>
      </c>
      <c r="AA523" t="str">
        <f t="shared" si="116"/>
        <v>Buchungsfehler Wareneingang</v>
      </c>
    </row>
    <row r="524" spans="1:27" x14ac:dyDescent="0.35">
      <c r="A524" s="32" t="s">
        <v>16</v>
      </c>
      <c r="B524" s="2" t="str">
        <f>VLOOKUP(A524,Stammdaten!$A$3:$B$7,2,FALSE)</f>
        <v>Filiale Ost</v>
      </c>
      <c r="C524" s="3" t="str" cm="1">
        <f t="array" ref="C524">INDEX(Stammdaten!$A$11:$A$25,INT((ROW()-5)/12)+1 - INT((ROW()-5)/180)*15)</f>
        <v>A014</v>
      </c>
      <c r="D524" s="2" t="str">
        <f>VLOOKUP(C524,Stammdaten!$A$11:$B$25,2,FALSE)</f>
        <v>Kefir 500ml</v>
      </c>
      <c r="E524" s="3" t="str">
        <f>VLOOKUP(C524,Stammdaten!$A$11:$C$25,3,FALSE)</f>
        <v>Milch</v>
      </c>
      <c r="F524" s="19">
        <f>VLOOKUP(C524,Stammdaten!$A$11:$D$25,4,FALSE)</f>
        <v>1.39</v>
      </c>
      <c r="G524" s="4">
        <f t="shared" si="104"/>
        <v>4</v>
      </c>
      <c r="H524" s="20" t="str">
        <f>VLOOKUP(G524,Stammdaten!$A$30:$B$41,2,FALSE)</f>
        <v>April</v>
      </c>
      <c r="I524" s="4">
        <v>164</v>
      </c>
      <c r="J524" s="4">
        <v>159</v>
      </c>
      <c r="K524" s="4">
        <f t="shared" si="105"/>
        <v>-5</v>
      </c>
      <c r="L524" s="27">
        <f t="shared" si="106"/>
        <v>-3.0487804878048781</v>
      </c>
      <c r="M524" s="52" t="str">
        <f t="shared" si="107"/>
        <v>Schwund</v>
      </c>
      <c r="N524" s="28">
        <f t="shared" si="108"/>
        <v>6.9499999999999993</v>
      </c>
      <c r="O524" s="5">
        <v>9</v>
      </c>
      <c r="P524" s="4">
        <v>4</v>
      </c>
      <c r="Q524" s="28">
        <f t="shared" si="109"/>
        <v>1.7374999999999998</v>
      </c>
      <c r="R524" s="50">
        <f t="shared" si="110"/>
        <v>2.0849999999999995</v>
      </c>
      <c r="S524" s="2" t="str">
        <f t="shared" si="111"/>
        <v>Ostern</v>
      </c>
      <c r="T524" s="4">
        <v>0</v>
      </c>
      <c r="U524" s="4" t="str">
        <f t="shared" si="112"/>
        <v>Nein</v>
      </c>
      <c r="V524" s="4">
        <f t="shared" si="113"/>
        <v>0</v>
      </c>
      <c r="W524" s="19">
        <f t="shared" si="114"/>
        <v>1.39</v>
      </c>
      <c r="X524" s="5">
        <v>0</v>
      </c>
      <c r="Y524" s="28">
        <f t="shared" si="115"/>
        <v>0</v>
      </c>
      <c r="Z524" s="31" t="s">
        <v>172</v>
      </c>
      <c r="AA524" t="str">
        <f t="shared" si="116"/>
        <v>Prozessfehler</v>
      </c>
    </row>
    <row r="525" spans="1:27" x14ac:dyDescent="0.35">
      <c r="A525" s="32" t="s">
        <v>16</v>
      </c>
      <c r="B525" s="2" t="str">
        <f>VLOOKUP(A525,Stammdaten!$A$3:$B$7,2,FALSE)</f>
        <v>Filiale Ost</v>
      </c>
      <c r="C525" s="3" t="str" cm="1">
        <f t="array" ref="C525">INDEX(Stammdaten!$A$11:$A$25,INT((ROW()-5)/12)+1 - INT((ROW()-5)/180)*15)</f>
        <v>A014</v>
      </c>
      <c r="D525" s="2" t="str">
        <f>VLOOKUP(C525,Stammdaten!$A$11:$B$25,2,FALSE)</f>
        <v>Kefir 500ml</v>
      </c>
      <c r="E525" s="3" t="str">
        <f>VLOOKUP(C525,Stammdaten!$A$11:$C$25,3,FALSE)</f>
        <v>Milch</v>
      </c>
      <c r="F525" s="19">
        <f>VLOOKUP(C525,Stammdaten!$A$11:$D$25,4,FALSE)</f>
        <v>1.39</v>
      </c>
      <c r="G525" s="4">
        <f t="shared" si="104"/>
        <v>5</v>
      </c>
      <c r="H525" s="20" t="str">
        <f>VLOOKUP(G525,Stammdaten!$A$30:$B$41,2,FALSE)</f>
        <v>Mai</v>
      </c>
      <c r="I525" s="4">
        <v>134</v>
      </c>
      <c r="J525" s="4">
        <v>142</v>
      </c>
      <c r="K525" s="4">
        <f t="shared" si="105"/>
        <v>8</v>
      </c>
      <c r="L525" s="27">
        <f t="shared" si="106"/>
        <v>5.9701492537313428</v>
      </c>
      <c r="M525" s="52" t="str">
        <f t="shared" si="107"/>
        <v>Überbestand</v>
      </c>
      <c r="N525" s="28">
        <f t="shared" si="108"/>
        <v>11.12</v>
      </c>
      <c r="O525" s="5">
        <v>4</v>
      </c>
      <c r="P525" s="4">
        <v>0</v>
      </c>
      <c r="Q525" s="28">
        <f t="shared" si="109"/>
        <v>0</v>
      </c>
      <c r="R525" s="50">
        <f t="shared" si="110"/>
        <v>0</v>
      </c>
      <c r="S525" s="2" t="str">
        <f t="shared" si="111"/>
        <v>Normal</v>
      </c>
      <c r="T525" s="4">
        <v>8</v>
      </c>
      <c r="U525" s="4" t="str">
        <f t="shared" si="112"/>
        <v>Nein</v>
      </c>
      <c r="V525" s="4">
        <f t="shared" si="113"/>
        <v>0</v>
      </c>
      <c r="W525" s="19">
        <f t="shared" si="114"/>
        <v>1.39</v>
      </c>
      <c r="X525" s="5">
        <v>0</v>
      </c>
      <c r="Y525" s="28">
        <f t="shared" si="115"/>
        <v>0</v>
      </c>
      <c r="Z525" s="31" t="s">
        <v>172</v>
      </c>
      <c r="AA525" t="str">
        <f t="shared" si="116"/>
        <v>Kassenfehler (Überbestand)</v>
      </c>
    </row>
    <row r="526" spans="1:27" x14ac:dyDescent="0.35">
      <c r="A526" s="32" t="s">
        <v>16</v>
      </c>
      <c r="B526" s="2" t="str">
        <f>VLOOKUP(A526,Stammdaten!$A$3:$B$7,2,FALSE)</f>
        <v>Filiale Ost</v>
      </c>
      <c r="C526" s="3" t="str" cm="1">
        <f t="array" ref="C526">INDEX(Stammdaten!$A$11:$A$25,INT((ROW()-5)/12)+1 - INT((ROW()-5)/180)*15)</f>
        <v>A014</v>
      </c>
      <c r="D526" s="2" t="str">
        <f>VLOOKUP(C526,Stammdaten!$A$11:$B$25,2,FALSE)</f>
        <v>Kefir 500ml</v>
      </c>
      <c r="E526" s="3" t="str">
        <f>VLOOKUP(C526,Stammdaten!$A$11:$C$25,3,FALSE)</f>
        <v>Milch</v>
      </c>
      <c r="F526" s="19">
        <f>VLOOKUP(C526,Stammdaten!$A$11:$D$25,4,FALSE)</f>
        <v>1.39</v>
      </c>
      <c r="G526" s="4">
        <f t="shared" si="104"/>
        <v>6</v>
      </c>
      <c r="H526" s="20" t="str">
        <f>VLOOKUP(G526,Stammdaten!$A$30:$B$41,2,FALSE)</f>
        <v>Juni</v>
      </c>
      <c r="I526" s="4">
        <v>143</v>
      </c>
      <c r="J526" s="4">
        <v>138</v>
      </c>
      <c r="K526" s="4">
        <f t="shared" si="105"/>
        <v>-5</v>
      </c>
      <c r="L526" s="27">
        <f t="shared" si="106"/>
        <v>-3.4965034965034967</v>
      </c>
      <c r="M526" s="52" t="str">
        <f t="shared" si="107"/>
        <v>Schwund</v>
      </c>
      <c r="N526" s="28">
        <f t="shared" si="108"/>
        <v>6.9499999999999993</v>
      </c>
      <c r="O526" s="5">
        <v>5</v>
      </c>
      <c r="P526" s="4">
        <v>0</v>
      </c>
      <c r="Q526" s="28">
        <f t="shared" si="109"/>
        <v>1.7374999999999998</v>
      </c>
      <c r="R526" s="50">
        <f t="shared" si="110"/>
        <v>2.0849999999999995</v>
      </c>
      <c r="S526" s="2" t="str">
        <f t="shared" si="111"/>
        <v>Normal</v>
      </c>
      <c r="T526" s="4">
        <v>0</v>
      </c>
      <c r="U526" s="4" t="str">
        <f t="shared" si="112"/>
        <v>Nein</v>
      </c>
      <c r="V526" s="4">
        <f t="shared" si="113"/>
        <v>0</v>
      </c>
      <c r="W526" s="19">
        <f t="shared" si="114"/>
        <v>1.39</v>
      </c>
      <c r="X526" s="5">
        <v>0</v>
      </c>
      <c r="Y526" s="28">
        <f t="shared" si="115"/>
        <v>0</v>
      </c>
      <c r="Z526" s="31" t="s">
        <v>172</v>
      </c>
      <c r="AA526" t="str">
        <f t="shared" si="116"/>
        <v>Buchungsfehler Wareneingang</v>
      </c>
    </row>
    <row r="527" spans="1:27" x14ac:dyDescent="0.35">
      <c r="A527" s="32" t="s">
        <v>16</v>
      </c>
      <c r="B527" s="2" t="str">
        <f>VLOOKUP(A527,Stammdaten!$A$3:$B$7,2,FALSE)</f>
        <v>Filiale Ost</v>
      </c>
      <c r="C527" s="3" t="str" cm="1">
        <f t="array" ref="C527">INDEX(Stammdaten!$A$11:$A$25,INT((ROW()-5)/12)+1 - INT((ROW()-5)/180)*15)</f>
        <v>A014</v>
      </c>
      <c r="D527" s="2" t="str">
        <f>VLOOKUP(C527,Stammdaten!$A$11:$B$25,2,FALSE)</f>
        <v>Kefir 500ml</v>
      </c>
      <c r="E527" s="3" t="str">
        <f>VLOOKUP(C527,Stammdaten!$A$11:$C$25,3,FALSE)</f>
        <v>Milch</v>
      </c>
      <c r="F527" s="19">
        <f>VLOOKUP(C527,Stammdaten!$A$11:$D$25,4,FALSE)</f>
        <v>1.39</v>
      </c>
      <c r="G527" s="4">
        <f t="shared" si="104"/>
        <v>7</v>
      </c>
      <c r="H527" s="20" t="str">
        <f>VLOOKUP(G527,Stammdaten!$A$30:$B$41,2,FALSE)</f>
        <v>Juli</v>
      </c>
      <c r="I527" s="4">
        <v>162</v>
      </c>
      <c r="J527" s="4">
        <v>157</v>
      </c>
      <c r="K527" s="4">
        <f t="shared" si="105"/>
        <v>-5</v>
      </c>
      <c r="L527" s="27">
        <f t="shared" si="106"/>
        <v>-3.0864197530864197</v>
      </c>
      <c r="M527" s="52" t="str">
        <f t="shared" si="107"/>
        <v>Schwund</v>
      </c>
      <c r="N527" s="28">
        <f t="shared" si="108"/>
        <v>6.9499999999999993</v>
      </c>
      <c r="O527" s="5">
        <v>7</v>
      </c>
      <c r="P527" s="4">
        <v>1</v>
      </c>
      <c r="Q527" s="28">
        <f t="shared" si="109"/>
        <v>1.7374999999999998</v>
      </c>
      <c r="R527" s="50">
        <f t="shared" si="110"/>
        <v>2.0849999999999995</v>
      </c>
      <c r="S527" s="2" t="str">
        <f t="shared" si="111"/>
        <v>Normal</v>
      </c>
      <c r="T527" s="4">
        <v>0</v>
      </c>
      <c r="U527" s="4" t="str">
        <f t="shared" si="112"/>
        <v>Nein</v>
      </c>
      <c r="V527" s="4">
        <f t="shared" si="113"/>
        <v>0</v>
      </c>
      <c r="W527" s="19">
        <f t="shared" si="114"/>
        <v>1.39</v>
      </c>
      <c r="X527" s="5">
        <v>0</v>
      </c>
      <c r="Y527" s="28">
        <f t="shared" si="115"/>
        <v>0</v>
      </c>
      <c r="Z527" s="31" t="s">
        <v>172</v>
      </c>
      <c r="AA527" t="str">
        <f t="shared" si="116"/>
        <v>Buchungsfehler Wareneingang</v>
      </c>
    </row>
    <row r="528" spans="1:27" x14ac:dyDescent="0.35">
      <c r="A528" s="32" t="s">
        <v>16</v>
      </c>
      <c r="B528" s="2" t="str">
        <f>VLOOKUP(A528,Stammdaten!$A$3:$B$7,2,FALSE)</f>
        <v>Filiale Ost</v>
      </c>
      <c r="C528" s="3" t="str" cm="1">
        <f t="array" ref="C528">INDEX(Stammdaten!$A$11:$A$25,INT((ROW()-5)/12)+1 - INT((ROW()-5)/180)*15)</f>
        <v>A014</v>
      </c>
      <c r="D528" s="2" t="str">
        <f>VLOOKUP(C528,Stammdaten!$A$11:$B$25,2,FALSE)</f>
        <v>Kefir 500ml</v>
      </c>
      <c r="E528" s="3" t="str">
        <f>VLOOKUP(C528,Stammdaten!$A$11:$C$25,3,FALSE)</f>
        <v>Milch</v>
      </c>
      <c r="F528" s="19">
        <f>VLOOKUP(C528,Stammdaten!$A$11:$D$25,4,FALSE)</f>
        <v>1.39</v>
      </c>
      <c r="G528" s="4">
        <f t="shared" si="104"/>
        <v>8</v>
      </c>
      <c r="H528" s="20" t="str">
        <f>VLOOKUP(G528,Stammdaten!$A$30:$B$41,2,FALSE)</f>
        <v>August</v>
      </c>
      <c r="I528" s="4">
        <v>155</v>
      </c>
      <c r="J528" s="4">
        <v>150</v>
      </c>
      <c r="K528" s="4">
        <f t="shared" si="105"/>
        <v>-5</v>
      </c>
      <c r="L528" s="27">
        <f t="shared" si="106"/>
        <v>-3.225806451612903</v>
      </c>
      <c r="M528" s="52" t="str">
        <f t="shared" si="107"/>
        <v>Schwund</v>
      </c>
      <c r="N528" s="28">
        <f t="shared" si="108"/>
        <v>6.9499999999999993</v>
      </c>
      <c r="O528" s="5">
        <v>6</v>
      </c>
      <c r="P528" s="4">
        <v>2</v>
      </c>
      <c r="Q528" s="28">
        <f t="shared" si="109"/>
        <v>1.7374999999999998</v>
      </c>
      <c r="R528" s="50">
        <f t="shared" si="110"/>
        <v>2.0849999999999995</v>
      </c>
      <c r="S528" s="2" t="str">
        <f t="shared" si="111"/>
        <v>Normal</v>
      </c>
      <c r="T528" s="4">
        <v>0</v>
      </c>
      <c r="U528" s="4" t="str">
        <f t="shared" si="112"/>
        <v>Nein</v>
      </c>
      <c r="V528" s="4">
        <f t="shared" si="113"/>
        <v>0</v>
      </c>
      <c r="W528" s="19">
        <f t="shared" si="114"/>
        <v>1.39</v>
      </c>
      <c r="X528" s="5">
        <v>0</v>
      </c>
      <c r="Y528" s="28">
        <f t="shared" si="115"/>
        <v>0</v>
      </c>
      <c r="Z528" s="31" t="s">
        <v>172</v>
      </c>
      <c r="AA528" t="str">
        <f t="shared" si="116"/>
        <v>Prozessfehler</v>
      </c>
    </row>
    <row r="529" spans="1:27" x14ac:dyDescent="0.35">
      <c r="A529" s="32" t="s">
        <v>16</v>
      </c>
      <c r="B529" s="2" t="str">
        <f>VLOOKUP(A529,Stammdaten!$A$3:$B$7,2,FALSE)</f>
        <v>Filiale Ost</v>
      </c>
      <c r="C529" s="3" t="str" cm="1">
        <f t="array" ref="C529">INDEX(Stammdaten!$A$11:$A$25,INT((ROW()-5)/12)+1 - INT((ROW()-5)/180)*15)</f>
        <v>A014</v>
      </c>
      <c r="D529" s="2" t="str">
        <f>VLOOKUP(C529,Stammdaten!$A$11:$B$25,2,FALSE)</f>
        <v>Kefir 500ml</v>
      </c>
      <c r="E529" s="3" t="str">
        <f>VLOOKUP(C529,Stammdaten!$A$11:$C$25,3,FALSE)</f>
        <v>Milch</v>
      </c>
      <c r="F529" s="19">
        <f>VLOOKUP(C529,Stammdaten!$A$11:$D$25,4,FALSE)</f>
        <v>1.39</v>
      </c>
      <c r="G529" s="4">
        <f t="shared" si="104"/>
        <v>9</v>
      </c>
      <c r="H529" s="20" t="str">
        <f>VLOOKUP(G529,Stammdaten!$A$30:$B$41,2,FALSE)</f>
        <v>September</v>
      </c>
      <c r="I529" s="4">
        <v>124</v>
      </c>
      <c r="J529" s="4">
        <v>119</v>
      </c>
      <c r="K529" s="4">
        <f t="shared" si="105"/>
        <v>-5</v>
      </c>
      <c r="L529" s="27">
        <f t="shared" si="106"/>
        <v>-4.032258064516129</v>
      </c>
      <c r="M529" s="52" t="str">
        <f t="shared" si="107"/>
        <v>Schwund</v>
      </c>
      <c r="N529" s="28">
        <f t="shared" si="108"/>
        <v>6.9499999999999993</v>
      </c>
      <c r="O529" s="5">
        <v>7</v>
      </c>
      <c r="P529" s="4">
        <v>0</v>
      </c>
      <c r="Q529" s="28">
        <f t="shared" si="109"/>
        <v>1.7374999999999998</v>
      </c>
      <c r="R529" s="50">
        <f t="shared" si="110"/>
        <v>2.0849999999999995</v>
      </c>
      <c r="S529" s="2" t="str">
        <f t="shared" si="111"/>
        <v>Normal</v>
      </c>
      <c r="T529" s="4">
        <v>0</v>
      </c>
      <c r="U529" s="4" t="str">
        <f t="shared" si="112"/>
        <v>Nein</v>
      </c>
      <c r="V529" s="4">
        <f t="shared" si="113"/>
        <v>0</v>
      </c>
      <c r="W529" s="19">
        <f t="shared" si="114"/>
        <v>1.39</v>
      </c>
      <c r="X529" s="5">
        <v>0</v>
      </c>
      <c r="Y529" s="28">
        <f t="shared" si="115"/>
        <v>0</v>
      </c>
      <c r="Z529" s="31" t="s">
        <v>172</v>
      </c>
      <c r="AA529" t="str">
        <f t="shared" si="116"/>
        <v>Buchungsfehler Wareneingang</v>
      </c>
    </row>
    <row r="530" spans="1:27" x14ac:dyDescent="0.35">
      <c r="A530" s="32" t="s">
        <v>16</v>
      </c>
      <c r="B530" s="2" t="str">
        <f>VLOOKUP(A530,Stammdaten!$A$3:$B$7,2,FALSE)</f>
        <v>Filiale Ost</v>
      </c>
      <c r="C530" s="3" t="str" cm="1">
        <f t="array" ref="C530">INDEX(Stammdaten!$A$11:$A$25,INT((ROW()-5)/12)+1 - INT((ROW()-5)/180)*15)</f>
        <v>A014</v>
      </c>
      <c r="D530" s="2" t="str">
        <f>VLOOKUP(C530,Stammdaten!$A$11:$B$25,2,FALSE)</f>
        <v>Kefir 500ml</v>
      </c>
      <c r="E530" s="3" t="str">
        <f>VLOOKUP(C530,Stammdaten!$A$11:$C$25,3,FALSE)</f>
        <v>Milch</v>
      </c>
      <c r="F530" s="19">
        <f>VLOOKUP(C530,Stammdaten!$A$11:$D$25,4,FALSE)</f>
        <v>1.39</v>
      </c>
      <c r="G530" s="4">
        <f t="shared" si="104"/>
        <v>10</v>
      </c>
      <c r="H530" s="20" t="str">
        <f>VLOOKUP(G530,Stammdaten!$A$30:$B$41,2,FALSE)</f>
        <v>Oktober</v>
      </c>
      <c r="I530" s="4">
        <v>135</v>
      </c>
      <c r="J530" s="4">
        <v>131</v>
      </c>
      <c r="K530" s="4">
        <f t="shared" si="105"/>
        <v>-4</v>
      </c>
      <c r="L530" s="27">
        <f t="shared" si="106"/>
        <v>-2.9629629629629632</v>
      </c>
      <c r="M530" s="52" t="str">
        <f t="shared" si="107"/>
        <v>Schwund</v>
      </c>
      <c r="N530" s="28">
        <f t="shared" si="108"/>
        <v>5.56</v>
      </c>
      <c r="O530" s="5">
        <v>7</v>
      </c>
      <c r="P530" s="4">
        <v>2</v>
      </c>
      <c r="Q530" s="28">
        <f t="shared" si="109"/>
        <v>1.39</v>
      </c>
      <c r="R530" s="50">
        <f t="shared" si="110"/>
        <v>1.6679999999999999</v>
      </c>
      <c r="S530" s="2" t="str">
        <f t="shared" si="111"/>
        <v>Normal</v>
      </c>
      <c r="T530" s="4">
        <v>0</v>
      </c>
      <c r="U530" s="4" t="str">
        <f t="shared" si="112"/>
        <v>Nein</v>
      </c>
      <c r="V530" s="4">
        <f t="shared" si="113"/>
        <v>0</v>
      </c>
      <c r="W530" s="19">
        <f t="shared" si="114"/>
        <v>1.39</v>
      </c>
      <c r="X530" s="5">
        <v>0</v>
      </c>
      <c r="Y530" s="28">
        <f t="shared" si="115"/>
        <v>0</v>
      </c>
      <c r="Z530" s="31" t="s">
        <v>172</v>
      </c>
      <c r="AA530" t="str">
        <f t="shared" si="116"/>
        <v>Prozessfehler</v>
      </c>
    </row>
    <row r="531" spans="1:27" x14ac:dyDescent="0.35">
      <c r="A531" s="32" t="s">
        <v>16</v>
      </c>
      <c r="B531" s="2" t="str">
        <f>VLOOKUP(A531,Stammdaten!$A$3:$B$7,2,FALSE)</f>
        <v>Filiale Ost</v>
      </c>
      <c r="C531" s="3" t="str" cm="1">
        <f t="array" ref="C531">INDEX(Stammdaten!$A$11:$A$25,INT((ROW()-5)/12)+1 - INT((ROW()-5)/180)*15)</f>
        <v>A014</v>
      </c>
      <c r="D531" s="2" t="str">
        <f>VLOOKUP(C531,Stammdaten!$A$11:$B$25,2,FALSE)</f>
        <v>Kefir 500ml</v>
      </c>
      <c r="E531" s="3" t="str">
        <f>VLOOKUP(C531,Stammdaten!$A$11:$C$25,3,FALSE)</f>
        <v>Milch</v>
      </c>
      <c r="F531" s="19">
        <f>VLOOKUP(C531,Stammdaten!$A$11:$D$25,4,FALSE)</f>
        <v>1.39</v>
      </c>
      <c r="G531" s="4">
        <f t="shared" si="104"/>
        <v>11</v>
      </c>
      <c r="H531" s="20" t="str">
        <f>VLOOKUP(G531,Stammdaten!$A$30:$B$41,2,FALSE)</f>
        <v>November</v>
      </c>
      <c r="I531" s="4">
        <v>141</v>
      </c>
      <c r="J531" s="4">
        <v>135</v>
      </c>
      <c r="K531" s="4">
        <f t="shared" si="105"/>
        <v>-6</v>
      </c>
      <c r="L531" s="27">
        <f t="shared" si="106"/>
        <v>-4.2553191489361701</v>
      </c>
      <c r="M531" s="52" t="str">
        <f t="shared" si="107"/>
        <v>Schwund</v>
      </c>
      <c r="N531" s="28">
        <f t="shared" si="108"/>
        <v>8.34</v>
      </c>
      <c r="O531" s="5">
        <v>6</v>
      </c>
      <c r="P531" s="4">
        <v>0</v>
      </c>
      <c r="Q531" s="28">
        <f t="shared" si="109"/>
        <v>2.085</v>
      </c>
      <c r="R531" s="50">
        <f t="shared" si="110"/>
        <v>2.5019999999999998</v>
      </c>
      <c r="S531" s="2" t="str">
        <f t="shared" si="111"/>
        <v>Black Friday</v>
      </c>
      <c r="T531" s="4">
        <v>0</v>
      </c>
      <c r="U531" s="4" t="str">
        <f t="shared" si="112"/>
        <v>Nein</v>
      </c>
      <c r="V531" s="4">
        <f t="shared" si="113"/>
        <v>0</v>
      </c>
      <c r="W531" s="19">
        <f t="shared" si="114"/>
        <v>1.39</v>
      </c>
      <c r="X531" s="5">
        <v>0</v>
      </c>
      <c r="Y531" s="28">
        <f t="shared" si="115"/>
        <v>0</v>
      </c>
      <c r="Z531" s="31" t="s">
        <v>172</v>
      </c>
      <c r="AA531" t="str">
        <f t="shared" si="116"/>
        <v>Buchungsfehler Wareneingang</v>
      </c>
    </row>
    <row r="532" spans="1:27" x14ac:dyDescent="0.35">
      <c r="A532" s="32" t="s">
        <v>16</v>
      </c>
      <c r="B532" s="2" t="str">
        <f>VLOOKUP(A532,Stammdaten!$A$3:$B$7,2,FALSE)</f>
        <v>Filiale Ost</v>
      </c>
      <c r="C532" s="3" t="str" cm="1">
        <f t="array" ref="C532">INDEX(Stammdaten!$A$11:$A$25,INT((ROW()-5)/12)+1 - INT((ROW()-5)/180)*15)</f>
        <v>A014</v>
      </c>
      <c r="D532" s="2" t="str">
        <f>VLOOKUP(C532,Stammdaten!$A$11:$B$25,2,FALSE)</f>
        <v>Kefir 500ml</v>
      </c>
      <c r="E532" s="3" t="str">
        <f>VLOOKUP(C532,Stammdaten!$A$11:$C$25,3,FALSE)</f>
        <v>Milch</v>
      </c>
      <c r="F532" s="19">
        <f>VLOOKUP(C532,Stammdaten!$A$11:$D$25,4,FALSE)</f>
        <v>1.39</v>
      </c>
      <c r="G532" s="4">
        <f t="shared" si="104"/>
        <v>12</v>
      </c>
      <c r="H532" s="20" t="str">
        <f>VLOOKUP(G532,Stammdaten!$A$30:$B$41,2,FALSE)</f>
        <v>Dezember</v>
      </c>
      <c r="I532" s="4">
        <v>180</v>
      </c>
      <c r="J532" s="4">
        <v>172</v>
      </c>
      <c r="K532" s="4">
        <f t="shared" si="105"/>
        <v>-8</v>
      </c>
      <c r="L532" s="27">
        <f t="shared" si="106"/>
        <v>-4.4444444444444446</v>
      </c>
      <c r="M532" s="52" t="str">
        <f t="shared" si="107"/>
        <v>Schwund</v>
      </c>
      <c r="N532" s="28">
        <f t="shared" si="108"/>
        <v>11.12</v>
      </c>
      <c r="O532" s="5">
        <v>0</v>
      </c>
      <c r="P532" s="4">
        <v>0</v>
      </c>
      <c r="Q532" s="28">
        <f t="shared" si="109"/>
        <v>2.78</v>
      </c>
      <c r="R532" s="50">
        <f t="shared" si="110"/>
        <v>3.3359999999999999</v>
      </c>
      <c r="S532" s="2" t="str">
        <f t="shared" si="111"/>
        <v>Weihnachten/Silvester</v>
      </c>
      <c r="T532" s="4">
        <v>0</v>
      </c>
      <c r="U532" s="4" t="str">
        <f t="shared" si="112"/>
        <v>Abschreibung</v>
      </c>
      <c r="V532" s="4">
        <f t="shared" si="113"/>
        <v>100</v>
      </c>
      <c r="W532" s="19">
        <f t="shared" si="114"/>
        <v>0</v>
      </c>
      <c r="X532" s="5">
        <v>4</v>
      </c>
      <c r="Y532" s="28">
        <f t="shared" si="115"/>
        <v>5.56</v>
      </c>
      <c r="Z532" s="31" t="s">
        <v>173</v>
      </c>
      <c r="AA532" t="str">
        <f t="shared" si="116"/>
        <v>Verderb - Abgelaufen</v>
      </c>
    </row>
    <row r="533" spans="1:27" x14ac:dyDescent="0.35">
      <c r="A533" s="32" t="s">
        <v>16</v>
      </c>
      <c r="B533" s="2" t="str">
        <f>VLOOKUP(A533,Stammdaten!$A$3:$B$7,2,FALSE)</f>
        <v>Filiale Ost</v>
      </c>
      <c r="C533" s="3" t="str" cm="1">
        <f t="array" ref="C533">INDEX(Stammdaten!$A$11:$A$25,INT((ROW()-5)/12)+1 - INT((ROW()-5)/180)*15)</f>
        <v>A015</v>
      </c>
      <c r="D533" s="2" t="str">
        <f>VLOOKUP(C533,Stammdaten!$A$11:$B$25,2,FALSE)</f>
        <v>Frischkäse 200g</v>
      </c>
      <c r="E533" s="3" t="str">
        <f>VLOOKUP(C533,Stammdaten!$A$11:$C$25,3,FALSE)</f>
        <v>Käse</v>
      </c>
      <c r="F533" s="19">
        <f>VLOOKUP(C533,Stammdaten!$A$11:$D$25,4,FALSE)</f>
        <v>1.49</v>
      </c>
      <c r="G533" s="4">
        <f t="shared" si="104"/>
        <v>1</v>
      </c>
      <c r="H533" s="20" t="str">
        <f>VLOOKUP(G533,Stammdaten!$A$30:$B$41,2,FALSE)</f>
        <v>Januar</v>
      </c>
      <c r="I533" s="4">
        <v>154</v>
      </c>
      <c r="J533" s="4">
        <v>152</v>
      </c>
      <c r="K533" s="4">
        <f t="shared" si="105"/>
        <v>-2</v>
      </c>
      <c r="L533" s="27">
        <f t="shared" si="106"/>
        <v>-1.2987012987012987</v>
      </c>
      <c r="M533" s="52" t="str">
        <f t="shared" si="107"/>
        <v>Schwund</v>
      </c>
      <c r="N533" s="28">
        <f t="shared" si="108"/>
        <v>2.98</v>
      </c>
      <c r="O533" s="5">
        <v>0</v>
      </c>
      <c r="P533" s="4">
        <v>0</v>
      </c>
      <c r="Q533" s="28">
        <f t="shared" si="109"/>
        <v>0.745</v>
      </c>
      <c r="R533" s="50">
        <f t="shared" si="110"/>
        <v>0.89400000000000002</v>
      </c>
      <c r="S533" s="2" t="str">
        <f t="shared" si="111"/>
        <v>Normal</v>
      </c>
      <c r="T533" s="4">
        <v>0</v>
      </c>
      <c r="U533" s="4" t="str">
        <f t="shared" si="112"/>
        <v>Abschreibung</v>
      </c>
      <c r="V533" s="4">
        <f t="shared" si="113"/>
        <v>100</v>
      </c>
      <c r="W533" s="19">
        <f t="shared" si="114"/>
        <v>0</v>
      </c>
      <c r="X533" s="5">
        <v>5</v>
      </c>
      <c r="Y533" s="28">
        <f t="shared" si="115"/>
        <v>7.45</v>
      </c>
      <c r="Z533" s="31" t="s">
        <v>173</v>
      </c>
      <c r="AA533" t="str">
        <f t="shared" si="116"/>
        <v>Verderb - Abgelaufen</v>
      </c>
    </row>
    <row r="534" spans="1:27" x14ac:dyDescent="0.35">
      <c r="A534" s="32" t="s">
        <v>16</v>
      </c>
      <c r="B534" s="2" t="str">
        <f>VLOOKUP(A534,Stammdaten!$A$3:$B$7,2,FALSE)</f>
        <v>Filiale Ost</v>
      </c>
      <c r="C534" s="3" t="str" cm="1">
        <f t="array" ref="C534">INDEX(Stammdaten!$A$11:$A$25,INT((ROW()-5)/12)+1 - INT((ROW()-5)/180)*15)</f>
        <v>A015</v>
      </c>
      <c r="D534" s="2" t="str">
        <f>VLOOKUP(C534,Stammdaten!$A$11:$B$25,2,FALSE)</f>
        <v>Frischkäse 200g</v>
      </c>
      <c r="E534" s="3" t="str">
        <f>VLOOKUP(C534,Stammdaten!$A$11:$C$25,3,FALSE)</f>
        <v>Käse</v>
      </c>
      <c r="F534" s="19">
        <f>VLOOKUP(C534,Stammdaten!$A$11:$D$25,4,FALSE)</f>
        <v>1.49</v>
      </c>
      <c r="G534" s="4">
        <f t="shared" si="104"/>
        <v>2</v>
      </c>
      <c r="H534" s="20" t="str">
        <f>VLOOKUP(G534,Stammdaten!$A$30:$B$41,2,FALSE)</f>
        <v>Februar</v>
      </c>
      <c r="I534" s="4">
        <v>148</v>
      </c>
      <c r="J534" s="4">
        <v>145</v>
      </c>
      <c r="K534" s="4">
        <f t="shared" si="105"/>
        <v>-3</v>
      </c>
      <c r="L534" s="27">
        <f t="shared" si="106"/>
        <v>-2.0270270270270272</v>
      </c>
      <c r="M534" s="52" t="str">
        <f t="shared" si="107"/>
        <v>Schwund</v>
      </c>
      <c r="N534" s="28">
        <f t="shared" si="108"/>
        <v>4.47</v>
      </c>
      <c r="O534" s="5">
        <v>20</v>
      </c>
      <c r="P534" s="4">
        <v>6</v>
      </c>
      <c r="Q534" s="28">
        <f t="shared" si="109"/>
        <v>1.1174999999999999</v>
      </c>
      <c r="R534" s="50">
        <f t="shared" si="110"/>
        <v>1.341</v>
      </c>
      <c r="S534" s="2" t="str">
        <f t="shared" si="111"/>
        <v>Karneval</v>
      </c>
      <c r="T534" s="4">
        <v>0</v>
      </c>
      <c r="U534" s="4" t="str">
        <f t="shared" si="112"/>
        <v>Nein</v>
      </c>
      <c r="V534" s="4">
        <f t="shared" si="113"/>
        <v>0</v>
      </c>
      <c r="W534" s="19">
        <f t="shared" si="114"/>
        <v>1.49</v>
      </c>
      <c r="X534" s="5">
        <v>0</v>
      </c>
      <c r="Y534" s="28">
        <f t="shared" si="115"/>
        <v>0</v>
      </c>
      <c r="Z534" s="31" t="s">
        <v>172</v>
      </c>
      <c r="AA534" t="str">
        <f t="shared" si="116"/>
        <v>Prozessfehler</v>
      </c>
    </row>
    <row r="535" spans="1:27" x14ac:dyDescent="0.35">
      <c r="A535" s="32" t="s">
        <v>16</v>
      </c>
      <c r="B535" s="2" t="str">
        <f>VLOOKUP(A535,Stammdaten!$A$3:$B$7,2,FALSE)</f>
        <v>Filiale Ost</v>
      </c>
      <c r="C535" s="3" t="str" cm="1">
        <f t="array" ref="C535">INDEX(Stammdaten!$A$11:$A$25,INT((ROW()-5)/12)+1 - INT((ROW()-5)/180)*15)</f>
        <v>A015</v>
      </c>
      <c r="D535" s="2" t="str">
        <f>VLOOKUP(C535,Stammdaten!$A$11:$B$25,2,FALSE)</f>
        <v>Frischkäse 200g</v>
      </c>
      <c r="E535" s="3" t="str">
        <f>VLOOKUP(C535,Stammdaten!$A$11:$C$25,3,FALSE)</f>
        <v>Käse</v>
      </c>
      <c r="F535" s="19">
        <f>VLOOKUP(C535,Stammdaten!$A$11:$D$25,4,FALSE)</f>
        <v>1.49</v>
      </c>
      <c r="G535" s="4">
        <f t="shared" si="104"/>
        <v>3</v>
      </c>
      <c r="H535" s="20" t="str">
        <f>VLOOKUP(G535,Stammdaten!$A$30:$B$41,2,FALSE)</f>
        <v>März</v>
      </c>
      <c r="I535" s="4">
        <v>195</v>
      </c>
      <c r="J535" s="4">
        <v>192</v>
      </c>
      <c r="K535" s="4">
        <f t="shared" si="105"/>
        <v>-3</v>
      </c>
      <c r="L535" s="27">
        <f t="shared" si="106"/>
        <v>-1.5384615384615385</v>
      </c>
      <c r="M535" s="52" t="str">
        <f t="shared" si="107"/>
        <v>Schwund</v>
      </c>
      <c r="N535" s="28">
        <f t="shared" si="108"/>
        <v>4.47</v>
      </c>
      <c r="O535" s="5">
        <v>19</v>
      </c>
      <c r="P535" s="4">
        <v>4</v>
      </c>
      <c r="Q535" s="28">
        <f t="shared" si="109"/>
        <v>1.1174999999999999</v>
      </c>
      <c r="R535" s="50">
        <f t="shared" si="110"/>
        <v>1.341</v>
      </c>
      <c r="S535" s="2" t="str">
        <f t="shared" si="111"/>
        <v>Normal</v>
      </c>
      <c r="T535" s="4">
        <v>0</v>
      </c>
      <c r="U535" s="4" t="str">
        <f t="shared" si="112"/>
        <v>Nein</v>
      </c>
      <c r="V535" s="4">
        <f t="shared" si="113"/>
        <v>0</v>
      </c>
      <c r="W535" s="19">
        <f t="shared" si="114"/>
        <v>1.49</v>
      </c>
      <c r="X535" s="5">
        <v>0</v>
      </c>
      <c r="Y535" s="28">
        <f t="shared" si="115"/>
        <v>0</v>
      </c>
      <c r="Z535" s="31" t="s">
        <v>172</v>
      </c>
      <c r="AA535" t="str">
        <f t="shared" si="116"/>
        <v>Normal/Gering</v>
      </c>
    </row>
    <row r="536" spans="1:27" x14ac:dyDescent="0.35">
      <c r="A536" s="32" t="s">
        <v>16</v>
      </c>
      <c r="B536" s="2" t="str">
        <f>VLOOKUP(A536,Stammdaten!$A$3:$B$7,2,FALSE)</f>
        <v>Filiale Ost</v>
      </c>
      <c r="C536" s="3" t="str" cm="1">
        <f t="array" ref="C536">INDEX(Stammdaten!$A$11:$A$25,INT((ROW()-5)/12)+1 - INT((ROW()-5)/180)*15)</f>
        <v>A015</v>
      </c>
      <c r="D536" s="2" t="str">
        <f>VLOOKUP(C536,Stammdaten!$A$11:$B$25,2,FALSE)</f>
        <v>Frischkäse 200g</v>
      </c>
      <c r="E536" s="3" t="str">
        <f>VLOOKUP(C536,Stammdaten!$A$11:$C$25,3,FALSE)</f>
        <v>Käse</v>
      </c>
      <c r="F536" s="19">
        <f>VLOOKUP(C536,Stammdaten!$A$11:$D$25,4,FALSE)</f>
        <v>1.49</v>
      </c>
      <c r="G536" s="4">
        <f t="shared" si="104"/>
        <v>4</v>
      </c>
      <c r="H536" s="20" t="str">
        <f>VLOOKUP(G536,Stammdaten!$A$30:$B$41,2,FALSE)</f>
        <v>April</v>
      </c>
      <c r="I536" s="4">
        <v>232</v>
      </c>
      <c r="J536" s="4">
        <v>239</v>
      </c>
      <c r="K536" s="4">
        <f t="shared" si="105"/>
        <v>7</v>
      </c>
      <c r="L536" s="27">
        <f t="shared" si="106"/>
        <v>3.0172413793103448</v>
      </c>
      <c r="M536" s="52" t="str">
        <f t="shared" si="107"/>
        <v>Überbestand</v>
      </c>
      <c r="N536" s="28">
        <f t="shared" si="108"/>
        <v>10.43</v>
      </c>
      <c r="O536" s="5">
        <v>9</v>
      </c>
      <c r="P536" s="4">
        <v>3</v>
      </c>
      <c r="Q536" s="28">
        <f t="shared" si="109"/>
        <v>0</v>
      </c>
      <c r="R536" s="50">
        <f t="shared" si="110"/>
        <v>0</v>
      </c>
      <c r="S536" s="2" t="str">
        <f t="shared" si="111"/>
        <v>Ostern</v>
      </c>
      <c r="T536" s="4">
        <v>7</v>
      </c>
      <c r="U536" s="4" t="str">
        <f t="shared" si="112"/>
        <v>Nein</v>
      </c>
      <c r="V536" s="4">
        <f t="shared" si="113"/>
        <v>0</v>
      </c>
      <c r="W536" s="19">
        <f t="shared" si="114"/>
        <v>1.49</v>
      </c>
      <c r="X536" s="5">
        <v>0</v>
      </c>
      <c r="Y536" s="28">
        <f t="shared" si="115"/>
        <v>0</v>
      </c>
      <c r="Z536" s="31" t="s">
        <v>172</v>
      </c>
      <c r="AA536" t="str">
        <f t="shared" si="116"/>
        <v>Kassenfehler (Überbestand)</v>
      </c>
    </row>
    <row r="537" spans="1:27" x14ac:dyDescent="0.35">
      <c r="A537" s="32" t="s">
        <v>16</v>
      </c>
      <c r="B537" s="2" t="str">
        <f>VLOOKUP(A537,Stammdaten!$A$3:$B$7,2,FALSE)</f>
        <v>Filiale Ost</v>
      </c>
      <c r="C537" s="3" t="str" cm="1">
        <f t="array" ref="C537">INDEX(Stammdaten!$A$11:$A$25,INT((ROW()-5)/12)+1 - INT((ROW()-5)/180)*15)</f>
        <v>A015</v>
      </c>
      <c r="D537" s="2" t="str">
        <f>VLOOKUP(C537,Stammdaten!$A$11:$B$25,2,FALSE)</f>
        <v>Frischkäse 200g</v>
      </c>
      <c r="E537" s="3" t="str">
        <f>VLOOKUP(C537,Stammdaten!$A$11:$C$25,3,FALSE)</f>
        <v>Käse</v>
      </c>
      <c r="F537" s="19">
        <f>VLOOKUP(C537,Stammdaten!$A$11:$D$25,4,FALSE)</f>
        <v>1.49</v>
      </c>
      <c r="G537" s="4">
        <f t="shared" si="104"/>
        <v>5</v>
      </c>
      <c r="H537" s="20" t="str">
        <f>VLOOKUP(G537,Stammdaten!$A$30:$B$41,2,FALSE)</f>
        <v>Mai</v>
      </c>
      <c r="I537" s="4">
        <v>185</v>
      </c>
      <c r="J537" s="4">
        <v>180</v>
      </c>
      <c r="K537" s="4">
        <f t="shared" si="105"/>
        <v>-5</v>
      </c>
      <c r="L537" s="27">
        <f t="shared" si="106"/>
        <v>-2.7027027027027026</v>
      </c>
      <c r="M537" s="52" t="str">
        <f t="shared" si="107"/>
        <v>Schwund</v>
      </c>
      <c r="N537" s="28">
        <f t="shared" si="108"/>
        <v>7.45</v>
      </c>
      <c r="O537" s="5">
        <v>1</v>
      </c>
      <c r="P537" s="4">
        <v>5</v>
      </c>
      <c r="Q537" s="28">
        <f t="shared" si="109"/>
        <v>1.8625</v>
      </c>
      <c r="R537" s="50">
        <f t="shared" si="110"/>
        <v>2.2349999999999999</v>
      </c>
      <c r="S537" s="2" t="str">
        <f t="shared" si="111"/>
        <v>Normal</v>
      </c>
      <c r="T537" s="4">
        <v>0</v>
      </c>
      <c r="U537" s="4" t="str">
        <f t="shared" si="112"/>
        <v>Ja - 20% Reduzierung</v>
      </c>
      <c r="V537" s="4">
        <f t="shared" si="113"/>
        <v>20</v>
      </c>
      <c r="W537" s="19">
        <f t="shared" si="114"/>
        <v>1.19</v>
      </c>
      <c r="X537" s="5">
        <v>28</v>
      </c>
      <c r="Y537" s="28">
        <f t="shared" si="115"/>
        <v>8.34</v>
      </c>
      <c r="Z537" s="31" t="s">
        <v>173</v>
      </c>
      <c r="AA537" t="str">
        <f t="shared" si="116"/>
        <v>Prozessfehler</v>
      </c>
    </row>
    <row r="538" spans="1:27" x14ac:dyDescent="0.35">
      <c r="A538" s="32" t="s">
        <v>16</v>
      </c>
      <c r="B538" s="2" t="str">
        <f>VLOOKUP(A538,Stammdaten!$A$3:$B$7,2,FALSE)</f>
        <v>Filiale Ost</v>
      </c>
      <c r="C538" s="3" t="str" cm="1">
        <f t="array" ref="C538">INDEX(Stammdaten!$A$11:$A$25,INT((ROW()-5)/12)+1 - INT((ROW()-5)/180)*15)</f>
        <v>A015</v>
      </c>
      <c r="D538" s="2" t="str">
        <f>VLOOKUP(C538,Stammdaten!$A$11:$B$25,2,FALSE)</f>
        <v>Frischkäse 200g</v>
      </c>
      <c r="E538" s="3" t="str">
        <f>VLOOKUP(C538,Stammdaten!$A$11:$C$25,3,FALSE)</f>
        <v>Käse</v>
      </c>
      <c r="F538" s="19">
        <f>VLOOKUP(C538,Stammdaten!$A$11:$D$25,4,FALSE)</f>
        <v>1.49</v>
      </c>
      <c r="G538" s="4">
        <f t="shared" si="104"/>
        <v>6</v>
      </c>
      <c r="H538" s="20" t="str">
        <f>VLOOKUP(G538,Stammdaten!$A$30:$B$41,2,FALSE)</f>
        <v>Juni</v>
      </c>
      <c r="I538" s="4">
        <v>206</v>
      </c>
      <c r="J538" s="4">
        <v>200</v>
      </c>
      <c r="K538" s="4">
        <f t="shared" si="105"/>
        <v>-6</v>
      </c>
      <c r="L538" s="27">
        <f t="shared" si="106"/>
        <v>-2.912621359223301</v>
      </c>
      <c r="M538" s="52" t="str">
        <f t="shared" si="107"/>
        <v>Schwund</v>
      </c>
      <c r="N538" s="28">
        <f t="shared" si="108"/>
        <v>8.94</v>
      </c>
      <c r="O538" s="5">
        <v>18</v>
      </c>
      <c r="P538" s="4">
        <v>6</v>
      </c>
      <c r="Q538" s="28">
        <f t="shared" si="109"/>
        <v>2.2349999999999999</v>
      </c>
      <c r="R538" s="50">
        <f t="shared" si="110"/>
        <v>2.6819999999999999</v>
      </c>
      <c r="S538" s="2" t="str">
        <f t="shared" si="111"/>
        <v>Normal</v>
      </c>
      <c r="T538" s="4">
        <v>0</v>
      </c>
      <c r="U538" s="4" t="str">
        <f t="shared" si="112"/>
        <v>Nein</v>
      </c>
      <c r="V538" s="4">
        <f t="shared" si="113"/>
        <v>0</v>
      </c>
      <c r="W538" s="19">
        <f t="shared" si="114"/>
        <v>1.49</v>
      </c>
      <c r="X538" s="5">
        <v>0</v>
      </c>
      <c r="Y538" s="28">
        <f t="shared" si="115"/>
        <v>0</v>
      </c>
      <c r="Z538" s="31" t="s">
        <v>172</v>
      </c>
      <c r="AA538" t="str">
        <f t="shared" si="116"/>
        <v>Prozessfehler</v>
      </c>
    </row>
    <row r="539" spans="1:27" x14ac:dyDescent="0.35">
      <c r="A539" s="32" t="s">
        <v>16</v>
      </c>
      <c r="B539" s="2" t="str">
        <f>VLOOKUP(A539,Stammdaten!$A$3:$B$7,2,FALSE)</f>
        <v>Filiale Ost</v>
      </c>
      <c r="C539" s="3" t="str" cm="1">
        <f t="array" ref="C539">INDEX(Stammdaten!$A$11:$A$25,INT((ROW()-5)/12)+1 - INT((ROW()-5)/180)*15)</f>
        <v>A015</v>
      </c>
      <c r="D539" s="2" t="str">
        <f>VLOOKUP(C539,Stammdaten!$A$11:$B$25,2,FALSE)</f>
        <v>Frischkäse 200g</v>
      </c>
      <c r="E539" s="3" t="str">
        <f>VLOOKUP(C539,Stammdaten!$A$11:$C$25,3,FALSE)</f>
        <v>Käse</v>
      </c>
      <c r="F539" s="19">
        <f>VLOOKUP(C539,Stammdaten!$A$11:$D$25,4,FALSE)</f>
        <v>1.49</v>
      </c>
      <c r="G539" s="4">
        <f t="shared" si="104"/>
        <v>7</v>
      </c>
      <c r="H539" s="20" t="str">
        <f>VLOOKUP(G539,Stammdaten!$A$30:$B$41,2,FALSE)</f>
        <v>Juli</v>
      </c>
      <c r="I539" s="4">
        <v>214</v>
      </c>
      <c r="J539" s="4">
        <v>209</v>
      </c>
      <c r="K539" s="4">
        <f t="shared" si="105"/>
        <v>-5</v>
      </c>
      <c r="L539" s="27">
        <f t="shared" si="106"/>
        <v>-2.3364485981308412</v>
      </c>
      <c r="M539" s="52" t="str">
        <f t="shared" si="107"/>
        <v>Schwund</v>
      </c>
      <c r="N539" s="28">
        <f t="shared" si="108"/>
        <v>7.45</v>
      </c>
      <c r="O539" s="5">
        <v>6</v>
      </c>
      <c r="P539" s="4">
        <v>2</v>
      </c>
      <c r="Q539" s="28">
        <f t="shared" si="109"/>
        <v>1.8625</v>
      </c>
      <c r="R539" s="50">
        <f t="shared" si="110"/>
        <v>2.2349999999999999</v>
      </c>
      <c r="S539" s="2" t="str">
        <f t="shared" si="111"/>
        <v>Normal</v>
      </c>
      <c r="T539" s="4">
        <v>0</v>
      </c>
      <c r="U539" s="4" t="str">
        <f t="shared" si="112"/>
        <v>Nein</v>
      </c>
      <c r="V539" s="4">
        <f t="shared" si="113"/>
        <v>0</v>
      </c>
      <c r="W539" s="19">
        <f t="shared" si="114"/>
        <v>1.49</v>
      </c>
      <c r="X539" s="5">
        <v>0</v>
      </c>
      <c r="Y539" s="28">
        <f t="shared" si="115"/>
        <v>0</v>
      </c>
      <c r="Z539" s="31" t="s">
        <v>172</v>
      </c>
      <c r="AA539" t="str">
        <f t="shared" si="116"/>
        <v>Prozessfehler</v>
      </c>
    </row>
    <row r="540" spans="1:27" x14ac:dyDescent="0.35">
      <c r="A540" s="32" t="s">
        <v>16</v>
      </c>
      <c r="B540" s="2" t="str">
        <f>VLOOKUP(A540,Stammdaten!$A$3:$B$7,2,FALSE)</f>
        <v>Filiale Ost</v>
      </c>
      <c r="C540" s="3" t="str" cm="1">
        <f t="array" ref="C540">INDEX(Stammdaten!$A$11:$A$25,INT((ROW()-5)/12)+1 - INT((ROW()-5)/180)*15)</f>
        <v>A015</v>
      </c>
      <c r="D540" s="2" t="str">
        <f>VLOOKUP(C540,Stammdaten!$A$11:$B$25,2,FALSE)</f>
        <v>Frischkäse 200g</v>
      </c>
      <c r="E540" s="3" t="str">
        <f>VLOOKUP(C540,Stammdaten!$A$11:$C$25,3,FALSE)</f>
        <v>Käse</v>
      </c>
      <c r="F540" s="19">
        <f>VLOOKUP(C540,Stammdaten!$A$11:$D$25,4,FALSE)</f>
        <v>1.49</v>
      </c>
      <c r="G540" s="4">
        <f t="shared" si="104"/>
        <v>8</v>
      </c>
      <c r="H540" s="20" t="str">
        <f>VLOOKUP(G540,Stammdaten!$A$30:$B$41,2,FALSE)</f>
        <v>August</v>
      </c>
      <c r="I540" s="4">
        <v>197</v>
      </c>
      <c r="J540" s="4">
        <v>194</v>
      </c>
      <c r="K540" s="4">
        <f t="shared" si="105"/>
        <v>-3</v>
      </c>
      <c r="L540" s="27">
        <f t="shared" si="106"/>
        <v>-1.5228426395939088</v>
      </c>
      <c r="M540" s="52" t="str">
        <f t="shared" si="107"/>
        <v>Schwund</v>
      </c>
      <c r="N540" s="28">
        <f t="shared" si="108"/>
        <v>4.47</v>
      </c>
      <c r="O540" s="5">
        <v>9</v>
      </c>
      <c r="P540" s="4">
        <v>4</v>
      </c>
      <c r="Q540" s="28">
        <f t="shared" si="109"/>
        <v>1.1174999999999999</v>
      </c>
      <c r="R540" s="50">
        <f t="shared" si="110"/>
        <v>1.341</v>
      </c>
      <c r="S540" s="2" t="str">
        <f t="shared" si="111"/>
        <v>Normal</v>
      </c>
      <c r="T540" s="4">
        <v>0</v>
      </c>
      <c r="U540" s="4" t="str">
        <f t="shared" si="112"/>
        <v>Nein</v>
      </c>
      <c r="V540" s="4">
        <f t="shared" si="113"/>
        <v>0</v>
      </c>
      <c r="W540" s="19">
        <f t="shared" si="114"/>
        <v>1.49</v>
      </c>
      <c r="X540" s="5">
        <v>0</v>
      </c>
      <c r="Y540" s="28">
        <f t="shared" si="115"/>
        <v>0</v>
      </c>
      <c r="Z540" s="31" t="s">
        <v>172</v>
      </c>
      <c r="AA540" t="str">
        <f t="shared" si="116"/>
        <v>Normal/Gering</v>
      </c>
    </row>
    <row r="541" spans="1:27" x14ac:dyDescent="0.35">
      <c r="A541" s="32" t="s">
        <v>16</v>
      </c>
      <c r="B541" s="2" t="str">
        <f>VLOOKUP(A541,Stammdaten!$A$3:$B$7,2,FALSE)</f>
        <v>Filiale Ost</v>
      </c>
      <c r="C541" s="3" t="str" cm="1">
        <f t="array" ref="C541">INDEX(Stammdaten!$A$11:$A$25,INT((ROW()-5)/12)+1 - INT((ROW()-5)/180)*15)</f>
        <v>A015</v>
      </c>
      <c r="D541" s="2" t="str">
        <f>VLOOKUP(C541,Stammdaten!$A$11:$B$25,2,FALSE)</f>
        <v>Frischkäse 200g</v>
      </c>
      <c r="E541" s="3" t="str">
        <f>VLOOKUP(C541,Stammdaten!$A$11:$C$25,3,FALSE)</f>
        <v>Käse</v>
      </c>
      <c r="F541" s="19">
        <f>VLOOKUP(C541,Stammdaten!$A$11:$D$25,4,FALSE)</f>
        <v>1.49</v>
      </c>
      <c r="G541" s="4">
        <f t="shared" si="104"/>
        <v>9</v>
      </c>
      <c r="H541" s="20" t="str">
        <f>VLOOKUP(G541,Stammdaten!$A$30:$B$41,2,FALSE)</f>
        <v>September</v>
      </c>
      <c r="I541" s="4">
        <v>162</v>
      </c>
      <c r="J541" s="4">
        <v>160</v>
      </c>
      <c r="K541" s="4">
        <f t="shared" si="105"/>
        <v>-2</v>
      </c>
      <c r="L541" s="27">
        <f t="shared" si="106"/>
        <v>-1.2345679012345678</v>
      </c>
      <c r="M541" s="52" t="str">
        <f t="shared" si="107"/>
        <v>Schwund</v>
      </c>
      <c r="N541" s="28">
        <f t="shared" si="108"/>
        <v>2.98</v>
      </c>
      <c r="O541" s="5">
        <v>10</v>
      </c>
      <c r="P541" s="4">
        <v>2</v>
      </c>
      <c r="Q541" s="28">
        <f t="shared" si="109"/>
        <v>0.745</v>
      </c>
      <c r="R541" s="50">
        <f t="shared" si="110"/>
        <v>0.89400000000000002</v>
      </c>
      <c r="S541" s="2" t="str">
        <f t="shared" si="111"/>
        <v>Normal</v>
      </c>
      <c r="T541" s="4">
        <v>0</v>
      </c>
      <c r="U541" s="4" t="str">
        <f t="shared" si="112"/>
        <v>Nein</v>
      </c>
      <c r="V541" s="4">
        <f t="shared" si="113"/>
        <v>0</v>
      </c>
      <c r="W541" s="19">
        <f t="shared" si="114"/>
        <v>1.49</v>
      </c>
      <c r="X541" s="5">
        <v>0</v>
      </c>
      <c r="Y541" s="28">
        <f t="shared" si="115"/>
        <v>0</v>
      </c>
      <c r="Z541" s="31" t="s">
        <v>172</v>
      </c>
      <c r="AA541" t="str">
        <f t="shared" si="116"/>
        <v>Normal/Gering</v>
      </c>
    </row>
    <row r="542" spans="1:27" x14ac:dyDescent="0.35">
      <c r="A542" s="32" t="s">
        <v>16</v>
      </c>
      <c r="B542" s="2" t="str">
        <f>VLOOKUP(A542,Stammdaten!$A$3:$B$7,2,FALSE)</f>
        <v>Filiale Ost</v>
      </c>
      <c r="C542" s="3" t="str" cm="1">
        <f t="array" ref="C542">INDEX(Stammdaten!$A$11:$A$25,INT((ROW()-5)/12)+1 - INT((ROW()-5)/180)*15)</f>
        <v>A015</v>
      </c>
      <c r="D542" s="2" t="str">
        <f>VLOOKUP(C542,Stammdaten!$A$11:$B$25,2,FALSE)</f>
        <v>Frischkäse 200g</v>
      </c>
      <c r="E542" s="3" t="str">
        <f>VLOOKUP(C542,Stammdaten!$A$11:$C$25,3,FALSE)</f>
        <v>Käse</v>
      </c>
      <c r="F542" s="19">
        <f>VLOOKUP(C542,Stammdaten!$A$11:$D$25,4,FALSE)</f>
        <v>1.49</v>
      </c>
      <c r="G542" s="4">
        <f t="shared" si="104"/>
        <v>10</v>
      </c>
      <c r="H542" s="20" t="str">
        <f>VLOOKUP(G542,Stammdaten!$A$30:$B$41,2,FALSE)</f>
        <v>Oktober</v>
      </c>
      <c r="I542" s="4">
        <v>182</v>
      </c>
      <c r="J542" s="4">
        <v>177</v>
      </c>
      <c r="K542" s="4">
        <f t="shared" si="105"/>
        <v>-5</v>
      </c>
      <c r="L542" s="27">
        <f t="shared" si="106"/>
        <v>-2.7472527472527473</v>
      </c>
      <c r="M542" s="52" t="str">
        <f t="shared" si="107"/>
        <v>Schwund</v>
      </c>
      <c r="N542" s="28">
        <f t="shared" si="108"/>
        <v>7.45</v>
      </c>
      <c r="O542" s="5">
        <v>12</v>
      </c>
      <c r="P542" s="4">
        <v>4</v>
      </c>
      <c r="Q542" s="28">
        <f t="shared" si="109"/>
        <v>1.8625</v>
      </c>
      <c r="R542" s="50">
        <f t="shared" si="110"/>
        <v>2.2349999999999999</v>
      </c>
      <c r="S542" s="2" t="str">
        <f t="shared" si="111"/>
        <v>Normal</v>
      </c>
      <c r="T542" s="4">
        <v>0</v>
      </c>
      <c r="U542" s="4" t="str">
        <f t="shared" si="112"/>
        <v>Nein</v>
      </c>
      <c r="V542" s="4">
        <f t="shared" si="113"/>
        <v>0</v>
      </c>
      <c r="W542" s="19">
        <f t="shared" si="114"/>
        <v>1.49</v>
      </c>
      <c r="X542" s="5">
        <v>0</v>
      </c>
      <c r="Y542" s="28">
        <f t="shared" si="115"/>
        <v>0</v>
      </c>
      <c r="Z542" s="31" t="s">
        <v>172</v>
      </c>
      <c r="AA542" t="str">
        <f t="shared" si="116"/>
        <v>Prozessfehler</v>
      </c>
    </row>
    <row r="543" spans="1:27" x14ac:dyDescent="0.35">
      <c r="A543" s="32" t="s">
        <v>16</v>
      </c>
      <c r="B543" s="2" t="str">
        <f>VLOOKUP(A543,Stammdaten!$A$3:$B$7,2,FALSE)</f>
        <v>Filiale Ost</v>
      </c>
      <c r="C543" s="3" t="str" cm="1">
        <f t="array" ref="C543">INDEX(Stammdaten!$A$11:$A$25,INT((ROW()-5)/12)+1 - INT((ROW()-5)/180)*15)</f>
        <v>A015</v>
      </c>
      <c r="D543" s="2" t="str">
        <f>VLOOKUP(C543,Stammdaten!$A$11:$B$25,2,FALSE)</f>
        <v>Frischkäse 200g</v>
      </c>
      <c r="E543" s="3" t="str">
        <f>VLOOKUP(C543,Stammdaten!$A$11:$C$25,3,FALSE)</f>
        <v>Käse</v>
      </c>
      <c r="F543" s="19">
        <f>VLOOKUP(C543,Stammdaten!$A$11:$D$25,4,FALSE)</f>
        <v>1.49</v>
      </c>
      <c r="G543" s="4">
        <f t="shared" si="104"/>
        <v>11</v>
      </c>
      <c r="H543" s="20" t="str">
        <f>VLOOKUP(G543,Stammdaten!$A$30:$B$41,2,FALSE)</f>
        <v>November</v>
      </c>
      <c r="I543" s="4">
        <v>198</v>
      </c>
      <c r="J543" s="4">
        <v>196</v>
      </c>
      <c r="K543" s="4">
        <f t="shared" si="105"/>
        <v>-2</v>
      </c>
      <c r="L543" s="27">
        <f t="shared" si="106"/>
        <v>-1.0101010101010102</v>
      </c>
      <c r="M543" s="52" t="str">
        <f t="shared" si="107"/>
        <v>Schwund</v>
      </c>
      <c r="N543" s="28">
        <f t="shared" si="108"/>
        <v>2.98</v>
      </c>
      <c r="O543" s="5">
        <v>11</v>
      </c>
      <c r="P543" s="4">
        <v>5</v>
      </c>
      <c r="Q543" s="28">
        <f t="shared" si="109"/>
        <v>0.745</v>
      </c>
      <c r="R543" s="50">
        <f t="shared" si="110"/>
        <v>0.89400000000000002</v>
      </c>
      <c r="S543" s="2" t="str">
        <f t="shared" si="111"/>
        <v>Black Friday</v>
      </c>
      <c r="T543" s="4">
        <v>0</v>
      </c>
      <c r="U543" s="4" t="str">
        <f t="shared" si="112"/>
        <v>Nein</v>
      </c>
      <c r="V543" s="4">
        <f t="shared" si="113"/>
        <v>0</v>
      </c>
      <c r="W543" s="19">
        <f t="shared" si="114"/>
        <v>1.49</v>
      </c>
      <c r="X543" s="5">
        <v>0</v>
      </c>
      <c r="Y543" s="28">
        <f t="shared" si="115"/>
        <v>0</v>
      </c>
      <c r="Z543" s="31" t="s">
        <v>172</v>
      </c>
      <c r="AA543" t="str">
        <f t="shared" si="116"/>
        <v>Normal/Gering</v>
      </c>
    </row>
    <row r="544" spans="1:27" x14ac:dyDescent="0.35">
      <c r="A544" s="32" t="s">
        <v>16</v>
      </c>
      <c r="B544" s="2" t="str">
        <f>VLOOKUP(A544,Stammdaten!$A$3:$B$7,2,FALSE)</f>
        <v>Filiale Ost</v>
      </c>
      <c r="C544" s="3" t="str" cm="1">
        <f t="array" ref="C544">INDEX(Stammdaten!$A$11:$A$25,INT((ROW()-5)/12)+1 - INT((ROW()-5)/180)*15)</f>
        <v>A015</v>
      </c>
      <c r="D544" s="2" t="str">
        <f>VLOOKUP(C544,Stammdaten!$A$11:$B$25,2,FALSE)</f>
        <v>Frischkäse 200g</v>
      </c>
      <c r="E544" s="3" t="str">
        <f>VLOOKUP(C544,Stammdaten!$A$11:$C$25,3,FALSE)</f>
        <v>Käse</v>
      </c>
      <c r="F544" s="19">
        <f>VLOOKUP(C544,Stammdaten!$A$11:$D$25,4,FALSE)</f>
        <v>1.49</v>
      </c>
      <c r="G544" s="4">
        <f t="shared" si="104"/>
        <v>12</v>
      </c>
      <c r="H544" s="20" t="str">
        <f>VLOOKUP(G544,Stammdaten!$A$30:$B$41,2,FALSE)</f>
        <v>Dezember</v>
      </c>
      <c r="I544" s="4">
        <v>242</v>
      </c>
      <c r="J544" s="4">
        <v>237</v>
      </c>
      <c r="K544" s="4">
        <f t="shared" si="105"/>
        <v>-5</v>
      </c>
      <c r="L544" s="27">
        <f t="shared" si="106"/>
        <v>-2.0661157024793391</v>
      </c>
      <c r="M544" s="52" t="str">
        <f t="shared" si="107"/>
        <v>Schwund</v>
      </c>
      <c r="N544" s="28">
        <f t="shared" si="108"/>
        <v>7.45</v>
      </c>
      <c r="O544" s="5">
        <v>17</v>
      </c>
      <c r="P544" s="4">
        <v>4</v>
      </c>
      <c r="Q544" s="28">
        <f t="shared" si="109"/>
        <v>1.8625</v>
      </c>
      <c r="R544" s="50">
        <f t="shared" si="110"/>
        <v>2.2349999999999999</v>
      </c>
      <c r="S544" s="2" t="str">
        <f t="shared" si="111"/>
        <v>Weihnachten/Silvester</v>
      </c>
      <c r="T544" s="4">
        <v>0</v>
      </c>
      <c r="U544" s="4" t="str">
        <f t="shared" si="112"/>
        <v>Nein</v>
      </c>
      <c r="V544" s="4">
        <f t="shared" si="113"/>
        <v>0</v>
      </c>
      <c r="W544" s="19">
        <f t="shared" si="114"/>
        <v>1.49</v>
      </c>
      <c r="X544" s="5">
        <v>0</v>
      </c>
      <c r="Y544" s="28">
        <f t="shared" si="115"/>
        <v>0</v>
      </c>
      <c r="Z544" s="31" t="s">
        <v>172</v>
      </c>
      <c r="AA544" t="str">
        <f t="shared" si="116"/>
        <v>Prozessfehler</v>
      </c>
    </row>
    <row r="545" spans="1:27" x14ac:dyDescent="0.35">
      <c r="A545" s="32" t="s">
        <v>17</v>
      </c>
      <c r="B545" s="2" t="str">
        <f>VLOOKUP(A545,Stammdaten!$A$3:$B$7,2,FALSE)</f>
        <v>Filiale West</v>
      </c>
      <c r="C545" s="3" t="str" cm="1">
        <f t="array" ref="C545">INDEX(Stammdaten!$A$11:$A$25,INT((ROW()-5)/12)+1 - INT((ROW()-5)/180)*15)</f>
        <v>A001</v>
      </c>
      <c r="D545" s="2" t="str">
        <f>VLOOKUP(C545,Stammdaten!$A$11:$B$25,2,FALSE)</f>
        <v>Vollmilch 1L</v>
      </c>
      <c r="E545" s="3" t="str">
        <f>VLOOKUP(C545,Stammdaten!$A$11:$C$25,3,FALSE)</f>
        <v>Milch</v>
      </c>
      <c r="F545" s="19">
        <f>VLOOKUP(C545,Stammdaten!$A$11:$D$25,4,FALSE)</f>
        <v>1.19</v>
      </c>
      <c r="G545" s="4">
        <f t="shared" si="104"/>
        <v>1</v>
      </c>
      <c r="H545" s="20" t="str">
        <f>VLOOKUP(G545,Stammdaten!$A$30:$B$41,2,FALSE)</f>
        <v>Januar</v>
      </c>
      <c r="I545" s="4">
        <v>510</v>
      </c>
      <c r="J545" s="4">
        <v>510</v>
      </c>
      <c r="K545" s="4">
        <f t="shared" si="105"/>
        <v>0</v>
      </c>
      <c r="L545" s="27">
        <f t="shared" si="106"/>
        <v>0</v>
      </c>
      <c r="M545" s="52" t="str">
        <f t="shared" si="107"/>
        <v>Perfekt</v>
      </c>
      <c r="N545" s="28">
        <f t="shared" si="108"/>
        <v>0</v>
      </c>
      <c r="O545" s="5">
        <v>0</v>
      </c>
      <c r="P545" s="4">
        <v>3</v>
      </c>
      <c r="Q545" s="28">
        <f t="shared" si="109"/>
        <v>0</v>
      </c>
      <c r="R545" s="50">
        <f t="shared" si="110"/>
        <v>0</v>
      </c>
      <c r="S545" s="2" t="str">
        <f t="shared" si="111"/>
        <v>Normal</v>
      </c>
      <c r="T545" s="4">
        <v>0</v>
      </c>
      <c r="U545" s="4" t="str">
        <f t="shared" si="112"/>
        <v>Abschreibung</v>
      </c>
      <c r="V545" s="4">
        <f t="shared" si="113"/>
        <v>100</v>
      </c>
      <c r="W545" s="19">
        <f t="shared" si="114"/>
        <v>0</v>
      </c>
      <c r="X545" s="5">
        <v>5</v>
      </c>
      <c r="Y545" s="28">
        <f t="shared" si="115"/>
        <v>5.95</v>
      </c>
      <c r="Z545" s="31" t="s">
        <v>167</v>
      </c>
      <c r="AA545" t="str">
        <f t="shared" si="116"/>
        <v>Verderb - Abgelaufen</v>
      </c>
    </row>
    <row r="546" spans="1:27" x14ac:dyDescent="0.35">
      <c r="A546" s="32" t="s">
        <v>17</v>
      </c>
      <c r="B546" s="2" t="str">
        <f>VLOOKUP(A546,Stammdaten!$A$3:$B$7,2,FALSE)</f>
        <v>Filiale West</v>
      </c>
      <c r="C546" s="3" t="str" cm="1">
        <f t="array" ref="C546">INDEX(Stammdaten!$A$11:$A$25,INT((ROW()-5)/12)+1 - INT((ROW()-5)/180)*15)</f>
        <v>A001</v>
      </c>
      <c r="D546" s="2" t="str">
        <f>VLOOKUP(C546,Stammdaten!$A$11:$B$25,2,FALSE)</f>
        <v>Vollmilch 1L</v>
      </c>
      <c r="E546" s="3" t="str">
        <f>VLOOKUP(C546,Stammdaten!$A$11:$C$25,3,FALSE)</f>
        <v>Milch</v>
      </c>
      <c r="F546" s="19">
        <f>VLOOKUP(C546,Stammdaten!$A$11:$D$25,4,FALSE)</f>
        <v>1.19</v>
      </c>
      <c r="G546" s="4">
        <f t="shared" si="104"/>
        <v>2</v>
      </c>
      <c r="H546" s="20" t="str">
        <f>VLOOKUP(G546,Stammdaten!$A$30:$B$41,2,FALSE)</f>
        <v>Februar</v>
      </c>
      <c r="I546" s="4">
        <v>486</v>
      </c>
      <c r="J546" s="4">
        <v>473</v>
      </c>
      <c r="K546" s="4">
        <f t="shared" si="105"/>
        <v>-13</v>
      </c>
      <c r="L546" s="27">
        <f t="shared" si="106"/>
        <v>-2.6748971193415638</v>
      </c>
      <c r="M546" s="52" t="str">
        <f t="shared" si="107"/>
        <v>Schwund</v>
      </c>
      <c r="N546" s="28">
        <f t="shared" si="108"/>
        <v>15.469999999999999</v>
      </c>
      <c r="O546" s="5">
        <v>6</v>
      </c>
      <c r="P546" s="4">
        <v>3</v>
      </c>
      <c r="Q546" s="28">
        <f t="shared" si="109"/>
        <v>3.8674999999999997</v>
      </c>
      <c r="R546" s="50">
        <f t="shared" si="110"/>
        <v>4.6409999999999991</v>
      </c>
      <c r="S546" s="2" t="str">
        <f t="shared" si="111"/>
        <v>Karneval</v>
      </c>
      <c r="T546" s="4">
        <v>0</v>
      </c>
      <c r="U546" s="4" t="str">
        <f t="shared" si="112"/>
        <v>Nein</v>
      </c>
      <c r="V546" s="4">
        <f t="shared" si="113"/>
        <v>0</v>
      </c>
      <c r="W546" s="19">
        <f t="shared" si="114"/>
        <v>1.19</v>
      </c>
      <c r="X546" s="5">
        <v>0</v>
      </c>
      <c r="Y546" s="28">
        <f t="shared" si="115"/>
        <v>0</v>
      </c>
      <c r="Z546" s="31" t="s">
        <v>172</v>
      </c>
      <c r="AA546" t="str">
        <f t="shared" si="116"/>
        <v>Prozessfehler</v>
      </c>
    </row>
    <row r="547" spans="1:27" x14ac:dyDescent="0.35">
      <c r="A547" s="32" t="s">
        <v>17</v>
      </c>
      <c r="B547" s="2" t="str">
        <f>VLOOKUP(A547,Stammdaten!$A$3:$B$7,2,FALSE)</f>
        <v>Filiale West</v>
      </c>
      <c r="C547" s="3" t="str" cm="1">
        <f t="array" ref="C547">INDEX(Stammdaten!$A$11:$A$25,INT((ROW()-5)/12)+1 - INT((ROW()-5)/180)*15)</f>
        <v>A001</v>
      </c>
      <c r="D547" s="2" t="str">
        <f>VLOOKUP(C547,Stammdaten!$A$11:$B$25,2,FALSE)</f>
        <v>Vollmilch 1L</v>
      </c>
      <c r="E547" s="3" t="str">
        <f>VLOOKUP(C547,Stammdaten!$A$11:$C$25,3,FALSE)</f>
        <v>Milch</v>
      </c>
      <c r="F547" s="19">
        <f>VLOOKUP(C547,Stammdaten!$A$11:$D$25,4,FALSE)</f>
        <v>1.19</v>
      </c>
      <c r="G547" s="4">
        <f t="shared" si="104"/>
        <v>3</v>
      </c>
      <c r="H547" s="20" t="str">
        <f>VLOOKUP(G547,Stammdaten!$A$30:$B$41,2,FALSE)</f>
        <v>März</v>
      </c>
      <c r="I547" s="4">
        <v>601</v>
      </c>
      <c r="J547" s="4">
        <v>571</v>
      </c>
      <c r="K547" s="4">
        <f t="shared" si="105"/>
        <v>-30</v>
      </c>
      <c r="L547" s="27">
        <f t="shared" si="106"/>
        <v>-4.9916805324459235</v>
      </c>
      <c r="M547" s="52" t="str">
        <f t="shared" si="107"/>
        <v>Schwund</v>
      </c>
      <c r="N547" s="28">
        <f t="shared" si="108"/>
        <v>35.699999999999996</v>
      </c>
      <c r="O547" s="5">
        <v>3</v>
      </c>
      <c r="P547" s="4">
        <v>3</v>
      </c>
      <c r="Q547" s="28">
        <f t="shared" si="109"/>
        <v>8.9249999999999989</v>
      </c>
      <c r="R547" s="50">
        <f t="shared" si="110"/>
        <v>10.709999999999999</v>
      </c>
      <c r="S547" s="2" t="str">
        <f t="shared" si="111"/>
        <v>Normal</v>
      </c>
      <c r="T547" s="4">
        <v>0</v>
      </c>
      <c r="U547" s="4" t="str">
        <f t="shared" si="112"/>
        <v>Ja - 20% Reduzierung</v>
      </c>
      <c r="V547" s="4">
        <f t="shared" si="113"/>
        <v>20</v>
      </c>
      <c r="W547" s="19">
        <f t="shared" si="114"/>
        <v>0.95</v>
      </c>
      <c r="X547" s="5">
        <v>30</v>
      </c>
      <c r="Y547" s="28">
        <f t="shared" si="115"/>
        <v>7.14</v>
      </c>
      <c r="Z547" s="31" t="s">
        <v>173</v>
      </c>
      <c r="AA547" t="str">
        <f t="shared" si="116"/>
        <v>Prozessfehler</v>
      </c>
    </row>
    <row r="548" spans="1:27" x14ac:dyDescent="0.35">
      <c r="A548" s="32" t="s">
        <v>17</v>
      </c>
      <c r="B548" s="2" t="str">
        <f>VLOOKUP(A548,Stammdaten!$A$3:$B$7,2,FALSE)</f>
        <v>Filiale West</v>
      </c>
      <c r="C548" s="3" t="str" cm="1">
        <f t="array" ref="C548">INDEX(Stammdaten!$A$11:$A$25,INT((ROW()-5)/12)+1 - INT((ROW()-5)/180)*15)</f>
        <v>A001</v>
      </c>
      <c r="D548" s="2" t="str">
        <f>VLOOKUP(C548,Stammdaten!$A$11:$B$25,2,FALSE)</f>
        <v>Vollmilch 1L</v>
      </c>
      <c r="E548" s="3" t="str">
        <f>VLOOKUP(C548,Stammdaten!$A$11:$C$25,3,FALSE)</f>
        <v>Milch</v>
      </c>
      <c r="F548" s="19">
        <f>VLOOKUP(C548,Stammdaten!$A$11:$D$25,4,FALSE)</f>
        <v>1.19</v>
      </c>
      <c r="G548" s="4">
        <f t="shared" si="104"/>
        <v>4</v>
      </c>
      <c r="H548" s="20" t="str">
        <f>VLOOKUP(G548,Stammdaten!$A$30:$B$41,2,FALSE)</f>
        <v>April</v>
      </c>
      <c r="I548" s="4">
        <v>701</v>
      </c>
      <c r="J548" s="4">
        <v>662</v>
      </c>
      <c r="K548" s="4">
        <f t="shared" si="105"/>
        <v>-39</v>
      </c>
      <c r="L548" s="27">
        <f t="shared" si="106"/>
        <v>-5.5634807417974326</v>
      </c>
      <c r="M548" s="52" t="str">
        <f t="shared" si="107"/>
        <v>Schwund</v>
      </c>
      <c r="N548" s="28">
        <f t="shared" si="108"/>
        <v>46.41</v>
      </c>
      <c r="O548" s="5">
        <v>2</v>
      </c>
      <c r="P548" s="4">
        <v>1</v>
      </c>
      <c r="Q548" s="28">
        <f t="shared" si="109"/>
        <v>11.602499999999999</v>
      </c>
      <c r="R548" s="50">
        <f t="shared" si="110"/>
        <v>13.922999999999998</v>
      </c>
      <c r="S548" s="2" t="str">
        <f t="shared" si="111"/>
        <v>Ostern</v>
      </c>
      <c r="T548" s="4">
        <v>0</v>
      </c>
      <c r="U548" s="4" t="str">
        <f t="shared" si="112"/>
        <v>Ja - 20% Reduzierung</v>
      </c>
      <c r="V548" s="4">
        <f t="shared" si="113"/>
        <v>20</v>
      </c>
      <c r="W548" s="19">
        <f t="shared" si="114"/>
        <v>0.95</v>
      </c>
      <c r="X548" s="5">
        <v>105</v>
      </c>
      <c r="Y548" s="28">
        <f t="shared" si="115"/>
        <v>24.99</v>
      </c>
      <c r="Z548" s="31" t="s">
        <v>173</v>
      </c>
      <c r="AA548" t="str">
        <f t="shared" si="116"/>
        <v>Buchungsfehler Wareneingang</v>
      </c>
    </row>
    <row r="549" spans="1:27" x14ac:dyDescent="0.35">
      <c r="A549" s="32" t="s">
        <v>17</v>
      </c>
      <c r="B549" s="2" t="str">
        <f>VLOOKUP(A549,Stammdaten!$A$3:$B$7,2,FALSE)</f>
        <v>Filiale West</v>
      </c>
      <c r="C549" s="3" t="str" cm="1">
        <f t="array" ref="C549">INDEX(Stammdaten!$A$11:$A$25,INT((ROW()-5)/12)+1 - INT((ROW()-5)/180)*15)</f>
        <v>A001</v>
      </c>
      <c r="D549" s="2" t="str">
        <f>VLOOKUP(C549,Stammdaten!$A$11:$B$25,2,FALSE)</f>
        <v>Vollmilch 1L</v>
      </c>
      <c r="E549" s="3" t="str">
        <f>VLOOKUP(C549,Stammdaten!$A$11:$C$25,3,FALSE)</f>
        <v>Milch</v>
      </c>
      <c r="F549" s="19">
        <f>VLOOKUP(C549,Stammdaten!$A$11:$D$25,4,FALSE)</f>
        <v>1.19</v>
      </c>
      <c r="G549" s="4">
        <f t="shared" si="104"/>
        <v>5</v>
      </c>
      <c r="H549" s="20" t="str">
        <f>VLOOKUP(G549,Stammdaten!$A$30:$B$41,2,FALSE)</f>
        <v>Mai</v>
      </c>
      <c r="I549" s="4">
        <v>523</v>
      </c>
      <c r="J549" s="4">
        <v>531</v>
      </c>
      <c r="K549" s="4">
        <f t="shared" si="105"/>
        <v>8</v>
      </c>
      <c r="L549" s="27">
        <f t="shared" si="106"/>
        <v>1.5296367112810707</v>
      </c>
      <c r="M549" s="52" t="str">
        <f t="shared" si="107"/>
        <v>Überbestand</v>
      </c>
      <c r="N549" s="28">
        <f t="shared" si="108"/>
        <v>9.52</v>
      </c>
      <c r="O549" s="5">
        <v>4</v>
      </c>
      <c r="P549" s="4">
        <v>0</v>
      </c>
      <c r="Q549" s="28">
        <f t="shared" si="109"/>
        <v>0</v>
      </c>
      <c r="R549" s="50">
        <f t="shared" si="110"/>
        <v>0</v>
      </c>
      <c r="S549" s="2" t="str">
        <f t="shared" si="111"/>
        <v>Normal</v>
      </c>
      <c r="T549" s="4">
        <v>8</v>
      </c>
      <c r="U549" s="4" t="str">
        <f t="shared" si="112"/>
        <v>Nein</v>
      </c>
      <c r="V549" s="4">
        <f t="shared" si="113"/>
        <v>0</v>
      </c>
      <c r="W549" s="19">
        <f t="shared" si="114"/>
        <v>1.19</v>
      </c>
      <c r="X549" s="5">
        <v>0</v>
      </c>
      <c r="Y549" s="28">
        <f t="shared" si="115"/>
        <v>0</v>
      </c>
      <c r="Z549" s="31" t="s">
        <v>172</v>
      </c>
      <c r="AA549" t="str">
        <f t="shared" si="116"/>
        <v>Kassenfehler (Überbestand)</v>
      </c>
    </row>
    <row r="550" spans="1:27" x14ac:dyDescent="0.35">
      <c r="A550" s="32" t="s">
        <v>17</v>
      </c>
      <c r="B550" s="2" t="str">
        <f>VLOOKUP(A550,Stammdaten!$A$3:$B$7,2,FALSE)</f>
        <v>Filiale West</v>
      </c>
      <c r="C550" s="3" t="str" cm="1">
        <f t="array" ref="C550">INDEX(Stammdaten!$A$11:$A$25,INT((ROW()-5)/12)+1 - INT((ROW()-5)/180)*15)</f>
        <v>A001</v>
      </c>
      <c r="D550" s="2" t="str">
        <f>VLOOKUP(C550,Stammdaten!$A$11:$B$25,2,FALSE)</f>
        <v>Vollmilch 1L</v>
      </c>
      <c r="E550" s="3" t="str">
        <f>VLOOKUP(C550,Stammdaten!$A$11:$C$25,3,FALSE)</f>
        <v>Milch</v>
      </c>
      <c r="F550" s="19">
        <f>VLOOKUP(C550,Stammdaten!$A$11:$D$25,4,FALSE)</f>
        <v>1.19</v>
      </c>
      <c r="G550" s="4">
        <f t="shared" si="104"/>
        <v>6</v>
      </c>
      <c r="H550" s="20" t="str">
        <f>VLOOKUP(G550,Stammdaten!$A$30:$B$41,2,FALSE)</f>
        <v>Juni</v>
      </c>
      <c r="I550" s="4">
        <v>599</v>
      </c>
      <c r="J550" s="4">
        <v>575</v>
      </c>
      <c r="K550" s="4">
        <f t="shared" si="105"/>
        <v>-24</v>
      </c>
      <c r="L550" s="27">
        <f t="shared" si="106"/>
        <v>-4.006677796327212</v>
      </c>
      <c r="M550" s="52" t="str">
        <f t="shared" si="107"/>
        <v>Schwund</v>
      </c>
      <c r="N550" s="28">
        <f t="shared" si="108"/>
        <v>28.56</v>
      </c>
      <c r="O550" s="5">
        <v>1</v>
      </c>
      <c r="P550" s="4">
        <v>1</v>
      </c>
      <c r="Q550" s="28">
        <f t="shared" si="109"/>
        <v>7.14</v>
      </c>
      <c r="R550" s="50">
        <f t="shared" si="110"/>
        <v>8.5679999999999996</v>
      </c>
      <c r="S550" s="2" t="str">
        <f t="shared" si="111"/>
        <v>Normal</v>
      </c>
      <c r="T550" s="4">
        <v>0</v>
      </c>
      <c r="U550" s="4" t="str">
        <f t="shared" si="112"/>
        <v>Ja - 20% Reduzierung</v>
      </c>
      <c r="V550" s="4">
        <f t="shared" si="113"/>
        <v>20</v>
      </c>
      <c r="W550" s="19">
        <f t="shared" si="114"/>
        <v>0.95</v>
      </c>
      <c r="X550" s="5">
        <v>84</v>
      </c>
      <c r="Y550" s="28">
        <f t="shared" si="115"/>
        <v>19.989999999999998</v>
      </c>
      <c r="Z550" s="31" t="s">
        <v>173</v>
      </c>
      <c r="AA550" t="str">
        <f t="shared" si="116"/>
        <v>Buchungsfehler Wareneingang</v>
      </c>
    </row>
    <row r="551" spans="1:27" x14ac:dyDescent="0.35">
      <c r="A551" s="32" t="s">
        <v>17</v>
      </c>
      <c r="B551" s="2" t="str">
        <f>VLOOKUP(A551,Stammdaten!$A$3:$B$7,2,FALSE)</f>
        <v>Filiale West</v>
      </c>
      <c r="C551" s="3" t="str" cm="1">
        <f t="array" ref="C551">INDEX(Stammdaten!$A$11:$A$25,INT((ROW()-5)/12)+1 - INT((ROW()-5)/180)*15)</f>
        <v>A001</v>
      </c>
      <c r="D551" s="2" t="str">
        <f>VLOOKUP(C551,Stammdaten!$A$11:$B$25,2,FALSE)</f>
        <v>Vollmilch 1L</v>
      </c>
      <c r="E551" s="3" t="str">
        <f>VLOOKUP(C551,Stammdaten!$A$11:$C$25,3,FALSE)</f>
        <v>Milch</v>
      </c>
      <c r="F551" s="19">
        <f>VLOOKUP(C551,Stammdaten!$A$11:$D$25,4,FALSE)</f>
        <v>1.19</v>
      </c>
      <c r="G551" s="4">
        <f t="shared" si="104"/>
        <v>7</v>
      </c>
      <c r="H551" s="20" t="str">
        <f>VLOOKUP(G551,Stammdaten!$A$30:$B$41,2,FALSE)</f>
        <v>Juli</v>
      </c>
      <c r="I551" s="4">
        <v>686</v>
      </c>
      <c r="J551" s="4">
        <v>694</v>
      </c>
      <c r="K551" s="4">
        <f t="shared" si="105"/>
        <v>8</v>
      </c>
      <c r="L551" s="27">
        <f t="shared" si="106"/>
        <v>1.1661807580174928</v>
      </c>
      <c r="M551" s="52" t="str">
        <f t="shared" si="107"/>
        <v>Überbestand</v>
      </c>
      <c r="N551" s="28">
        <f t="shared" si="108"/>
        <v>9.52</v>
      </c>
      <c r="O551" s="5">
        <v>4</v>
      </c>
      <c r="P551" s="4">
        <v>3</v>
      </c>
      <c r="Q551" s="28">
        <f t="shared" si="109"/>
        <v>0</v>
      </c>
      <c r="R551" s="50">
        <f t="shared" si="110"/>
        <v>0</v>
      </c>
      <c r="S551" s="2" t="str">
        <f t="shared" si="111"/>
        <v>Normal</v>
      </c>
      <c r="T551" s="4">
        <v>8</v>
      </c>
      <c r="U551" s="4" t="str">
        <f t="shared" si="112"/>
        <v>Nein</v>
      </c>
      <c r="V551" s="4">
        <f t="shared" si="113"/>
        <v>0</v>
      </c>
      <c r="W551" s="19">
        <f t="shared" si="114"/>
        <v>1.19</v>
      </c>
      <c r="X551" s="5">
        <v>0</v>
      </c>
      <c r="Y551" s="28">
        <f t="shared" si="115"/>
        <v>0</v>
      </c>
      <c r="Z551" s="31" t="s">
        <v>172</v>
      </c>
      <c r="AA551" t="str">
        <f t="shared" si="116"/>
        <v>Kassenfehler (Überbestand)</v>
      </c>
    </row>
    <row r="552" spans="1:27" x14ac:dyDescent="0.35">
      <c r="A552" s="32" t="s">
        <v>17</v>
      </c>
      <c r="B552" s="2" t="str">
        <f>VLOOKUP(A552,Stammdaten!$A$3:$B$7,2,FALSE)</f>
        <v>Filiale West</v>
      </c>
      <c r="C552" s="3" t="str" cm="1">
        <f t="array" ref="C552">INDEX(Stammdaten!$A$11:$A$25,INT((ROW()-5)/12)+1 - INT((ROW()-5)/180)*15)</f>
        <v>A001</v>
      </c>
      <c r="D552" s="2" t="str">
        <f>VLOOKUP(C552,Stammdaten!$A$11:$B$25,2,FALSE)</f>
        <v>Vollmilch 1L</v>
      </c>
      <c r="E552" s="3" t="str">
        <f>VLOOKUP(C552,Stammdaten!$A$11:$C$25,3,FALSE)</f>
        <v>Milch</v>
      </c>
      <c r="F552" s="19">
        <f>VLOOKUP(C552,Stammdaten!$A$11:$D$25,4,FALSE)</f>
        <v>1.19</v>
      </c>
      <c r="G552" s="4">
        <f t="shared" si="104"/>
        <v>8</v>
      </c>
      <c r="H552" s="20" t="str">
        <f>VLOOKUP(G552,Stammdaten!$A$30:$B$41,2,FALSE)</f>
        <v>August</v>
      </c>
      <c r="I552" s="4">
        <v>620</v>
      </c>
      <c r="J552" s="4">
        <v>623</v>
      </c>
      <c r="K552" s="4">
        <f t="shared" si="105"/>
        <v>3</v>
      </c>
      <c r="L552" s="27">
        <f t="shared" si="106"/>
        <v>0.4838709677419355</v>
      </c>
      <c r="M552" s="52" t="str">
        <f t="shared" si="107"/>
        <v>Überbestand</v>
      </c>
      <c r="N552" s="28">
        <f t="shared" si="108"/>
        <v>3.57</v>
      </c>
      <c r="O552" s="5">
        <v>4</v>
      </c>
      <c r="P552" s="4">
        <v>1</v>
      </c>
      <c r="Q552" s="28">
        <f t="shared" si="109"/>
        <v>0</v>
      </c>
      <c r="R552" s="50">
        <f t="shared" si="110"/>
        <v>0</v>
      </c>
      <c r="S552" s="2" t="str">
        <f t="shared" si="111"/>
        <v>Normal</v>
      </c>
      <c r="T552" s="4">
        <v>3</v>
      </c>
      <c r="U552" s="4" t="str">
        <f t="shared" si="112"/>
        <v>Nein</v>
      </c>
      <c r="V552" s="4">
        <f t="shared" si="113"/>
        <v>0</v>
      </c>
      <c r="W552" s="19">
        <f t="shared" si="114"/>
        <v>1.19</v>
      </c>
      <c r="X552" s="5">
        <v>0</v>
      </c>
      <c r="Y552" s="28">
        <f t="shared" si="115"/>
        <v>0</v>
      </c>
      <c r="Z552" s="31" t="s">
        <v>172</v>
      </c>
      <c r="AA552" t="str">
        <f t="shared" si="116"/>
        <v>Kassenfehler (Überbestand)</v>
      </c>
    </row>
    <row r="553" spans="1:27" x14ac:dyDescent="0.35">
      <c r="A553" s="32" t="s">
        <v>17</v>
      </c>
      <c r="B553" s="2" t="str">
        <f>VLOOKUP(A553,Stammdaten!$A$3:$B$7,2,FALSE)</f>
        <v>Filiale West</v>
      </c>
      <c r="C553" s="3" t="str" cm="1">
        <f t="array" ref="C553">INDEX(Stammdaten!$A$11:$A$25,INT((ROW()-5)/12)+1 - INT((ROW()-5)/180)*15)</f>
        <v>A001</v>
      </c>
      <c r="D553" s="2" t="str">
        <f>VLOOKUP(C553,Stammdaten!$A$11:$B$25,2,FALSE)</f>
        <v>Vollmilch 1L</v>
      </c>
      <c r="E553" s="3" t="str">
        <f>VLOOKUP(C553,Stammdaten!$A$11:$C$25,3,FALSE)</f>
        <v>Milch</v>
      </c>
      <c r="F553" s="19">
        <f>VLOOKUP(C553,Stammdaten!$A$11:$D$25,4,FALSE)</f>
        <v>1.19</v>
      </c>
      <c r="G553" s="4">
        <f t="shared" si="104"/>
        <v>9</v>
      </c>
      <c r="H553" s="20" t="str">
        <f>VLOOKUP(G553,Stammdaten!$A$30:$B$41,2,FALSE)</f>
        <v>September</v>
      </c>
      <c r="I553" s="4">
        <v>512</v>
      </c>
      <c r="J553" s="4">
        <v>512</v>
      </c>
      <c r="K553" s="4">
        <f t="shared" si="105"/>
        <v>0</v>
      </c>
      <c r="L553" s="27">
        <f t="shared" si="106"/>
        <v>0</v>
      </c>
      <c r="M553" s="52" t="str">
        <f t="shared" si="107"/>
        <v>Perfekt</v>
      </c>
      <c r="N553" s="28">
        <f t="shared" si="108"/>
        <v>0</v>
      </c>
      <c r="O553" s="5">
        <v>0</v>
      </c>
      <c r="P553" s="4">
        <v>1</v>
      </c>
      <c r="Q553" s="28">
        <f t="shared" si="109"/>
        <v>0</v>
      </c>
      <c r="R553" s="50">
        <f t="shared" si="110"/>
        <v>0</v>
      </c>
      <c r="S553" s="2" t="str">
        <f t="shared" si="111"/>
        <v>Normal</v>
      </c>
      <c r="T553" s="4">
        <v>0</v>
      </c>
      <c r="U553" s="4" t="str">
        <f t="shared" si="112"/>
        <v>Abschreibung</v>
      </c>
      <c r="V553" s="4">
        <f t="shared" si="113"/>
        <v>100</v>
      </c>
      <c r="W553" s="19">
        <f t="shared" si="114"/>
        <v>0</v>
      </c>
      <c r="X553" s="5">
        <v>10</v>
      </c>
      <c r="Y553" s="28">
        <f t="shared" si="115"/>
        <v>11.9</v>
      </c>
      <c r="Z553" s="31" t="s">
        <v>173</v>
      </c>
      <c r="AA553" t="str">
        <f t="shared" si="116"/>
        <v>Verderb - Abgelaufen</v>
      </c>
    </row>
    <row r="554" spans="1:27" x14ac:dyDescent="0.35">
      <c r="A554" s="32" t="s">
        <v>17</v>
      </c>
      <c r="B554" s="2" t="str">
        <f>VLOOKUP(A554,Stammdaten!$A$3:$B$7,2,FALSE)</f>
        <v>Filiale West</v>
      </c>
      <c r="C554" s="3" t="str" cm="1">
        <f t="array" ref="C554">INDEX(Stammdaten!$A$11:$A$25,INT((ROW()-5)/12)+1 - INT((ROW()-5)/180)*15)</f>
        <v>A001</v>
      </c>
      <c r="D554" s="2" t="str">
        <f>VLOOKUP(C554,Stammdaten!$A$11:$B$25,2,FALSE)</f>
        <v>Vollmilch 1L</v>
      </c>
      <c r="E554" s="3" t="str">
        <f>VLOOKUP(C554,Stammdaten!$A$11:$C$25,3,FALSE)</f>
        <v>Milch</v>
      </c>
      <c r="F554" s="19">
        <f>VLOOKUP(C554,Stammdaten!$A$11:$D$25,4,FALSE)</f>
        <v>1.19</v>
      </c>
      <c r="G554" s="4">
        <f t="shared" si="104"/>
        <v>10</v>
      </c>
      <c r="H554" s="20" t="str">
        <f>VLOOKUP(G554,Stammdaten!$A$30:$B$41,2,FALSE)</f>
        <v>Oktober</v>
      </c>
      <c r="I554" s="4">
        <v>523</v>
      </c>
      <c r="J554" s="4">
        <v>497</v>
      </c>
      <c r="K554" s="4">
        <f t="shared" si="105"/>
        <v>-26</v>
      </c>
      <c r="L554" s="27">
        <f t="shared" si="106"/>
        <v>-4.9713193116634802</v>
      </c>
      <c r="M554" s="52" t="str">
        <f t="shared" si="107"/>
        <v>Schwund</v>
      </c>
      <c r="N554" s="28">
        <f t="shared" si="108"/>
        <v>30.939999999999998</v>
      </c>
      <c r="O554" s="5">
        <v>7</v>
      </c>
      <c r="P554" s="4">
        <v>2</v>
      </c>
      <c r="Q554" s="28">
        <f t="shared" si="109"/>
        <v>7.7349999999999994</v>
      </c>
      <c r="R554" s="50">
        <f t="shared" si="110"/>
        <v>9.2819999999999983</v>
      </c>
      <c r="S554" s="2" t="str">
        <f t="shared" si="111"/>
        <v>Normal</v>
      </c>
      <c r="T554" s="4">
        <v>0</v>
      </c>
      <c r="U554" s="4" t="str">
        <f t="shared" si="112"/>
        <v>Nein</v>
      </c>
      <c r="V554" s="4">
        <f t="shared" si="113"/>
        <v>0</v>
      </c>
      <c r="W554" s="19">
        <f t="shared" si="114"/>
        <v>1.19</v>
      </c>
      <c r="X554" s="5">
        <v>0</v>
      </c>
      <c r="Y554" s="28">
        <f t="shared" si="115"/>
        <v>0</v>
      </c>
      <c r="Z554" s="31" t="s">
        <v>172</v>
      </c>
      <c r="AA554" t="str">
        <f t="shared" si="116"/>
        <v>Prozessfehler</v>
      </c>
    </row>
    <row r="555" spans="1:27" x14ac:dyDescent="0.35">
      <c r="A555" s="32" t="s">
        <v>17</v>
      </c>
      <c r="B555" s="2" t="str">
        <f>VLOOKUP(A555,Stammdaten!$A$3:$B$7,2,FALSE)</f>
        <v>Filiale West</v>
      </c>
      <c r="C555" s="3" t="str" cm="1">
        <f t="array" ref="C555">INDEX(Stammdaten!$A$11:$A$25,INT((ROW()-5)/12)+1 - INT((ROW()-5)/180)*15)</f>
        <v>A001</v>
      </c>
      <c r="D555" s="2" t="str">
        <f>VLOOKUP(C555,Stammdaten!$A$11:$B$25,2,FALSE)</f>
        <v>Vollmilch 1L</v>
      </c>
      <c r="E555" s="3" t="str">
        <f>VLOOKUP(C555,Stammdaten!$A$11:$C$25,3,FALSE)</f>
        <v>Milch</v>
      </c>
      <c r="F555" s="19">
        <f>VLOOKUP(C555,Stammdaten!$A$11:$D$25,4,FALSE)</f>
        <v>1.19</v>
      </c>
      <c r="G555" s="4">
        <f t="shared" si="104"/>
        <v>11</v>
      </c>
      <c r="H555" s="20" t="str">
        <f>VLOOKUP(G555,Stammdaten!$A$30:$B$41,2,FALSE)</f>
        <v>November</v>
      </c>
      <c r="I555" s="4">
        <v>593</v>
      </c>
      <c r="J555" s="4">
        <v>593</v>
      </c>
      <c r="K555" s="4">
        <f t="shared" si="105"/>
        <v>0</v>
      </c>
      <c r="L555" s="27">
        <f t="shared" si="106"/>
        <v>0</v>
      </c>
      <c r="M555" s="52" t="str">
        <f t="shared" si="107"/>
        <v>Perfekt</v>
      </c>
      <c r="N555" s="28">
        <f t="shared" si="108"/>
        <v>0</v>
      </c>
      <c r="O555" s="5">
        <v>2</v>
      </c>
      <c r="P555" s="4">
        <v>1</v>
      </c>
      <c r="Q555" s="28">
        <f t="shared" si="109"/>
        <v>0</v>
      </c>
      <c r="R555" s="50">
        <f t="shared" si="110"/>
        <v>0</v>
      </c>
      <c r="S555" s="2" t="str">
        <f t="shared" si="111"/>
        <v>Black Friday</v>
      </c>
      <c r="T555" s="4">
        <v>0</v>
      </c>
      <c r="U555" s="4" t="str">
        <f t="shared" si="112"/>
        <v>Ja - 20% Reduzierung</v>
      </c>
      <c r="V555" s="4">
        <f t="shared" si="113"/>
        <v>20</v>
      </c>
      <c r="W555" s="19">
        <f t="shared" si="114"/>
        <v>0.95</v>
      </c>
      <c r="X555" s="5">
        <v>77</v>
      </c>
      <c r="Y555" s="28">
        <f t="shared" si="115"/>
        <v>18.329999999999998</v>
      </c>
      <c r="Z555" s="31" t="s">
        <v>173</v>
      </c>
      <c r="AA555" t="str">
        <f t="shared" si="116"/>
        <v>Normal/Gering</v>
      </c>
    </row>
    <row r="556" spans="1:27" x14ac:dyDescent="0.35">
      <c r="A556" s="32" t="s">
        <v>17</v>
      </c>
      <c r="B556" s="2" t="str">
        <f>VLOOKUP(A556,Stammdaten!$A$3:$B$7,2,FALSE)</f>
        <v>Filiale West</v>
      </c>
      <c r="C556" s="3" t="str" cm="1">
        <f t="array" ref="C556">INDEX(Stammdaten!$A$11:$A$25,INT((ROW()-5)/12)+1 - INT((ROW()-5)/180)*15)</f>
        <v>A001</v>
      </c>
      <c r="D556" s="2" t="str">
        <f>VLOOKUP(C556,Stammdaten!$A$11:$B$25,2,FALSE)</f>
        <v>Vollmilch 1L</v>
      </c>
      <c r="E556" s="3" t="str">
        <f>VLOOKUP(C556,Stammdaten!$A$11:$C$25,3,FALSE)</f>
        <v>Milch</v>
      </c>
      <c r="F556" s="19">
        <f>VLOOKUP(C556,Stammdaten!$A$11:$D$25,4,FALSE)</f>
        <v>1.19</v>
      </c>
      <c r="G556" s="4">
        <f t="shared" si="104"/>
        <v>12</v>
      </c>
      <c r="H556" s="20" t="str">
        <f>VLOOKUP(G556,Stammdaten!$A$30:$B$41,2,FALSE)</f>
        <v>Dezember</v>
      </c>
      <c r="I556" s="4">
        <v>809</v>
      </c>
      <c r="J556" s="4">
        <v>750</v>
      </c>
      <c r="K556" s="4">
        <f t="shared" si="105"/>
        <v>-59</v>
      </c>
      <c r="L556" s="27">
        <f t="shared" si="106"/>
        <v>-7.2929542645241039</v>
      </c>
      <c r="M556" s="52" t="str">
        <f t="shared" si="107"/>
        <v>Schwund</v>
      </c>
      <c r="N556" s="28">
        <f t="shared" si="108"/>
        <v>70.209999999999994</v>
      </c>
      <c r="O556" s="5">
        <v>2</v>
      </c>
      <c r="P556" s="4">
        <v>2</v>
      </c>
      <c r="Q556" s="28">
        <f t="shared" si="109"/>
        <v>17.552499999999998</v>
      </c>
      <c r="R556" s="50">
        <f t="shared" si="110"/>
        <v>21.062999999999999</v>
      </c>
      <c r="S556" s="2" t="str">
        <f t="shared" si="111"/>
        <v>Weihnachten/Silvester</v>
      </c>
      <c r="T556" s="4">
        <v>0</v>
      </c>
      <c r="U556" s="4" t="str">
        <f t="shared" si="112"/>
        <v>Ja - 20% Reduzierung</v>
      </c>
      <c r="V556" s="4">
        <f t="shared" si="113"/>
        <v>20</v>
      </c>
      <c r="W556" s="19">
        <f t="shared" si="114"/>
        <v>0.95</v>
      </c>
      <c r="X556" s="5">
        <v>81</v>
      </c>
      <c r="Y556" s="28">
        <f t="shared" si="115"/>
        <v>19.28</v>
      </c>
      <c r="Z556" s="31" t="s">
        <v>173</v>
      </c>
      <c r="AA556" t="str">
        <f t="shared" si="116"/>
        <v>Prozessfehler</v>
      </c>
    </row>
    <row r="557" spans="1:27" x14ac:dyDescent="0.35">
      <c r="A557" s="32" t="s">
        <v>17</v>
      </c>
      <c r="B557" s="2" t="str">
        <f>VLOOKUP(A557,Stammdaten!$A$3:$B$7,2,FALSE)</f>
        <v>Filiale West</v>
      </c>
      <c r="C557" s="3" t="str" cm="1">
        <f t="array" ref="C557">INDEX(Stammdaten!$A$11:$A$25,INT((ROW()-5)/12)+1 - INT((ROW()-5)/180)*15)</f>
        <v>A002</v>
      </c>
      <c r="D557" s="2" t="str">
        <f>VLOOKUP(C557,Stammdaten!$A$11:$B$25,2,FALSE)</f>
        <v>Fettarme Milch 1L</v>
      </c>
      <c r="E557" s="3" t="str">
        <f>VLOOKUP(C557,Stammdaten!$A$11:$C$25,3,FALSE)</f>
        <v>Milch</v>
      </c>
      <c r="F557" s="19">
        <f>VLOOKUP(C557,Stammdaten!$A$11:$D$25,4,FALSE)</f>
        <v>1.0900000000000001</v>
      </c>
      <c r="G557" s="4">
        <f t="shared" si="104"/>
        <v>1</v>
      </c>
      <c r="H557" s="20" t="str">
        <f>VLOOKUP(G557,Stammdaten!$A$30:$B$41,2,FALSE)</f>
        <v>Januar</v>
      </c>
      <c r="I557" s="4">
        <v>446</v>
      </c>
      <c r="J557" s="4">
        <v>429</v>
      </c>
      <c r="K557" s="4">
        <f t="shared" si="105"/>
        <v>-17</v>
      </c>
      <c r="L557" s="27">
        <f t="shared" si="106"/>
        <v>-3.811659192825112</v>
      </c>
      <c r="M557" s="52" t="str">
        <f t="shared" si="107"/>
        <v>Schwund</v>
      </c>
      <c r="N557" s="28">
        <f t="shared" si="108"/>
        <v>18.53</v>
      </c>
      <c r="O557" s="5">
        <v>6</v>
      </c>
      <c r="P557" s="4">
        <v>1</v>
      </c>
      <c r="Q557" s="28">
        <f t="shared" si="109"/>
        <v>4.6325000000000003</v>
      </c>
      <c r="R557" s="50">
        <f t="shared" si="110"/>
        <v>5.5590000000000002</v>
      </c>
      <c r="S557" s="2" t="str">
        <f t="shared" si="111"/>
        <v>Normal</v>
      </c>
      <c r="T557" s="4">
        <v>0</v>
      </c>
      <c r="U557" s="4" t="str">
        <f t="shared" si="112"/>
        <v>Nein</v>
      </c>
      <c r="V557" s="4">
        <f t="shared" si="113"/>
        <v>0</v>
      </c>
      <c r="W557" s="19">
        <f t="shared" si="114"/>
        <v>1.0900000000000001</v>
      </c>
      <c r="X557" s="5">
        <v>0</v>
      </c>
      <c r="Y557" s="28">
        <f t="shared" si="115"/>
        <v>0</v>
      </c>
      <c r="Z557" s="31" t="s">
        <v>172</v>
      </c>
      <c r="AA557" t="str">
        <f t="shared" si="116"/>
        <v>Buchungsfehler Wareneingang</v>
      </c>
    </row>
    <row r="558" spans="1:27" x14ac:dyDescent="0.35">
      <c r="A558" s="32" t="s">
        <v>17</v>
      </c>
      <c r="B558" s="2" t="str">
        <f>VLOOKUP(A558,Stammdaten!$A$3:$B$7,2,FALSE)</f>
        <v>Filiale West</v>
      </c>
      <c r="C558" s="3" t="str" cm="1">
        <f t="array" ref="C558">INDEX(Stammdaten!$A$11:$A$25,INT((ROW()-5)/12)+1 - INT((ROW()-5)/180)*15)</f>
        <v>A002</v>
      </c>
      <c r="D558" s="2" t="str">
        <f>VLOOKUP(C558,Stammdaten!$A$11:$B$25,2,FALSE)</f>
        <v>Fettarme Milch 1L</v>
      </c>
      <c r="E558" s="3" t="str">
        <f>VLOOKUP(C558,Stammdaten!$A$11:$C$25,3,FALSE)</f>
        <v>Milch</v>
      </c>
      <c r="F558" s="19">
        <f>VLOOKUP(C558,Stammdaten!$A$11:$D$25,4,FALSE)</f>
        <v>1.0900000000000001</v>
      </c>
      <c r="G558" s="4">
        <f t="shared" si="104"/>
        <v>2</v>
      </c>
      <c r="H558" s="20" t="str">
        <f>VLOOKUP(G558,Stammdaten!$A$30:$B$41,2,FALSE)</f>
        <v>Februar</v>
      </c>
      <c r="I558" s="4">
        <v>400</v>
      </c>
      <c r="J558" s="4">
        <v>385</v>
      </c>
      <c r="K558" s="4">
        <f t="shared" si="105"/>
        <v>-15</v>
      </c>
      <c r="L558" s="27">
        <f t="shared" si="106"/>
        <v>-3.75</v>
      </c>
      <c r="M558" s="52" t="str">
        <f t="shared" si="107"/>
        <v>Schwund</v>
      </c>
      <c r="N558" s="28">
        <f t="shared" si="108"/>
        <v>16.350000000000001</v>
      </c>
      <c r="O558" s="5">
        <v>5</v>
      </c>
      <c r="P558" s="4">
        <v>0</v>
      </c>
      <c r="Q558" s="28">
        <f t="shared" si="109"/>
        <v>4.0875000000000004</v>
      </c>
      <c r="R558" s="50">
        <f t="shared" si="110"/>
        <v>4.9050000000000002</v>
      </c>
      <c r="S558" s="2" t="str">
        <f t="shared" si="111"/>
        <v>Karneval</v>
      </c>
      <c r="T558" s="4">
        <v>0</v>
      </c>
      <c r="U558" s="4" t="str">
        <f t="shared" si="112"/>
        <v>Nein</v>
      </c>
      <c r="V558" s="4">
        <f t="shared" si="113"/>
        <v>0</v>
      </c>
      <c r="W558" s="19">
        <f t="shared" si="114"/>
        <v>1.0900000000000001</v>
      </c>
      <c r="X558" s="5">
        <v>0</v>
      </c>
      <c r="Y558" s="28">
        <f t="shared" si="115"/>
        <v>0</v>
      </c>
      <c r="Z558" s="31" t="s">
        <v>172</v>
      </c>
      <c r="AA558" t="str">
        <f t="shared" si="116"/>
        <v>Buchungsfehler Wareneingang</v>
      </c>
    </row>
    <row r="559" spans="1:27" x14ac:dyDescent="0.35">
      <c r="A559" s="32" t="s">
        <v>17</v>
      </c>
      <c r="B559" s="2" t="str">
        <f>VLOOKUP(A559,Stammdaten!$A$3:$B$7,2,FALSE)</f>
        <v>Filiale West</v>
      </c>
      <c r="C559" s="3" t="str" cm="1">
        <f t="array" ref="C559">INDEX(Stammdaten!$A$11:$A$25,INT((ROW()-5)/12)+1 - INT((ROW()-5)/180)*15)</f>
        <v>A002</v>
      </c>
      <c r="D559" s="2" t="str">
        <f>VLOOKUP(C559,Stammdaten!$A$11:$B$25,2,FALSE)</f>
        <v>Fettarme Milch 1L</v>
      </c>
      <c r="E559" s="3" t="str">
        <f>VLOOKUP(C559,Stammdaten!$A$11:$C$25,3,FALSE)</f>
        <v>Milch</v>
      </c>
      <c r="F559" s="19">
        <f>VLOOKUP(C559,Stammdaten!$A$11:$D$25,4,FALSE)</f>
        <v>1.0900000000000001</v>
      </c>
      <c r="G559" s="4">
        <f t="shared" si="104"/>
        <v>3</v>
      </c>
      <c r="H559" s="20" t="str">
        <f>VLOOKUP(G559,Stammdaten!$A$30:$B$41,2,FALSE)</f>
        <v>März</v>
      </c>
      <c r="I559" s="4">
        <v>494</v>
      </c>
      <c r="J559" s="4">
        <v>466</v>
      </c>
      <c r="K559" s="4">
        <f t="shared" si="105"/>
        <v>-28</v>
      </c>
      <c r="L559" s="27">
        <f t="shared" si="106"/>
        <v>-5.668016194331984</v>
      </c>
      <c r="M559" s="52" t="str">
        <f t="shared" si="107"/>
        <v>Schwund</v>
      </c>
      <c r="N559" s="28">
        <f t="shared" si="108"/>
        <v>30.520000000000003</v>
      </c>
      <c r="O559" s="5">
        <v>3</v>
      </c>
      <c r="P559" s="4">
        <v>1</v>
      </c>
      <c r="Q559" s="28">
        <f t="shared" si="109"/>
        <v>7.6300000000000008</v>
      </c>
      <c r="R559" s="50">
        <f t="shared" si="110"/>
        <v>9.1560000000000006</v>
      </c>
      <c r="S559" s="2" t="str">
        <f t="shared" si="111"/>
        <v>Normal</v>
      </c>
      <c r="T559" s="4">
        <v>0</v>
      </c>
      <c r="U559" s="4" t="str">
        <f t="shared" si="112"/>
        <v>Ja - 20% Reduzierung</v>
      </c>
      <c r="V559" s="4">
        <f t="shared" si="113"/>
        <v>20</v>
      </c>
      <c r="W559" s="19">
        <f t="shared" si="114"/>
        <v>0.87</v>
      </c>
      <c r="X559" s="5">
        <v>35</v>
      </c>
      <c r="Y559" s="28">
        <f t="shared" si="115"/>
        <v>7.63</v>
      </c>
      <c r="Z559" s="31" t="s">
        <v>173</v>
      </c>
      <c r="AA559" t="str">
        <f t="shared" si="116"/>
        <v>Buchungsfehler Wareneingang</v>
      </c>
    </row>
    <row r="560" spans="1:27" x14ac:dyDescent="0.35">
      <c r="A560" s="32" t="s">
        <v>17</v>
      </c>
      <c r="B560" s="2" t="str">
        <f>VLOOKUP(A560,Stammdaten!$A$3:$B$7,2,FALSE)</f>
        <v>Filiale West</v>
      </c>
      <c r="C560" s="3" t="str" cm="1">
        <f t="array" ref="C560">INDEX(Stammdaten!$A$11:$A$25,INT((ROW()-5)/12)+1 - INT((ROW()-5)/180)*15)</f>
        <v>A002</v>
      </c>
      <c r="D560" s="2" t="str">
        <f>VLOOKUP(C560,Stammdaten!$A$11:$B$25,2,FALSE)</f>
        <v>Fettarme Milch 1L</v>
      </c>
      <c r="E560" s="3" t="str">
        <f>VLOOKUP(C560,Stammdaten!$A$11:$C$25,3,FALSE)</f>
        <v>Milch</v>
      </c>
      <c r="F560" s="19">
        <f>VLOOKUP(C560,Stammdaten!$A$11:$D$25,4,FALSE)</f>
        <v>1.0900000000000001</v>
      </c>
      <c r="G560" s="4">
        <f t="shared" si="104"/>
        <v>4</v>
      </c>
      <c r="H560" s="20" t="str">
        <f>VLOOKUP(G560,Stammdaten!$A$30:$B$41,2,FALSE)</f>
        <v>April</v>
      </c>
      <c r="I560" s="4">
        <v>637</v>
      </c>
      <c r="J560" s="4">
        <v>638</v>
      </c>
      <c r="K560" s="4">
        <f t="shared" si="105"/>
        <v>1</v>
      </c>
      <c r="L560" s="27">
        <f t="shared" si="106"/>
        <v>0.15698587127158556</v>
      </c>
      <c r="M560" s="52" t="str">
        <f t="shared" si="107"/>
        <v>Überbestand</v>
      </c>
      <c r="N560" s="28">
        <f t="shared" si="108"/>
        <v>1.0900000000000001</v>
      </c>
      <c r="O560" s="5">
        <v>3</v>
      </c>
      <c r="P560" s="4">
        <v>3</v>
      </c>
      <c r="Q560" s="28">
        <f t="shared" si="109"/>
        <v>0</v>
      </c>
      <c r="R560" s="50">
        <f t="shared" si="110"/>
        <v>0</v>
      </c>
      <c r="S560" s="2" t="str">
        <f t="shared" si="111"/>
        <v>Ostern</v>
      </c>
      <c r="T560" s="4">
        <v>1</v>
      </c>
      <c r="U560" s="4" t="str">
        <f t="shared" si="112"/>
        <v>Ja - 20% Reduzierung</v>
      </c>
      <c r="V560" s="4">
        <f t="shared" si="113"/>
        <v>20</v>
      </c>
      <c r="W560" s="19">
        <f t="shared" si="114"/>
        <v>0.87</v>
      </c>
      <c r="X560" s="5">
        <v>83</v>
      </c>
      <c r="Y560" s="28">
        <f t="shared" si="115"/>
        <v>18.09</v>
      </c>
      <c r="Z560" s="31" t="s">
        <v>173</v>
      </c>
      <c r="AA560" t="str">
        <f t="shared" si="116"/>
        <v>Kassenfehler (Überbestand)</v>
      </c>
    </row>
    <row r="561" spans="1:27" x14ac:dyDescent="0.35">
      <c r="A561" s="32" t="s">
        <v>17</v>
      </c>
      <c r="B561" s="2" t="str">
        <f>VLOOKUP(A561,Stammdaten!$A$3:$B$7,2,FALSE)</f>
        <v>Filiale West</v>
      </c>
      <c r="C561" s="3" t="str" cm="1">
        <f t="array" ref="C561">INDEX(Stammdaten!$A$11:$A$25,INT((ROW()-5)/12)+1 - INT((ROW()-5)/180)*15)</f>
        <v>A002</v>
      </c>
      <c r="D561" s="2" t="str">
        <f>VLOOKUP(C561,Stammdaten!$A$11:$B$25,2,FALSE)</f>
        <v>Fettarme Milch 1L</v>
      </c>
      <c r="E561" s="3" t="str">
        <f>VLOOKUP(C561,Stammdaten!$A$11:$C$25,3,FALSE)</f>
        <v>Milch</v>
      </c>
      <c r="F561" s="19">
        <f>VLOOKUP(C561,Stammdaten!$A$11:$D$25,4,FALSE)</f>
        <v>1.0900000000000001</v>
      </c>
      <c r="G561" s="4">
        <f t="shared" si="104"/>
        <v>5</v>
      </c>
      <c r="H561" s="20" t="str">
        <f>VLOOKUP(G561,Stammdaten!$A$30:$B$41,2,FALSE)</f>
        <v>Mai</v>
      </c>
      <c r="I561" s="4">
        <v>510</v>
      </c>
      <c r="J561" s="4">
        <v>518</v>
      </c>
      <c r="K561" s="4">
        <f t="shared" si="105"/>
        <v>8</v>
      </c>
      <c r="L561" s="27">
        <f t="shared" si="106"/>
        <v>1.5686274509803921</v>
      </c>
      <c r="M561" s="52" t="str">
        <f t="shared" si="107"/>
        <v>Überbestand</v>
      </c>
      <c r="N561" s="28">
        <f t="shared" si="108"/>
        <v>8.7200000000000006</v>
      </c>
      <c r="O561" s="5">
        <v>6</v>
      </c>
      <c r="P561" s="4">
        <v>0</v>
      </c>
      <c r="Q561" s="28">
        <f t="shared" si="109"/>
        <v>0</v>
      </c>
      <c r="R561" s="50">
        <f t="shared" si="110"/>
        <v>0</v>
      </c>
      <c r="S561" s="2" t="str">
        <f t="shared" si="111"/>
        <v>Normal</v>
      </c>
      <c r="T561" s="4">
        <v>8</v>
      </c>
      <c r="U561" s="4" t="str">
        <f t="shared" si="112"/>
        <v>Nein</v>
      </c>
      <c r="V561" s="4">
        <f t="shared" si="113"/>
        <v>0</v>
      </c>
      <c r="W561" s="19">
        <f t="shared" si="114"/>
        <v>1.0900000000000001</v>
      </c>
      <c r="X561" s="5">
        <v>0</v>
      </c>
      <c r="Y561" s="28">
        <f t="shared" si="115"/>
        <v>0</v>
      </c>
      <c r="Z561" s="31" t="s">
        <v>172</v>
      </c>
      <c r="AA561" t="str">
        <f t="shared" si="116"/>
        <v>Kassenfehler (Überbestand)</v>
      </c>
    </row>
    <row r="562" spans="1:27" x14ac:dyDescent="0.35">
      <c r="A562" s="32" t="s">
        <v>17</v>
      </c>
      <c r="B562" s="2" t="str">
        <f>VLOOKUP(A562,Stammdaten!$A$3:$B$7,2,FALSE)</f>
        <v>Filiale West</v>
      </c>
      <c r="C562" s="3" t="str" cm="1">
        <f t="array" ref="C562">INDEX(Stammdaten!$A$11:$A$25,INT((ROW()-5)/12)+1 - INT((ROW()-5)/180)*15)</f>
        <v>A002</v>
      </c>
      <c r="D562" s="2" t="str">
        <f>VLOOKUP(C562,Stammdaten!$A$11:$B$25,2,FALSE)</f>
        <v>Fettarme Milch 1L</v>
      </c>
      <c r="E562" s="3" t="str">
        <f>VLOOKUP(C562,Stammdaten!$A$11:$C$25,3,FALSE)</f>
        <v>Milch</v>
      </c>
      <c r="F562" s="19">
        <f>VLOOKUP(C562,Stammdaten!$A$11:$D$25,4,FALSE)</f>
        <v>1.0900000000000001</v>
      </c>
      <c r="G562" s="4">
        <f t="shared" si="104"/>
        <v>6</v>
      </c>
      <c r="H562" s="20" t="str">
        <f>VLOOKUP(G562,Stammdaten!$A$30:$B$41,2,FALSE)</f>
        <v>Juni</v>
      </c>
      <c r="I562" s="4">
        <v>550</v>
      </c>
      <c r="J562" s="4">
        <v>526</v>
      </c>
      <c r="K562" s="4">
        <f t="shared" si="105"/>
        <v>-24</v>
      </c>
      <c r="L562" s="27">
        <f t="shared" si="106"/>
        <v>-4.3636363636363642</v>
      </c>
      <c r="M562" s="52" t="str">
        <f t="shared" si="107"/>
        <v>Schwund</v>
      </c>
      <c r="N562" s="28">
        <f t="shared" si="108"/>
        <v>26.160000000000004</v>
      </c>
      <c r="O562" s="5">
        <v>5</v>
      </c>
      <c r="P562" s="4">
        <v>2</v>
      </c>
      <c r="Q562" s="28">
        <f t="shared" si="109"/>
        <v>6.5400000000000009</v>
      </c>
      <c r="R562" s="50">
        <f t="shared" si="110"/>
        <v>7.8480000000000008</v>
      </c>
      <c r="S562" s="2" t="str">
        <f t="shared" si="111"/>
        <v>Normal</v>
      </c>
      <c r="T562" s="4">
        <v>0</v>
      </c>
      <c r="U562" s="4" t="str">
        <f t="shared" si="112"/>
        <v>Nein</v>
      </c>
      <c r="V562" s="4">
        <f t="shared" si="113"/>
        <v>0</v>
      </c>
      <c r="W562" s="19">
        <f t="shared" si="114"/>
        <v>1.0900000000000001</v>
      </c>
      <c r="X562" s="5">
        <v>0</v>
      </c>
      <c r="Y562" s="28">
        <f t="shared" si="115"/>
        <v>0</v>
      </c>
      <c r="Z562" s="31" t="s">
        <v>172</v>
      </c>
      <c r="AA562" t="str">
        <f t="shared" si="116"/>
        <v>Prozessfehler</v>
      </c>
    </row>
    <row r="563" spans="1:27" x14ac:dyDescent="0.35">
      <c r="A563" s="32" t="s">
        <v>17</v>
      </c>
      <c r="B563" s="2" t="str">
        <f>VLOOKUP(A563,Stammdaten!$A$3:$B$7,2,FALSE)</f>
        <v>Filiale West</v>
      </c>
      <c r="C563" s="3" t="str" cm="1">
        <f t="array" ref="C563">INDEX(Stammdaten!$A$11:$A$25,INT((ROW()-5)/12)+1 - INT((ROW()-5)/180)*15)</f>
        <v>A002</v>
      </c>
      <c r="D563" s="2" t="str">
        <f>VLOOKUP(C563,Stammdaten!$A$11:$B$25,2,FALSE)</f>
        <v>Fettarme Milch 1L</v>
      </c>
      <c r="E563" s="3" t="str">
        <f>VLOOKUP(C563,Stammdaten!$A$11:$C$25,3,FALSE)</f>
        <v>Milch</v>
      </c>
      <c r="F563" s="19">
        <f>VLOOKUP(C563,Stammdaten!$A$11:$D$25,4,FALSE)</f>
        <v>1.0900000000000001</v>
      </c>
      <c r="G563" s="4">
        <f t="shared" si="104"/>
        <v>7</v>
      </c>
      <c r="H563" s="20" t="str">
        <f>VLOOKUP(G563,Stammdaten!$A$30:$B$41,2,FALSE)</f>
        <v>Juli</v>
      </c>
      <c r="I563" s="4">
        <v>594</v>
      </c>
      <c r="J563" s="4">
        <v>596</v>
      </c>
      <c r="K563" s="4">
        <f t="shared" si="105"/>
        <v>2</v>
      </c>
      <c r="L563" s="27">
        <f t="shared" si="106"/>
        <v>0.33670033670033667</v>
      </c>
      <c r="M563" s="52" t="str">
        <f t="shared" si="107"/>
        <v>Überbestand</v>
      </c>
      <c r="N563" s="28">
        <f t="shared" si="108"/>
        <v>2.1800000000000002</v>
      </c>
      <c r="O563" s="5">
        <v>2</v>
      </c>
      <c r="P563" s="4">
        <v>2</v>
      </c>
      <c r="Q563" s="28">
        <f t="shared" si="109"/>
        <v>0</v>
      </c>
      <c r="R563" s="50">
        <f t="shared" si="110"/>
        <v>0</v>
      </c>
      <c r="S563" s="2" t="str">
        <f t="shared" si="111"/>
        <v>Normal</v>
      </c>
      <c r="T563" s="4">
        <v>2</v>
      </c>
      <c r="U563" s="4" t="str">
        <f t="shared" si="112"/>
        <v>Ja - 20% Reduzierung</v>
      </c>
      <c r="V563" s="4">
        <f t="shared" si="113"/>
        <v>20</v>
      </c>
      <c r="W563" s="19">
        <f t="shared" si="114"/>
        <v>0.87</v>
      </c>
      <c r="X563" s="5">
        <v>42</v>
      </c>
      <c r="Y563" s="28">
        <f t="shared" si="115"/>
        <v>9.16</v>
      </c>
      <c r="Z563" s="31" t="s">
        <v>173</v>
      </c>
      <c r="AA563" t="str">
        <f t="shared" si="116"/>
        <v>Kassenfehler (Überbestand)</v>
      </c>
    </row>
    <row r="564" spans="1:27" x14ac:dyDescent="0.35">
      <c r="A564" s="32" t="s">
        <v>17</v>
      </c>
      <c r="B564" s="2" t="str">
        <f>VLOOKUP(A564,Stammdaten!$A$3:$B$7,2,FALSE)</f>
        <v>Filiale West</v>
      </c>
      <c r="C564" s="3" t="str" cm="1">
        <f t="array" ref="C564">INDEX(Stammdaten!$A$11:$A$25,INT((ROW()-5)/12)+1 - INT((ROW()-5)/180)*15)</f>
        <v>A002</v>
      </c>
      <c r="D564" s="2" t="str">
        <f>VLOOKUP(C564,Stammdaten!$A$11:$B$25,2,FALSE)</f>
        <v>Fettarme Milch 1L</v>
      </c>
      <c r="E564" s="3" t="str">
        <f>VLOOKUP(C564,Stammdaten!$A$11:$C$25,3,FALSE)</f>
        <v>Milch</v>
      </c>
      <c r="F564" s="19">
        <f>VLOOKUP(C564,Stammdaten!$A$11:$D$25,4,FALSE)</f>
        <v>1.0900000000000001</v>
      </c>
      <c r="G564" s="4">
        <f t="shared" si="104"/>
        <v>8</v>
      </c>
      <c r="H564" s="20" t="str">
        <f>VLOOKUP(G564,Stammdaten!$A$30:$B$41,2,FALSE)</f>
        <v>August</v>
      </c>
      <c r="I564" s="4">
        <v>564</v>
      </c>
      <c r="J564" s="4">
        <v>539</v>
      </c>
      <c r="K564" s="4">
        <f t="shared" si="105"/>
        <v>-25</v>
      </c>
      <c r="L564" s="27">
        <f t="shared" si="106"/>
        <v>-4.4326241134751774</v>
      </c>
      <c r="M564" s="52" t="str">
        <f t="shared" si="107"/>
        <v>Schwund</v>
      </c>
      <c r="N564" s="28">
        <f t="shared" si="108"/>
        <v>27.250000000000004</v>
      </c>
      <c r="O564" s="5">
        <v>7</v>
      </c>
      <c r="P564" s="4">
        <v>1</v>
      </c>
      <c r="Q564" s="28">
        <f t="shared" si="109"/>
        <v>6.8125000000000009</v>
      </c>
      <c r="R564" s="50">
        <f t="shared" si="110"/>
        <v>8.1750000000000007</v>
      </c>
      <c r="S564" s="2" t="str">
        <f t="shared" si="111"/>
        <v>Normal</v>
      </c>
      <c r="T564" s="4">
        <v>0</v>
      </c>
      <c r="U564" s="4" t="str">
        <f t="shared" si="112"/>
        <v>Nein</v>
      </c>
      <c r="V564" s="4">
        <f t="shared" si="113"/>
        <v>0</v>
      </c>
      <c r="W564" s="19">
        <f t="shared" si="114"/>
        <v>1.0900000000000001</v>
      </c>
      <c r="X564" s="5">
        <v>0</v>
      </c>
      <c r="Y564" s="28">
        <f t="shared" si="115"/>
        <v>0</v>
      </c>
      <c r="Z564" s="31" t="s">
        <v>172</v>
      </c>
      <c r="AA564" t="str">
        <f t="shared" si="116"/>
        <v>Buchungsfehler Wareneingang</v>
      </c>
    </row>
    <row r="565" spans="1:27" x14ac:dyDescent="0.35">
      <c r="A565" s="32" t="s">
        <v>17</v>
      </c>
      <c r="B565" s="2" t="str">
        <f>VLOOKUP(A565,Stammdaten!$A$3:$B$7,2,FALSE)</f>
        <v>Filiale West</v>
      </c>
      <c r="C565" s="3" t="str" cm="1">
        <f t="array" ref="C565">INDEX(Stammdaten!$A$11:$A$25,INT((ROW()-5)/12)+1 - INT((ROW()-5)/180)*15)</f>
        <v>A002</v>
      </c>
      <c r="D565" s="2" t="str">
        <f>VLOOKUP(C565,Stammdaten!$A$11:$B$25,2,FALSE)</f>
        <v>Fettarme Milch 1L</v>
      </c>
      <c r="E565" s="3" t="str">
        <f>VLOOKUP(C565,Stammdaten!$A$11:$C$25,3,FALSE)</f>
        <v>Milch</v>
      </c>
      <c r="F565" s="19">
        <f>VLOOKUP(C565,Stammdaten!$A$11:$D$25,4,FALSE)</f>
        <v>1.0900000000000001</v>
      </c>
      <c r="G565" s="4">
        <f t="shared" si="104"/>
        <v>9</v>
      </c>
      <c r="H565" s="20" t="str">
        <f>VLOOKUP(G565,Stammdaten!$A$30:$B$41,2,FALSE)</f>
        <v>September</v>
      </c>
      <c r="I565" s="4">
        <v>480</v>
      </c>
      <c r="J565" s="4">
        <v>457</v>
      </c>
      <c r="K565" s="4">
        <f t="shared" si="105"/>
        <v>-23</v>
      </c>
      <c r="L565" s="27">
        <f t="shared" si="106"/>
        <v>-4.791666666666667</v>
      </c>
      <c r="M565" s="52" t="str">
        <f t="shared" si="107"/>
        <v>Schwund</v>
      </c>
      <c r="N565" s="28">
        <f t="shared" si="108"/>
        <v>25.07</v>
      </c>
      <c r="O565" s="5">
        <v>3</v>
      </c>
      <c r="P565" s="4">
        <v>0</v>
      </c>
      <c r="Q565" s="28">
        <f t="shared" si="109"/>
        <v>6.2675000000000001</v>
      </c>
      <c r="R565" s="50">
        <f t="shared" si="110"/>
        <v>7.5209999999999999</v>
      </c>
      <c r="S565" s="2" t="str">
        <f t="shared" si="111"/>
        <v>Normal</v>
      </c>
      <c r="T565" s="4">
        <v>0</v>
      </c>
      <c r="U565" s="4" t="str">
        <f t="shared" si="112"/>
        <v>Ja - 20% Reduzierung</v>
      </c>
      <c r="V565" s="4">
        <f t="shared" si="113"/>
        <v>20</v>
      </c>
      <c r="W565" s="19">
        <f t="shared" si="114"/>
        <v>0.87</v>
      </c>
      <c r="X565" s="5">
        <v>38</v>
      </c>
      <c r="Y565" s="28">
        <f t="shared" si="115"/>
        <v>8.2799999999999994</v>
      </c>
      <c r="Z565" s="31" t="s">
        <v>227</v>
      </c>
      <c r="AA565" t="str">
        <f t="shared" si="116"/>
        <v>MHD - Prozessfehler</v>
      </c>
    </row>
    <row r="566" spans="1:27" x14ac:dyDescent="0.35">
      <c r="A566" s="32" t="s">
        <v>17</v>
      </c>
      <c r="B566" s="2" t="str">
        <f>VLOOKUP(A566,Stammdaten!$A$3:$B$7,2,FALSE)</f>
        <v>Filiale West</v>
      </c>
      <c r="C566" s="3" t="str" cm="1">
        <f t="array" ref="C566">INDEX(Stammdaten!$A$11:$A$25,INT((ROW()-5)/12)+1 - INT((ROW()-5)/180)*15)</f>
        <v>A002</v>
      </c>
      <c r="D566" s="2" t="str">
        <f>VLOOKUP(C566,Stammdaten!$A$11:$B$25,2,FALSE)</f>
        <v>Fettarme Milch 1L</v>
      </c>
      <c r="E566" s="3" t="str">
        <f>VLOOKUP(C566,Stammdaten!$A$11:$C$25,3,FALSE)</f>
        <v>Milch</v>
      </c>
      <c r="F566" s="19">
        <f>VLOOKUP(C566,Stammdaten!$A$11:$D$25,4,FALSE)</f>
        <v>1.0900000000000001</v>
      </c>
      <c r="G566" s="4">
        <f t="shared" si="104"/>
        <v>10</v>
      </c>
      <c r="H566" s="20" t="str">
        <f>VLOOKUP(G566,Stammdaten!$A$30:$B$41,2,FALSE)</f>
        <v>Oktober</v>
      </c>
      <c r="I566" s="4">
        <v>475</v>
      </c>
      <c r="J566" s="4">
        <v>451</v>
      </c>
      <c r="K566" s="4">
        <f t="shared" si="105"/>
        <v>-24</v>
      </c>
      <c r="L566" s="27">
        <f t="shared" si="106"/>
        <v>-5.0526315789473681</v>
      </c>
      <c r="M566" s="52" t="str">
        <f t="shared" si="107"/>
        <v>Schwund</v>
      </c>
      <c r="N566" s="28">
        <f t="shared" si="108"/>
        <v>26.160000000000004</v>
      </c>
      <c r="O566" s="5">
        <v>6</v>
      </c>
      <c r="P566" s="4">
        <v>2</v>
      </c>
      <c r="Q566" s="28">
        <f t="shared" si="109"/>
        <v>6.5400000000000009</v>
      </c>
      <c r="R566" s="50">
        <f t="shared" si="110"/>
        <v>7.8480000000000008</v>
      </c>
      <c r="S566" s="2" t="str">
        <f t="shared" si="111"/>
        <v>Normal</v>
      </c>
      <c r="T566" s="4">
        <v>0</v>
      </c>
      <c r="U566" s="4" t="str">
        <f t="shared" si="112"/>
        <v>Nein</v>
      </c>
      <c r="V566" s="4">
        <f t="shared" si="113"/>
        <v>0</v>
      </c>
      <c r="W566" s="19">
        <f t="shared" si="114"/>
        <v>1.0900000000000001</v>
      </c>
      <c r="X566" s="5">
        <v>0</v>
      </c>
      <c r="Y566" s="28">
        <f t="shared" si="115"/>
        <v>0</v>
      </c>
      <c r="Z566" s="31" t="s">
        <v>172</v>
      </c>
      <c r="AA566" t="str">
        <f t="shared" si="116"/>
        <v>Prozessfehler</v>
      </c>
    </row>
    <row r="567" spans="1:27" x14ac:dyDescent="0.35">
      <c r="A567" s="32" t="s">
        <v>17</v>
      </c>
      <c r="B567" s="2" t="str">
        <f>VLOOKUP(A567,Stammdaten!$A$3:$B$7,2,FALSE)</f>
        <v>Filiale West</v>
      </c>
      <c r="C567" s="3" t="str" cm="1">
        <f t="array" ref="C567">INDEX(Stammdaten!$A$11:$A$25,INT((ROW()-5)/12)+1 - INT((ROW()-5)/180)*15)</f>
        <v>A002</v>
      </c>
      <c r="D567" s="2" t="str">
        <f>VLOOKUP(C567,Stammdaten!$A$11:$B$25,2,FALSE)</f>
        <v>Fettarme Milch 1L</v>
      </c>
      <c r="E567" s="3" t="str">
        <f>VLOOKUP(C567,Stammdaten!$A$11:$C$25,3,FALSE)</f>
        <v>Milch</v>
      </c>
      <c r="F567" s="19">
        <f>VLOOKUP(C567,Stammdaten!$A$11:$D$25,4,FALSE)</f>
        <v>1.0900000000000001</v>
      </c>
      <c r="G567" s="4">
        <f t="shared" si="104"/>
        <v>11</v>
      </c>
      <c r="H567" s="20" t="str">
        <f>VLOOKUP(G567,Stammdaten!$A$30:$B$41,2,FALSE)</f>
        <v>November</v>
      </c>
      <c r="I567" s="4">
        <v>534</v>
      </c>
      <c r="J567" s="4">
        <v>502</v>
      </c>
      <c r="K567" s="4">
        <f t="shared" si="105"/>
        <v>-32</v>
      </c>
      <c r="L567" s="27">
        <f t="shared" si="106"/>
        <v>-5.9925093632958806</v>
      </c>
      <c r="M567" s="52" t="str">
        <f t="shared" si="107"/>
        <v>Schwund</v>
      </c>
      <c r="N567" s="28">
        <f t="shared" si="108"/>
        <v>34.880000000000003</v>
      </c>
      <c r="O567" s="5">
        <v>0</v>
      </c>
      <c r="P567" s="4">
        <v>0</v>
      </c>
      <c r="Q567" s="28">
        <f t="shared" si="109"/>
        <v>8.7200000000000006</v>
      </c>
      <c r="R567" s="50">
        <f t="shared" si="110"/>
        <v>10.464</v>
      </c>
      <c r="S567" s="2" t="str">
        <f t="shared" si="111"/>
        <v>Black Friday</v>
      </c>
      <c r="T567" s="4">
        <v>0</v>
      </c>
      <c r="U567" s="4" t="str">
        <f t="shared" si="112"/>
        <v>Abschreibung</v>
      </c>
      <c r="V567" s="4">
        <f t="shared" si="113"/>
        <v>100</v>
      </c>
      <c r="W567" s="19">
        <f t="shared" si="114"/>
        <v>0</v>
      </c>
      <c r="X567" s="5">
        <v>5</v>
      </c>
      <c r="Y567" s="28">
        <f t="shared" si="115"/>
        <v>5.45</v>
      </c>
      <c r="Z567" s="31" t="s">
        <v>173</v>
      </c>
      <c r="AA567" t="str">
        <f t="shared" si="116"/>
        <v>Verderb - Abgelaufen</v>
      </c>
    </row>
    <row r="568" spans="1:27" x14ac:dyDescent="0.35">
      <c r="A568" s="32" t="s">
        <v>17</v>
      </c>
      <c r="B568" s="2" t="str">
        <f>VLOOKUP(A568,Stammdaten!$A$3:$B$7,2,FALSE)</f>
        <v>Filiale West</v>
      </c>
      <c r="C568" s="3" t="str" cm="1">
        <f t="array" ref="C568">INDEX(Stammdaten!$A$11:$A$25,INT((ROW()-5)/12)+1 - INT((ROW()-5)/180)*15)</f>
        <v>A002</v>
      </c>
      <c r="D568" s="2" t="str">
        <f>VLOOKUP(C568,Stammdaten!$A$11:$B$25,2,FALSE)</f>
        <v>Fettarme Milch 1L</v>
      </c>
      <c r="E568" s="3" t="str">
        <f>VLOOKUP(C568,Stammdaten!$A$11:$C$25,3,FALSE)</f>
        <v>Milch</v>
      </c>
      <c r="F568" s="19">
        <f>VLOOKUP(C568,Stammdaten!$A$11:$D$25,4,FALSE)</f>
        <v>1.0900000000000001</v>
      </c>
      <c r="G568" s="4">
        <f t="shared" si="104"/>
        <v>12</v>
      </c>
      <c r="H568" s="20" t="str">
        <f>VLOOKUP(G568,Stammdaten!$A$30:$B$41,2,FALSE)</f>
        <v>Dezember</v>
      </c>
      <c r="I568" s="4">
        <v>665</v>
      </c>
      <c r="J568" s="4">
        <v>632</v>
      </c>
      <c r="K568" s="4">
        <f t="shared" si="105"/>
        <v>-33</v>
      </c>
      <c r="L568" s="27">
        <f t="shared" si="106"/>
        <v>-4.9624060150375939</v>
      </c>
      <c r="M568" s="52" t="str">
        <f t="shared" si="107"/>
        <v>Schwund</v>
      </c>
      <c r="N568" s="28">
        <f t="shared" si="108"/>
        <v>35.970000000000006</v>
      </c>
      <c r="O568" s="5">
        <v>4</v>
      </c>
      <c r="P568" s="4">
        <v>0</v>
      </c>
      <c r="Q568" s="28">
        <f t="shared" si="109"/>
        <v>8.9925000000000015</v>
      </c>
      <c r="R568" s="50">
        <f t="shared" si="110"/>
        <v>10.791000000000002</v>
      </c>
      <c r="S568" s="2" t="str">
        <f t="shared" si="111"/>
        <v>Weihnachten/Silvester</v>
      </c>
      <c r="T568" s="4">
        <v>0</v>
      </c>
      <c r="U568" s="4" t="str">
        <f t="shared" si="112"/>
        <v>Nein</v>
      </c>
      <c r="V568" s="4">
        <f t="shared" si="113"/>
        <v>0</v>
      </c>
      <c r="W568" s="19">
        <f t="shared" si="114"/>
        <v>1.0900000000000001</v>
      </c>
      <c r="X568" s="5">
        <v>0</v>
      </c>
      <c r="Y568" s="28">
        <f t="shared" si="115"/>
        <v>0</v>
      </c>
      <c r="Z568" s="31" t="s">
        <v>172</v>
      </c>
      <c r="AA568" t="str">
        <f t="shared" si="116"/>
        <v>Buchungsfehler Wareneingang</v>
      </c>
    </row>
    <row r="569" spans="1:27" x14ac:dyDescent="0.35">
      <c r="A569" s="32" t="s">
        <v>17</v>
      </c>
      <c r="B569" s="2" t="str">
        <f>VLOOKUP(A569,Stammdaten!$A$3:$B$7,2,FALSE)</f>
        <v>Filiale West</v>
      </c>
      <c r="C569" s="3" t="str" cm="1">
        <f t="array" ref="C569">INDEX(Stammdaten!$A$11:$A$25,INT((ROW()-5)/12)+1 - INT((ROW()-5)/180)*15)</f>
        <v>A003</v>
      </c>
      <c r="D569" s="2" t="str">
        <f>VLOOKUP(C569,Stammdaten!$A$11:$B$25,2,FALSE)</f>
        <v>Bio-Milch 1L</v>
      </c>
      <c r="E569" s="3" t="str">
        <f>VLOOKUP(C569,Stammdaten!$A$11:$C$25,3,FALSE)</f>
        <v>Milch</v>
      </c>
      <c r="F569" s="19">
        <f>VLOOKUP(C569,Stammdaten!$A$11:$D$25,4,FALSE)</f>
        <v>1.59</v>
      </c>
      <c r="G569" s="4">
        <f t="shared" si="104"/>
        <v>1</v>
      </c>
      <c r="H569" s="20" t="str">
        <f>VLOOKUP(G569,Stammdaten!$A$30:$B$41,2,FALSE)</f>
        <v>Januar</v>
      </c>
      <c r="I569" s="4">
        <v>196</v>
      </c>
      <c r="J569" s="4">
        <v>198</v>
      </c>
      <c r="K569" s="4">
        <f t="shared" si="105"/>
        <v>2</v>
      </c>
      <c r="L569" s="27">
        <f t="shared" si="106"/>
        <v>1.0204081632653061</v>
      </c>
      <c r="M569" s="52" t="str">
        <f t="shared" si="107"/>
        <v>Überbestand</v>
      </c>
      <c r="N569" s="28">
        <f t="shared" si="108"/>
        <v>3.18</v>
      </c>
      <c r="O569" s="5">
        <v>7</v>
      </c>
      <c r="P569" s="4">
        <v>3</v>
      </c>
      <c r="Q569" s="28">
        <f t="shared" si="109"/>
        <v>0</v>
      </c>
      <c r="R569" s="50">
        <f t="shared" si="110"/>
        <v>0</v>
      </c>
      <c r="S569" s="2" t="str">
        <f t="shared" si="111"/>
        <v>Normal</v>
      </c>
      <c r="T569" s="4">
        <v>2</v>
      </c>
      <c r="U569" s="4" t="str">
        <f t="shared" si="112"/>
        <v>Nein</v>
      </c>
      <c r="V569" s="4">
        <f t="shared" si="113"/>
        <v>0</v>
      </c>
      <c r="W569" s="19">
        <f t="shared" si="114"/>
        <v>1.59</v>
      </c>
      <c r="X569" s="5">
        <v>0</v>
      </c>
      <c r="Y569" s="28">
        <f t="shared" si="115"/>
        <v>0</v>
      </c>
      <c r="Z569" s="31" t="s">
        <v>172</v>
      </c>
      <c r="AA569" t="str">
        <f t="shared" si="116"/>
        <v>Kassenfehler (Überbestand)</v>
      </c>
    </row>
    <row r="570" spans="1:27" x14ac:dyDescent="0.35">
      <c r="A570" s="32" t="s">
        <v>17</v>
      </c>
      <c r="B570" s="2" t="str">
        <f>VLOOKUP(A570,Stammdaten!$A$3:$B$7,2,FALSE)</f>
        <v>Filiale West</v>
      </c>
      <c r="C570" s="3" t="str" cm="1">
        <f t="array" ref="C570">INDEX(Stammdaten!$A$11:$A$25,INT((ROW()-5)/12)+1 - INT((ROW()-5)/180)*15)</f>
        <v>A003</v>
      </c>
      <c r="D570" s="2" t="str">
        <f>VLOOKUP(C570,Stammdaten!$A$11:$B$25,2,FALSE)</f>
        <v>Bio-Milch 1L</v>
      </c>
      <c r="E570" s="3" t="str">
        <f>VLOOKUP(C570,Stammdaten!$A$11:$C$25,3,FALSE)</f>
        <v>Milch</v>
      </c>
      <c r="F570" s="19">
        <f>VLOOKUP(C570,Stammdaten!$A$11:$D$25,4,FALSE)</f>
        <v>1.59</v>
      </c>
      <c r="G570" s="4">
        <f t="shared" si="104"/>
        <v>2</v>
      </c>
      <c r="H570" s="20" t="str">
        <f>VLOOKUP(G570,Stammdaten!$A$30:$B$41,2,FALSE)</f>
        <v>Februar</v>
      </c>
      <c r="I570" s="4">
        <v>189</v>
      </c>
      <c r="J570" s="4">
        <v>185</v>
      </c>
      <c r="K570" s="4">
        <f t="shared" si="105"/>
        <v>-4</v>
      </c>
      <c r="L570" s="27">
        <f t="shared" si="106"/>
        <v>-2.1164021164021163</v>
      </c>
      <c r="M570" s="52" t="str">
        <f t="shared" si="107"/>
        <v>Schwund</v>
      </c>
      <c r="N570" s="28">
        <f t="shared" si="108"/>
        <v>6.36</v>
      </c>
      <c r="O570" s="5">
        <v>0</v>
      </c>
      <c r="P570" s="4">
        <v>0</v>
      </c>
      <c r="Q570" s="28">
        <f t="shared" si="109"/>
        <v>1.59</v>
      </c>
      <c r="R570" s="50">
        <f t="shared" si="110"/>
        <v>1.9079999999999999</v>
      </c>
      <c r="S570" s="2" t="str">
        <f t="shared" si="111"/>
        <v>Karneval</v>
      </c>
      <c r="T570" s="4">
        <v>0</v>
      </c>
      <c r="U570" s="4" t="str">
        <f t="shared" si="112"/>
        <v>Abschreibung</v>
      </c>
      <c r="V570" s="4">
        <f t="shared" si="113"/>
        <v>100</v>
      </c>
      <c r="W570" s="19">
        <f t="shared" si="114"/>
        <v>0</v>
      </c>
      <c r="X570" s="5">
        <v>6</v>
      </c>
      <c r="Y570" s="28">
        <f t="shared" si="115"/>
        <v>9.5399999999999991</v>
      </c>
      <c r="Z570" s="31" t="s">
        <v>173</v>
      </c>
      <c r="AA570" t="str">
        <f t="shared" si="116"/>
        <v>Verderb - Abgelaufen</v>
      </c>
    </row>
    <row r="571" spans="1:27" x14ac:dyDescent="0.35">
      <c r="A571" s="32" t="s">
        <v>17</v>
      </c>
      <c r="B571" s="2" t="str">
        <f>VLOOKUP(A571,Stammdaten!$A$3:$B$7,2,FALSE)</f>
        <v>Filiale West</v>
      </c>
      <c r="C571" s="3" t="str" cm="1">
        <f t="array" ref="C571">INDEX(Stammdaten!$A$11:$A$25,INT((ROW()-5)/12)+1 - INT((ROW()-5)/180)*15)</f>
        <v>A003</v>
      </c>
      <c r="D571" s="2" t="str">
        <f>VLOOKUP(C571,Stammdaten!$A$11:$B$25,2,FALSE)</f>
        <v>Bio-Milch 1L</v>
      </c>
      <c r="E571" s="3" t="str">
        <f>VLOOKUP(C571,Stammdaten!$A$11:$C$25,3,FALSE)</f>
        <v>Milch</v>
      </c>
      <c r="F571" s="19">
        <f>VLOOKUP(C571,Stammdaten!$A$11:$D$25,4,FALSE)</f>
        <v>1.59</v>
      </c>
      <c r="G571" s="4">
        <f t="shared" si="104"/>
        <v>3</v>
      </c>
      <c r="H571" s="20" t="str">
        <f>VLOOKUP(G571,Stammdaten!$A$30:$B$41,2,FALSE)</f>
        <v>März</v>
      </c>
      <c r="I571" s="4">
        <v>224</v>
      </c>
      <c r="J571" s="4">
        <v>228</v>
      </c>
      <c r="K571" s="4">
        <f t="shared" si="105"/>
        <v>4</v>
      </c>
      <c r="L571" s="27">
        <f t="shared" si="106"/>
        <v>1.7857142857142856</v>
      </c>
      <c r="M571" s="52" t="str">
        <f t="shared" si="107"/>
        <v>Überbestand</v>
      </c>
      <c r="N571" s="28">
        <f t="shared" si="108"/>
        <v>6.36</v>
      </c>
      <c r="O571" s="5">
        <v>7</v>
      </c>
      <c r="P571" s="4">
        <v>3</v>
      </c>
      <c r="Q571" s="28">
        <f t="shared" si="109"/>
        <v>0</v>
      </c>
      <c r="R571" s="50">
        <f t="shared" si="110"/>
        <v>0</v>
      </c>
      <c r="S571" s="2" t="str">
        <f t="shared" si="111"/>
        <v>Normal</v>
      </c>
      <c r="T571" s="4">
        <v>4</v>
      </c>
      <c r="U571" s="4" t="str">
        <f t="shared" si="112"/>
        <v>Nein</v>
      </c>
      <c r="V571" s="4">
        <f t="shared" si="113"/>
        <v>0</v>
      </c>
      <c r="W571" s="19">
        <f t="shared" si="114"/>
        <v>1.59</v>
      </c>
      <c r="X571" s="5">
        <v>0</v>
      </c>
      <c r="Y571" s="28">
        <f t="shared" si="115"/>
        <v>0</v>
      </c>
      <c r="Z571" s="31" t="s">
        <v>172</v>
      </c>
      <c r="AA571" t="str">
        <f t="shared" si="116"/>
        <v>Kassenfehler (Überbestand)</v>
      </c>
    </row>
    <row r="572" spans="1:27" x14ac:dyDescent="0.35">
      <c r="A572" s="32" t="s">
        <v>17</v>
      </c>
      <c r="B572" s="2" t="str">
        <f>VLOOKUP(A572,Stammdaten!$A$3:$B$7,2,FALSE)</f>
        <v>Filiale West</v>
      </c>
      <c r="C572" s="3" t="str" cm="1">
        <f t="array" ref="C572">INDEX(Stammdaten!$A$11:$A$25,INT((ROW()-5)/12)+1 - INT((ROW()-5)/180)*15)</f>
        <v>A003</v>
      </c>
      <c r="D572" s="2" t="str">
        <f>VLOOKUP(C572,Stammdaten!$A$11:$B$25,2,FALSE)</f>
        <v>Bio-Milch 1L</v>
      </c>
      <c r="E572" s="3" t="str">
        <f>VLOOKUP(C572,Stammdaten!$A$11:$C$25,3,FALSE)</f>
        <v>Milch</v>
      </c>
      <c r="F572" s="19">
        <f>VLOOKUP(C572,Stammdaten!$A$11:$D$25,4,FALSE)</f>
        <v>1.59</v>
      </c>
      <c r="G572" s="4">
        <f t="shared" si="104"/>
        <v>4</v>
      </c>
      <c r="H572" s="20" t="str">
        <f>VLOOKUP(G572,Stammdaten!$A$30:$B$41,2,FALSE)</f>
        <v>April</v>
      </c>
      <c r="I572" s="4">
        <v>278</v>
      </c>
      <c r="J572" s="4">
        <v>265</v>
      </c>
      <c r="K572" s="4">
        <f t="shared" si="105"/>
        <v>-13</v>
      </c>
      <c r="L572" s="27">
        <f t="shared" si="106"/>
        <v>-4.6762589928057556</v>
      </c>
      <c r="M572" s="52" t="str">
        <f t="shared" si="107"/>
        <v>Schwund</v>
      </c>
      <c r="N572" s="28">
        <f t="shared" si="108"/>
        <v>20.67</v>
      </c>
      <c r="O572" s="5">
        <v>2</v>
      </c>
      <c r="P572" s="4">
        <v>1</v>
      </c>
      <c r="Q572" s="28">
        <f t="shared" si="109"/>
        <v>5.1675000000000004</v>
      </c>
      <c r="R572" s="50">
        <f t="shared" si="110"/>
        <v>6.2010000000000005</v>
      </c>
      <c r="S572" s="2" t="str">
        <f t="shared" si="111"/>
        <v>Ostern</v>
      </c>
      <c r="T572" s="4">
        <v>0</v>
      </c>
      <c r="U572" s="4" t="str">
        <f t="shared" si="112"/>
        <v>Ja - 20% Reduzierung</v>
      </c>
      <c r="V572" s="4">
        <f t="shared" si="113"/>
        <v>20</v>
      </c>
      <c r="W572" s="19">
        <f t="shared" si="114"/>
        <v>1.27</v>
      </c>
      <c r="X572" s="5">
        <v>25</v>
      </c>
      <c r="Y572" s="28">
        <f t="shared" si="115"/>
        <v>7.95</v>
      </c>
      <c r="Z572" s="31" t="s">
        <v>164</v>
      </c>
      <c r="AA572" t="str">
        <f t="shared" si="116"/>
        <v>MHD - Prozessfehler</v>
      </c>
    </row>
    <row r="573" spans="1:27" x14ac:dyDescent="0.35">
      <c r="A573" s="32" t="s">
        <v>17</v>
      </c>
      <c r="B573" s="2" t="str">
        <f>VLOOKUP(A573,Stammdaten!$A$3:$B$7,2,FALSE)</f>
        <v>Filiale West</v>
      </c>
      <c r="C573" s="3" t="str" cm="1">
        <f t="array" ref="C573">INDEX(Stammdaten!$A$11:$A$25,INT((ROW()-5)/12)+1 - INT((ROW()-5)/180)*15)</f>
        <v>A003</v>
      </c>
      <c r="D573" s="2" t="str">
        <f>VLOOKUP(C573,Stammdaten!$A$11:$B$25,2,FALSE)</f>
        <v>Bio-Milch 1L</v>
      </c>
      <c r="E573" s="3" t="str">
        <f>VLOOKUP(C573,Stammdaten!$A$11:$C$25,3,FALSE)</f>
        <v>Milch</v>
      </c>
      <c r="F573" s="19">
        <f>VLOOKUP(C573,Stammdaten!$A$11:$D$25,4,FALSE)</f>
        <v>1.59</v>
      </c>
      <c r="G573" s="4">
        <f t="shared" si="104"/>
        <v>5</v>
      </c>
      <c r="H573" s="20" t="str">
        <f>VLOOKUP(G573,Stammdaten!$A$30:$B$41,2,FALSE)</f>
        <v>Mai</v>
      </c>
      <c r="I573" s="4">
        <v>211</v>
      </c>
      <c r="J573" s="4">
        <v>205</v>
      </c>
      <c r="K573" s="4">
        <f t="shared" si="105"/>
        <v>-6</v>
      </c>
      <c r="L573" s="27">
        <f t="shared" si="106"/>
        <v>-2.8436018957345972</v>
      </c>
      <c r="M573" s="52" t="str">
        <f t="shared" si="107"/>
        <v>Schwund</v>
      </c>
      <c r="N573" s="28">
        <f t="shared" si="108"/>
        <v>9.5400000000000009</v>
      </c>
      <c r="O573" s="5">
        <v>5</v>
      </c>
      <c r="P573" s="4">
        <v>1</v>
      </c>
      <c r="Q573" s="28">
        <f t="shared" si="109"/>
        <v>2.3850000000000002</v>
      </c>
      <c r="R573" s="50">
        <f t="shared" si="110"/>
        <v>2.8620000000000001</v>
      </c>
      <c r="S573" s="2" t="str">
        <f t="shared" si="111"/>
        <v>Normal</v>
      </c>
      <c r="T573" s="4">
        <v>0</v>
      </c>
      <c r="U573" s="4" t="str">
        <f t="shared" si="112"/>
        <v>Nein</v>
      </c>
      <c r="V573" s="4">
        <f t="shared" si="113"/>
        <v>0</v>
      </c>
      <c r="W573" s="19">
        <f t="shared" si="114"/>
        <v>1.59</v>
      </c>
      <c r="X573" s="5">
        <v>0</v>
      </c>
      <c r="Y573" s="28">
        <f t="shared" si="115"/>
        <v>0</v>
      </c>
      <c r="Z573" s="31" t="s">
        <v>172</v>
      </c>
      <c r="AA573" t="str">
        <f t="shared" si="116"/>
        <v>Buchungsfehler Wareneingang</v>
      </c>
    </row>
    <row r="574" spans="1:27" x14ac:dyDescent="0.35">
      <c r="A574" s="32" t="s">
        <v>17</v>
      </c>
      <c r="B574" s="2" t="str">
        <f>VLOOKUP(A574,Stammdaten!$A$3:$B$7,2,FALSE)</f>
        <v>Filiale West</v>
      </c>
      <c r="C574" s="3" t="str" cm="1">
        <f t="array" ref="C574">INDEX(Stammdaten!$A$11:$A$25,INT((ROW()-5)/12)+1 - INT((ROW()-5)/180)*15)</f>
        <v>A003</v>
      </c>
      <c r="D574" s="2" t="str">
        <f>VLOOKUP(C574,Stammdaten!$A$11:$B$25,2,FALSE)</f>
        <v>Bio-Milch 1L</v>
      </c>
      <c r="E574" s="3" t="str">
        <f>VLOOKUP(C574,Stammdaten!$A$11:$C$25,3,FALSE)</f>
        <v>Milch</v>
      </c>
      <c r="F574" s="19">
        <f>VLOOKUP(C574,Stammdaten!$A$11:$D$25,4,FALSE)</f>
        <v>1.59</v>
      </c>
      <c r="G574" s="4">
        <f t="shared" si="104"/>
        <v>6</v>
      </c>
      <c r="H574" s="20" t="str">
        <f>VLOOKUP(G574,Stammdaten!$A$30:$B$41,2,FALSE)</f>
        <v>Juni</v>
      </c>
      <c r="I574" s="4">
        <v>235</v>
      </c>
      <c r="J574" s="4">
        <v>237</v>
      </c>
      <c r="K574" s="4">
        <f t="shared" si="105"/>
        <v>2</v>
      </c>
      <c r="L574" s="27">
        <f t="shared" si="106"/>
        <v>0.85106382978723405</v>
      </c>
      <c r="M574" s="52" t="str">
        <f t="shared" si="107"/>
        <v>Überbestand</v>
      </c>
      <c r="N574" s="28">
        <f t="shared" si="108"/>
        <v>3.18</v>
      </c>
      <c r="O574" s="5">
        <v>6</v>
      </c>
      <c r="P574" s="4">
        <v>1</v>
      </c>
      <c r="Q574" s="28">
        <f t="shared" si="109"/>
        <v>0</v>
      </c>
      <c r="R574" s="50">
        <f t="shared" si="110"/>
        <v>0</v>
      </c>
      <c r="S574" s="2" t="str">
        <f t="shared" si="111"/>
        <v>Normal</v>
      </c>
      <c r="T574" s="4">
        <v>2</v>
      </c>
      <c r="U574" s="4" t="str">
        <f t="shared" si="112"/>
        <v>Nein</v>
      </c>
      <c r="V574" s="4">
        <f t="shared" si="113"/>
        <v>0</v>
      </c>
      <c r="W574" s="19">
        <f t="shared" si="114"/>
        <v>1.59</v>
      </c>
      <c r="X574" s="5">
        <v>0</v>
      </c>
      <c r="Y574" s="28">
        <f t="shared" si="115"/>
        <v>0</v>
      </c>
      <c r="Z574" s="31" t="s">
        <v>172</v>
      </c>
      <c r="AA574" t="str">
        <f t="shared" si="116"/>
        <v>Kassenfehler (Überbestand)</v>
      </c>
    </row>
    <row r="575" spans="1:27" x14ac:dyDescent="0.35">
      <c r="A575" s="32" t="s">
        <v>17</v>
      </c>
      <c r="B575" s="2" t="str">
        <f>VLOOKUP(A575,Stammdaten!$A$3:$B$7,2,FALSE)</f>
        <v>Filiale West</v>
      </c>
      <c r="C575" s="3" t="str" cm="1">
        <f t="array" ref="C575">INDEX(Stammdaten!$A$11:$A$25,INT((ROW()-5)/12)+1 - INT((ROW()-5)/180)*15)</f>
        <v>A003</v>
      </c>
      <c r="D575" s="2" t="str">
        <f>VLOOKUP(C575,Stammdaten!$A$11:$B$25,2,FALSE)</f>
        <v>Bio-Milch 1L</v>
      </c>
      <c r="E575" s="3" t="str">
        <f>VLOOKUP(C575,Stammdaten!$A$11:$C$25,3,FALSE)</f>
        <v>Milch</v>
      </c>
      <c r="F575" s="19">
        <f>VLOOKUP(C575,Stammdaten!$A$11:$D$25,4,FALSE)</f>
        <v>1.59</v>
      </c>
      <c r="G575" s="4">
        <f t="shared" si="104"/>
        <v>7</v>
      </c>
      <c r="H575" s="20" t="str">
        <f>VLOOKUP(G575,Stammdaten!$A$30:$B$41,2,FALSE)</f>
        <v>Juli</v>
      </c>
      <c r="I575" s="4">
        <v>277</v>
      </c>
      <c r="J575" s="4">
        <v>285</v>
      </c>
      <c r="K575" s="4">
        <f t="shared" si="105"/>
        <v>8</v>
      </c>
      <c r="L575" s="27">
        <f t="shared" si="106"/>
        <v>2.8880866425992782</v>
      </c>
      <c r="M575" s="52" t="str">
        <f t="shared" si="107"/>
        <v>Überbestand</v>
      </c>
      <c r="N575" s="28">
        <f t="shared" si="108"/>
        <v>12.72</v>
      </c>
      <c r="O575" s="5">
        <v>0</v>
      </c>
      <c r="P575" s="4">
        <v>2</v>
      </c>
      <c r="Q575" s="28">
        <f t="shared" si="109"/>
        <v>0</v>
      </c>
      <c r="R575" s="50">
        <f t="shared" si="110"/>
        <v>0</v>
      </c>
      <c r="S575" s="2" t="str">
        <f t="shared" si="111"/>
        <v>Normal</v>
      </c>
      <c r="T575" s="4">
        <v>8</v>
      </c>
      <c r="U575" s="4" t="str">
        <f t="shared" si="112"/>
        <v>Abschreibung</v>
      </c>
      <c r="V575" s="4">
        <f t="shared" si="113"/>
        <v>100</v>
      </c>
      <c r="W575" s="19">
        <f t="shared" si="114"/>
        <v>0</v>
      </c>
      <c r="X575" s="5">
        <v>8</v>
      </c>
      <c r="Y575" s="28">
        <f t="shared" si="115"/>
        <v>12.72</v>
      </c>
      <c r="Z575" s="31" t="s">
        <v>173</v>
      </c>
      <c r="AA575" t="str">
        <f t="shared" si="116"/>
        <v>Verderb - Abgelaufen</v>
      </c>
    </row>
    <row r="576" spans="1:27" x14ac:dyDescent="0.35">
      <c r="A576" s="32" t="s">
        <v>17</v>
      </c>
      <c r="B576" s="2" t="str">
        <f>VLOOKUP(A576,Stammdaten!$A$3:$B$7,2,FALSE)</f>
        <v>Filiale West</v>
      </c>
      <c r="C576" s="3" t="str" cm="1">
        <f t="array" ref="C576">INDEX(Stammdaten!$A$11:$A$25,INT((ROW()-5)/12)+1 - INT((ROW()-5)/180)*15)</f>
        <v>A003</v>
      </c>
      <c r="D576" s="2" t="str">
        <f>VLOOKUP(C576,Stammdaten!$A$11:$B$25,2,FALSE)</f>
        <v>Bio-Milch 1L</v>
      </c>
      <c r="E576" s="3" t="str">
        <f>VLOOKUP(C576,Stammdaten!$A$11:$C$25,3,FALSE)</f>
        <v>Milch</v>
      </c>
      <c r="F576" s="19">
        <f>VLOOKUP(C576,Stammdaten!$A$11:$D$25,4,FALSE)</f>
        <v>1.59</v>
      </c>
      <c r="G576" s="4">
        <f t="shared" si="104"/>
        <v>8</v>
      </c>
      <c r="H576" s="20" t="str">
        <f>VLOOKUP(G576,Stammdaten!$A$30:$B$41,2,FALSE)</f>
        <v>August</v>
      </c>
      <c r="I576" s="4">
        <v>245</v>
      </c>
      <c r="J576" s="4">
        <v>236</v>
      </c>
      <c r="K576" s="4">
        <f t="shared" si="105"/>
        <v>-9</v>
      </c>
      <c r="L576" s="27">
        <f t="shared" si="106"/>
        <v>-3.6734693877551026</v>
      </c>
      <c r="M576" s="52" t="str">
        <f t="shared" si="107"/>
        <v>Schwund</v>
      </c>
      <c r="N576" s="28">
        <f t="shared" si="108"/>
        <v>14.31</v>
      </c>
      <c r="O576" s="5">
        <v>6</v>
      </c>
      <c r="P576" s="4">
        <v>0</v>
      </c>
      <c r="Q576" s="28">
        <f t="shared" si="109"/>
        <v>3.5775000000000001</v>
      </c>
      <c r="R576" s="50">
        <f t="shared" si="110"/>
        <v>4.2930000000000001</v>
      </c>
      <c r="S576" s="2" t="str">
        <f t="shared" si="111"/>
        <v>Normal</v>
      </c>
      <c r="T576" s="4">
        <v>0</v>
      </c>
      <c r="U576" s="4" t="str">
        <f t="shared" si="112"/>
        <v>Nein</v>
      </c>
      <c r="V576" s="4">
        <f t="shared" si="113"/>
        <v>0</v>
      </c>
      <c r="W576" s="19">
        <f t="shared" si="114"/>
        <v>1.59</v>
      </c>
      <c r="X576" s="5">
        <v>0</v>
      </c>
      <c r="Y576" s="28">
        <f t="shared" si="115"/>
        <v>0</v>
      </c>
      <c r="Z576" s="31" t="s">
        <v>172</v>
      </c>
      <c r="AA576" t="str">
        <f t="shared" si="116"/>
        <v>Buchungsfehler Wareneingang</v>
      </c>
    </row>
    <row r="577" spans="1:27" x14ac:dyDescent="0.35">
      <c r="A577" s="32" t="s">
        <v>17</v>
      </c>
      <c r="B577" s="2" t="str">
        <f>VLOOKUP(A577,Stammdaten!$A$3:$B$7,2,FALSE)</f>
        <v>Filiale West</v>
      </c>
      <c r="C577" s="3" t="str" cm="1">
        <f t="array" ref="C577">INDEX(Stammdaten!$A$11:$A$25,INT((ROW()-5)/12)+1 - INT((ROW()-5)/180)*15)</f>
        <v>A003</v>
      </c>
      <c r="D577" s="2" t="str">
        <f>VLOOKUP(C577,Stammdaten!$A$11:$B$25,2,FALSE)</f>
        <v>Bio-Milch 1L</v>
      </c>
      <c r="E577" s="3" t="str">
        <f>VLOOKUP(C577,Stammdaten!$A$11:$C$25,3,FALSE)</f>
        <v>Milch</v>
      </c>
      <c r="F577" s="19">
        <f>VLOOKUP(C577,Stammdaten!$A$11:$D$25,4,FALSE)</f>
        <v>1.59</v>
      </c>
      <c r="G577" s="4">
        <f t="shared" si="104"/>
        <v>9</v>
      </c>
      <c r="H577" s="20" t="str">
        <f>VLOOKUP(G577,Stammdaten!$A$30:$B$41,2,FALSE)</f>
        <v>September</v>
      </c>
      <c r="I577" s="4">
        <v>213</v>
      </c>
      <c r="J577" s="4">
        <v>204</v>
      </c>
      <c r="K577" s="4">
        <f t="shared" si="105"/>
        <v>-9</v>
      </c>
      <c r="L577" s="27">
        <f t="shared" si="106"/>
        <v>-4.225352112676056</v>
      </c>
      <c r="M577" s="52" t="str">
        <f t="shared" si="107"/>
        <v>Schwund</v>
      </c>
      <c r="N577" s="28">
        <f t="shared" si="108"/>
        <v>14.31</v>
      </c>
      <c r="O577" s="5">
        <v>3</v>
      </c>
      <c r="P577" s="4">
        <v>2</v>
      </c>
      <c r="Q577" s="28">
        <f t="shared" si="109"/>
        <v>3.5775000000000001</v>
      </c>
      <c r="R577" s="50">
        <f t="shared" si="110"/>
        <v>4.2930000000000001</v>
      </c>
      <c r="S577" s="2" t="str">
        <f t="shared" si="111"/>
        <v>Normal</v>
      </c>
      <c r="T577" s="4">
        <v>0</v>
      </c>
      <c r="U577" s="4" t="str">
        <f t="shared" si="112"/>
        <v>Ja - 20% Reduzierung</v>
      </c>
      <c r="V577" s="4">
        <f t="shared" si="113"/>
        <v>20</v>
      </c>
      <c r="W577" s="19">
        <f t="shared" si="114"/>
        <v>1.27</v>
      </c>
      <c r="X577" s="5">
        <v>26</v>
      </c>
      <c r="Y577" s="28">
        <f t="shared" si="115"/>
        <v>8.27</v>
      </c>
      <c r="Z577" s="31" t="s">
        <v>164</v>
      </c>
      <c r="AA577" t="str">
        <f t="shared" si="116"/>
        <v>MHD - Prozessfehler</v>
      </c>
    </row>
    <row r="578" spans="1:27" x14ac:dyDescent="0.35">
      <c r="A578" s="32" t="s">
        <v>17</v>
      </c>
      <c r="B578" s="2" t="str">
        <f>VLOOKUP(A578,Stammdaten!$A$3:$B$7,2,FALSE)</f>
        <v>Filiale West</v>
      </c>
      <c r="C578" s="3" t="str" cm="1">
        <f t="array" ref="C578">INDEX(Stammdaten!$A$11:$A$25,INT((ROW()-5)/12)+1 - INT((ROW()-5)/180)*15)</f>
        <v>A003</v>
      </c>
      <c r="D578" s="2" t="str">
        <f>VLOOKUP(C578,Stammdaten!$A$11:$B$25,2,FALSE)</f>
        <v>Bio-Milch 1L</v>
      </c>
      <c r="E578" s="3" t="str">
        <f>VLOOKUP(C578,Stammdaten!$A$11:$C$25,3,FALSE)</f>
        <v>Milch</v>
      </c>
      <c r="F578" s="19">
        <f>VLOOKUP(C578,Stammdaten!$A$11:$D$25,4,FALSE)</f>
        <v>1.59</v>
      </c>
      <c r="G578" s="4">
        <f t="shared" si="104"/>
        <v>10</v>
      </c>
      <c r="H578" s="20" t="str">
        <f>VLOOKUP(G578,Stammdaten!$A$30:$B$41,2,FALSE)</f>
        <v>Oktober</v>
      </c>
      <c r="I578" s="4">
        <v>222</v>
      </c>
      <c r="J578" s="4">
        <v>212</v>
      </c>
      <c r="K578" s="4">
        <f t="shared" si="105"/>
        <v>-10</v>
      </c>
      <c r="L578" s="27">
        <f t="shared" si="106"/>
        <v>-4.5045045045045047</v>
      </c>
      <c r="M578" s="52" t="str">
        <f t="shared" si="107"/>
        <v>Schwund</v>
      </c>
      <c r="N578" s="28">
        <f t="shared" si="108"/>
        <v>15.9</v>
      </c>
      <c r="O578" s="5">
        <v>1</v>
      </c>
      <c r="P578" s="4">
        <v>0</v>
      </c>
      <c r="Q578" s="28">
        <f t="shared" si="109"/>
        <v>3.9750000000000001</v>
      </c>
      <c r="R578" s="50">
        <f t="shared" si="110"/>
        <v>4.7699999999999996</v>
      </c>
      <c r="S578" s="2" t="str">
        <f t="shared" si="111"/>
        <v>Normal</v>
      </c>
      <c r="T578" s="4">
        <v>0</v>
      </c>
      <c r="U578" s="4" t="str">
        <f t="shared" si="112"/>
        <v>Ja - 20% Reduzierung</v>
      </c>
      <c r="V578" s="4">
        <f t="shared" si="113"/>
        <v>20</v>
      </c>
      <c r="W578" s="19">
        <f t="shared" si="114"/>
        <v>1.27</v>
      </c>
      <c r="X578" s="5">
        <v>16</v>
      </c>
      <c r="Y578" s="28">
        <f t="shared" si="115"/>
        <v>5.09</v>
      </c>
      <c r="Z578" s="31" t="s">
        <v>173</v>
      </c>
      <c r="AA578" t="str">
        <f t="shared" si="116"/>
        <v>Buchungsfehler Wareneingang</v>
      </c>
    </row>
    <row r="579" spans="1:27" x14ac:dyDescent="0.35">
      <c r="A579" s="32" t="s">
        <v>17</v>
      </c>
      <c r="B579" s="2" t="str">
        <f>VLOOKUP(A579,Stammdaten!$A$3:$B$7,2,FALSE)</f>
        <v>Filiale West</v>
      </c>
      <c r="C579" s="3" t="str" cm="1">
        <f t="array" ref="C579">INDEX(Stammdaten!$A$11:$A$25,INT((ROW()-5)/12)+1 - INT((ROW()-5)/180)*15)</f>
        <v>A003</v>
      </c>
      <c r="D579" s="2" t="str">
        <f>VLOOKUP(C579,Stammdaten!$A$11:$B$25,2,FALSE)</f>
        <v>Bio-Milch 1L</v>
      </c>
      <c r="E579" s="3" t="str">
        <f>VLOOKUP(C579,Stammdaten!$A$11:$C$25,3,FALSE)</f>
        <v>Milch</v>
      </c>
      <c r="F579" s="19">
        <f>VLOOKUP(C579,Stammdaten!$A$11:$D$25,4,FALSE)</f>
        <v>1.59</v>
      </c>
      <c r="G579" s="4">
        <f t="shared" si="104"/>
        <v>11</v>
      </c>
      <c r="H579" s="20" t="str">
        <f>VLOOKUP(G579,Stammdaten!$A$30:$B$41,2,FALSE)</f>
        <v>November</v>
      </c>
      <c r="I579" s="4">
        <v>232</v>
      </c>
      <c r="J579" s="4">
        <v>240</v>
      </c>
      <c r="K579" s="4">
        <f t="shared" si="105"/>
        <v>8</v>
      </c>
      <c r="L579" s="27">
        <f t="shared" si="106"/>
        <v>3.4482758620689653</v>
      </c>
      <c r="M579" s="52" t="str">
        <f t="shared" si="107"/>
        <v>Überbestand</v>
      </c>
      <c r="N579" s="28">
        <f t="shared" si="108"/>
        <v>12.72</v>
      </c>
      <c r="O579" s="5">
        <v>7</v>
      </c>
      <c r="P579" s="4">
        <v>3</v>
      </c>
      <c r="Q579" s="28">
        <f t="shared" si="109"/>
        <v>0</v>
      </c>
      <c r="R579" s="50">
        <f t="shared" si="110"/>
        <v>0</v>
      </c>
      <c r="S579" s="2" t="str">
        <f t="shared" si="111"/>
        <v>Black Friday</v>
      </c>
      <c r="T579" s="4">
        <v>8</v>
      </c>
      <c r="U579" s="4" t="str">
        <f t="shared" si="112"/>
        <v>Nein</v>
      </c>
      <c r="V579" s="4">
        <f t="shared" si="113"/>
        <v>0</v>
      </c>
      <c r="W579" s="19">
        <f t="shared" si="114"/>
        <v>1.59</v>
      </c>
      <c r="X579" s="5">
        <v>0</v>
      </c>
      <c r="Y579" s="28">
        <f t="shared" si="115"/>
        <v>0</v>
      </c>
      <c r="Z579" s="31" t="s">
        <v>172</v>
      </c>
      <c r="AA579" t="str">
        <f t="shared" si="116"/>
        <v>Kassenfehler (Überbestand)</v>
      </c>
    </row>
    <row r="580" spans="1:27" x14ac:dyDescent="0.35">
      <c r="A580" s="32" t="s">
        <v>17</v>
      </c>
      <c r="B580" s="2" t="str">
        <f>VLOOKUP(A580,Stammdaten!$A$3:$B$7,2,FALSE)</f>
        <v>Filiale West</v>
      </c>
      <c r="C580" s="3" t="str" cm="1">
        <f t="array" ref="C580">INDEX(Stammdaten!$A$11:$A$25,INT((ROW()-5)/12)+1 - INT((ROW()-5)/180)*15)</f>
        <v>A003</v>
      </c>
      <c r="D580" s="2" t="str">
        <f>VLOOKUP(C580,Stammdaten!$A$11:$B$25,2,FALSE)</f>
        <v>Bio-Milch 1L</v>
      </c>
      <c r="E580" s="3" t="str">
        <f>VLOOKUP(C580,Stammdaten!$A$11:$C$25,3,FALSE)</f>
        <v>Milch</v>
      </c>
      <c r="F580" s="19">
        <f>VLOOKUP(C580,Stammdaten!$A$11:$D$25,4,FALSE)</f>
        <v>1.59</v>
      </c>
      <c r="G580" s="4">
        <f t="shared" si="104"/>
        <v>12</v>
      </c>
      <c r="H580" s="20" t="str">
        <f>VLOOKUP(G580,Stammdaten!$A$30:$B$41,2,FALSE)</f>
        <v>Dezember</v>
      </c>
      <c r="I580" s="4">
        <v>293</v>
      </c>
      <c r="J580" s="4">
        <v>296</v>
      </c>
      <c r="K580" s="4">
        <f t="shared" si="105"/>
        <v>3</v>
      </c>
      <c r="L580" s="27">
        <f t="shared" si="106"/>
        <v>1.0238907849829351</v>
      </c>
      <c r="M580" s="52" t="str">
        <f t="shared" si="107"/>
        <v>Überbestand</v>
      </c>
      <c r="N580" s="28">
        <f t="shared" si="108"/>
        <v>4.7700000000000005</v>
      </c>
      <c r="O580" s="5">
        <v>4</v>
      </c>
      <c r="P580" s="4">
        <v>2</v>
      </c>
      <c r="Q580" s="28">
        <f t="shared" si="109"/>
        <v>0</v>
      </c>
      <c r="R580" s="50">
        <f t="shared" si="110"/>
        <v>0</v>
      </c>
      <c r="S580" s="2" t="str">
        <f t="shared" si="111"/>
        <v>Weihnachten/Silvester</v>
      </c>
      <c r="T580" s="4">
        <v>3</v>
      </c>
      <c r="U580" s="4" t="str">
        <f t="shared" si="112"/>
        <v>Nein</v>
      </c>
      <c r="V580" s="4">
        <f t="shared" si="113"/>
        <v>0</v>
      </c>
      <c r="W580" s="19">
        <f t="shared" si="114"/>
        <v>1.59</v>
      </c>
      <c r="X580" s="5">
        <v>0</v>
      </c>
      <c r="Y580" s="28">
        <f t="shared" si="115"/>
        <v>0</v>
      </c>
      <c r="Z580" s="31" t="s">
        <v>172</v>
      </c>
      <c r="AA580" t="str">
        <f t="shared" si="116"/>
        <v>Kassenfehler (Überbestand)</v>
      </c>
    </row>
    <row r="581" spans="1:27" x14ac:dyDescent="0.35">
      <c r="A581" s="32" t="s">
        <v>17</v>
      </c>
      <c r="B581" s="2" t="str">
        <f>VLOOKUP(A581,Stammdaten!$A$3:$B$7,2,FALSE)</f>
        <v>Filiale West</v>
      </c>
      <c r="C581" s="3" t="str" cm="1">
        <f t="array" ref="C581">INDEX(Stammdaten!$A$11:$A$25,INT((ROW()-5)/12)+1 - INT((ROW()-5)/180)*15)</f>
        <v>A004</v>
      </c>
      <c r="D581" s="2" t="str">
        <f>VLOOKUP(C581,Stammdaten!$A$11:$B$25,2,FALSE)</f>
        <v>Butter 250g</v>
      </c>
      <c r="E581" s="3" t="str">
        <f>VLOOKUP(C581,Stammdaten!$A$11:$C$25,3,FALSE)</f>
        <v>Butter</v>
      </c>
      <c r="F581" s="19">
        <f>VLOOKUP(C581,Stammdaten!$A$11:$D$25,4,FALSE)</f>
        <v>2.29</v>
      </c>
      <c r="G581" s="4">
        <f t="shared" si="104"/>
        <v>1</v>
      </c>
      <c r="H581" s="20" t="str">
        <f>VLOOKUP(G581,Stammdaten!$A$30:$B$41,2,FALSE)</f>
        <v>Januar</v>
      </c>
      <c r="I581" s="4">
        <v>388</v>
      </c>
      <c r="J581" s="4">
        <v>386</v>
      </c>
      <c r="K581" s="4">
        <f t="shared" si="105"/>
        <v>-2</v>
      </c>
      <c r="L581" s="27">
        <f t="shared" si="106"/>
        <v>-0.51546391752577314</v>
      </c>
      <c r="M581" s="52" t="str">
        <f t="shared" si="107"/>
        <v>Schwund</v>
      </c>
      <c r="N581" s="28">
        <f t="shared" si="108"/>
        <v>4.58</v>
      </c>
      <c r="O581" s="5">
        <v>20</v>
      </c>
      <c r="P581" s="4">
        <v>0</v>
      </c>
      <c r="Q581" s="28">
        <f t="shared" si="109"/>
        <v>1.145</v>
      </c>
      <c r="R581" s="50">
        <f t="shared" si="110"/>
        <v>1.3739999999999999</v>
      </c>
      <c r="S581" s="2" t="str">
        <f t="shared" si="111"/>
        <v>Normal</v>
      </c>
      <c r="T581" s="4">
        <v>0</v>
      </c>
      <c r="U581" s="4" t="str">
        <f t="shared" si="112"/>
        <v>Nein</v>
      </c>
      <c r="V581" s="4">
        <f t="shared" si="113"/>
        <v>0</v>
      </c>
      <c r="W581" s="19">
        <f t="shared" si="114"/>
        <v>2.29</v>
      </c>
      <c r="X581" s="5">
        <v>0</v>
      </c>
      <c r="Y581" s="28">
        <f t="shared" si="115"/>
        <v>0</v>
      </c>
      <c r="Z581" s="31" t="s">
        <v>172</v>
      </c>
      <c r="AA581" t="str">
        <f t="shared" si="116"/>
        <v>Normal/Gering</v>
      </c>
    </row>
    <row r="582" spans="1:27" x14ac:dyDescent="0.35">
      <c r="A582" s="32" t="s">
        <v>17</v>
      </c>
      <c r="B582" s="2" t="str">
        <f>VLOOKUP(A582,Stammdaten!$A$3:$B$7,2,FALSE)</f>
        <v>Filiale West</v>
      </c>
      <c r="C582" s="3" t="str" cm="1">
        <f t="array" ref="C582">INDEX(Stammdaten!$A$11:$A$25,INT((ROW()-5)/12)+1 - INT((ROW()-5)/180)*15)</f>
        <v>A004</v>
      </c>
      <c r="D582" s="2" t="str">
        <f>VLOOKUP(C582,Stammdaten!$A$11:$B$25,2,FALSE)</f>
        <v>Butter 250g</v>
      </c>
      <c r="E582" s="3" t="str">
        <f>VLOOKUP(C582,Stammdaten!$A$11:$C$25,3,FALSE)</f>
        <v>Butter</v>
      </c>
      <c r="F582" s="19">
        <f>VLOOKUP(C582,Stammdaten!$A$11:$D$25,4,FALSE)</f>
        <v>2.29</v>
      </c>
      <c r="G582" s="4">
        <f t="shared" ref="G582:G645" si="117">MOD(ROW()-5,12)+1</f>
        <v>2</v>
      </c>
      <c r="H582" s="20" t="str">
        <f>VLOOKUP(G582,Stammdaten!$A$30:$B$41,2,FALSE)</f>
        <v>Februar</v>
      </c>
      <c r="I582" s="4">
        <v>367</v>
      </c>
      <c r="J582" s="4">
        <v>363</v>
      </c>
      <c r="K582" s="4">
        <f t="shared" ref="K582:K645" si="118">J582-I582</f>
        <v>-4</v>
      </c>
      <c r="L582" s="27">
        <f t="shared" ref="L582:L645" si="119">IF(I582=0,0,(K582)/I582*100)</f>
        <v>-1.0899182561307901</v>
      </c>
      <c r="M582" s="52" t="str">
        <f t="shared" ref="M582:M645" si="120">IF(K582=0,"Perfekt",IF(K582&lt;0,"Schwund","Überbestand"))</f>
        <v>Schwund</v>
      </c>
      <c r="N582" s="28">
        <f t="shared" ref="N582:N645" si="121">ABS(K582)*F582</f>
        <v>9.16</v>
      </c>
      <c r="O582" s="5">
        <v>23</v>
      </c>
      <c r="P582" s="4">
        <v>7</v>
      </c>
      <c r="Q582" s="28">
        <f t="shared" ref="Q582:Q645" si="122">IF(K582&lt;0,ABS(N582)*0.25,0)</f>
        <v>2.29</v>
      </c>
      <c r="R582" s="50">
        <f t="shared" ref="R582:R645" si="123">IF(K582&lt;0,ABS(N582)*0.3,0)</f>
        <v>2.7479999999999998</v>
      </c>
      <c r="S582" s="2" t="str">
        <f t="shared" ref="S582:S645" si="124">IF(G582=4,"Ostern",IF(G582=12,"Weihnachten/Silvester",IF(G582=11,"Black Friday",IF(G582=2,"Karneval","Normal"))))</f>
        <v>Karneval</v>
      </c>
      <c r="T582" s="4">
        <v>0</v>
      </c>
      <c r="U582" s="4" t="str">
        <f t="shared" ref="U582:U645" si="125">IF(O582&lt;=0,"Abschreibung",IF(O582&lt;=3,"Ja - 20% Reduzierung","Nein"))</f>
        <v>Nein</v>
      </c>
      <c r="V582" s="4">
        <f t="shared" ref="V582:V645" si="126">IF(O582&lt;=0,100,IF(O582&lt;=3,20,0))</f>
        <v>0</v>
      </c>
      <c r="W582" s="19">
        <f t="shared" ref="W582:W645" si="127">IF(V582=100,0,ROUND(F582*(1-V582/100),2))</f>
        <v>2.29</v>
      </c>
      <c r="X582" s="5">
        <v>0</v>
      </c>
      <c r="Y582" s="28">
        <f t="shared" ref="Y582:Y645" si="128">ROUND(X582*F582*(V582/100),2)</f>
        <v>0</v>
      </c>
      <c r="Z582" s="31" t="s">
        <v>172</v>
      </c>
      <c r="AA582" t="str">
        <f t="shared" ref="AA582:AA645" si="129">IF(O582&lt;=0,"Verderb - Abgelaufen",IF(AND(O582&lt;=3,Z582&lt;&gt;"Korrekt",Z582&lt;&gt;"Kein MHD - Prozess"),"MHD - Prozessfehler",IF(K582&gt;0,"Kassenfehler (Überbestand)",IF(AND(ABS(L582)&gt;3,A582="F005"),"Diebstahlrisiko",IF(AND(ABS(L582)&gt;2,P582&lt;2),"Buchungsfehler Wareneingang",IF(ABS(L582)&gt;2,"Prozessfehler","Normal/Gering"))))))</f>
        <v>Normal/Gering</v>
      </c>
    </row>
    <row r="583" spans="1:27" x14ac:dyDescent="0.35">
      <c r="A583" s="32" t="s">
        <v>17</v>
      </c>
      <c r="B583" s="2" t="str">
        <f>VLOOKUP(A583,Stammdaten!$A$3:$B$7,2,FALSE)</f>
        <v>Filiale West</v>
      </c>
      <c r="C583" s="3" t="str" cm="1">
        <f t="array" ref="C583">INDEX(Stammdaten!$A$11:$A$25,INT((ROW()-5)/12)+1 - INT((ROW()-5)/180)*15)</f>
        <v>A004</v>
      </c>
      <c r="D583" s="2" t="str">
        <f>VLOOKUP(C583,Stammdaten!$A$11:$B$25,2,FALSE)</f>
        <v>Butter 250g</v>
      </c>
      <c r="E583" s="3" t="str">
        <f>VLOOKUP(C583,Stammdaten!$A$11:$C$25,3,FALSE)</f>
        <v>Butter</v>
      </c>
      <c r="F583" s="19">
        <f>VLOOKUP(C583,Stammdaten!$A$11:$D$25,4,FALSE)</f>
        <v>2.29</v>
      </c>
      <c r="G583" s="4">
        <f t="shared" si="117"/>
        <v>3</v>
      </c>
      <c r="H583" s="20" t="str">
        <f>VLOOKUP(G583,Stammdaten!$A$30:$B$41,2,FALSE)</f>
        <v>März</v>
      </c>
      <c r="I583" s="4">
        <v>476</v>
      </c>
      <c r="J583" s="4">
        <v>471</v>
      </c>
      <c r="K583" s="4">
        <f t="shared" si="118"/>
        <v>-5</v>
      </c>
      <c r="L583" s="27">
        <f t="shared" si="119"/>
        <v>-1.0504201680672269</v>
      </c>
      <c r="M583" s="52" t="str">
        <f t="shared" si="120"/>
        <v>Schwund</v>
      </c>
      <c r="N583" s="28">
        <f t="shared" si="121"/>
        <v>11.45</v>
      </c>
      <c r="O583" s="5">
        <v>25</v>
      </c>
      <c r="P583" s="4">
        <v>7</v>
      </c>
      <c r="Q583" s="28">
        <f t="shared" si="122"/>
        <v>2.8624999999999998</v>
      </c>
      <c r="R583" s="50">
        <f t="shared" si="123"/>
        <v>3.4349999999999996</v>
      </c>
      <c r="S583" s="2" t="str">
        <f t="shared" si="124"/>
        <v>Normal</v>
      </c>
      <c r="T583" s="4">
        <v>0</v>
      </c>
      <c r="U583" s="4" t="str">
        <f t="shared" si="125"/>
        <v>Nein</v>
      </c>
      <c r="V583" s="4">
        <f t="shared" si="126"/>
        <v>0</v>
      </c>
      <c r="W583" s="19">
        <f t="shared" si="127"/>
        <v>2.29</v>
      </c>
      <c r="X583" s="5">
        <v>0</v>
      </c>
      <c r="Y583" s="28">
        <f t="shared" si="128"/>
        <v>0</v>
      </c>
      <c r="Z583" s="31" t="s">
        <v>172</v>
      </c>
      <c r="AA583" t="str">
        <f t="shared" si="129"/>
        <v>Normal/Gering</v>
      </c>
    </row>
    <row r="584" spans="1:27" x14ac:dyDescent="0.35">
      <c r="A584" s="32" t="s">
        <v>17</v>
      </c>
      <c r="B584" s="2" t="str">
        <f>VLOOKUP(A584,Stammdaten!$A$3:$B$7,2,FALSE)</f>
        <v>Filiale West</v>
      </c>
      <c r="C584" s="3" t="str" cm="1">
        <f t="array" ref="C584">INDEX(Stammdaten!$A$11:$A$25,INT((ROW()-5)/12)+1 - INT((ROW()-5)/180)*15)</f>
        <v>A004</v>
      </c>
      <c r="D584" s="2" t="str">
        <f>VLOOKUP(C584,Stammdaten!$A$11:$B$25,2,FALSE)</f>
        <v>Butter 250g</v>
      </c>
      <c r="E584" s="3" t="str">
        <f>VLOOKUP(C584,Stammdaten!$A$11:$C$25,3,FALSE)</f>
        <v>Butter</v>
      </c>
      <c r="F584" s="19">
        <f>VLOOKUP(C584,Stammdaten!$A$11:$D$25,4,FALSE)</f>
        <v>2.29</v>
      </c>
      <c r="G584" s="4">
        <f t="shared" si="117"/>
        <v>4</v>
      </c>
      <c r="H584" s="20" t="str">
        <f>VLOOKUP(G584,Stammdaten!$A$30:$B$41,2,FALSE)</f>
        <v>April</v>
      </c>
      <c r="I584" s="4">
        <v>556</v>
      </c>
      <c r="J584" s="4">
        <v>552</v>
      </c>
      <c r="K584" s="4">
        <f t="shared" si="118"/>
        <v>-4</v>
      </c>
      <c r="L584" s="27">
        <f t="shared" si="119"/>
        <v>-0.71942446043165476</v>
      </c>
      <c r="M584" s="52" t="str">
        <f t="shared" si="120"/>
        <v>Schwund</v>
      </c>
      <c r="N584" s="28">
        <f t="shared" si="121"/>
        <v>9.16</v>
      </c>
      <c r="O584" s="5">
        <v>24</v>
      </c>
      <c r="P584" s="4">
        <v>0</v>
      </c>
      <c r="Q584" s="28">
        <f t="shared" si="122"/>
        <v>2.29</v>
      </c>
      <c r="R584" s="50">
        <f t="shared" si="123"/>
        <v>2.7479999999999998</v>
      </c>
      <c r="S584" s="2" t="str">
        <f t="shared" si="124"/>
        <v>Ostern</v>
      </c>
      <c r="T584" s="4">
        <v>0</v>
      </c>
      <c r="U584" s="4" t="str">
        <f t="shared" si="125"/>
        <v>Nein</v>
      </c>
      <c r="V584" s="4">
        <f t="shared" si="126"/>
        <v>0</v>
      </c>
      <c r="W584" s="19">
        <f t="shared" si="127"/>
        <v>2.29</v>
      </c>
      <c r="X584" s="5">
        <v>0</v>
      </c>
      <c r="Y584" s="28">
        <f t="shared" si="128"/>
        <v>0</v>
      </c>
      <c r="Z584" s="31" t="s">
        <v>172</v>
      </c>
      <c r="AA584" t="str">
        <f t="shared" si="129"/>
        <v>Normal/Gering</v>
      </c>
    </row>
    <row r="585" spans="1:27" x14ac:dyDescent="0.35">
      <c r="A585" s="32" t="s">
        <v>17</v>
      </c>
      <c r="B585" s="2" t="str">
        <f>VLOOKUP(A585,Stammdaten!$A$3:$B$7,2,FALSE)</f>
        <v>Filiale West</v>
      </c>
      <c r="C585" s="3" t="str" cm="1">
        <f t="array" ref="C585">INDEX(Stammdaten!$A$11:$A$25,INT((ROW()-5)/12)+1 - INT((ROW()-5)/180)*15)</f>
        <v>A004</v>
      </c>
      <c r="D585" s="2" t="str">
        <f>VLOOKUP(C585,Stammdaten!$A$11:$B$25,2,FALSE)</f>
        <v>Butter 250g</v>
      </c>
      <c r="E585" s="3" t="str">
        <f>VLOOKUP(C585,Stammdaten!$A$11:$C$25,3,FALSE)</f>
        <v>Butter</v>
      </c>
      <c r="F585" s="19">
        <f>VLOOKUP(C585,Stammdaten!$A$11:$D$25,4,FALSE)</f>
        <v>2.29</v>
      </c>
      <c r="G585" s="4">
        <f t="shared" si="117"/>
        <v>5</v>
      </c>
      <c r="H585" s="20" t="str">
        <f>VLOOKUP(G585,Stammdaten!$A$30:$B$41,2,FALSE)</f>
        <v>Mai</v>
      </c>
      <c r="I585" s="4">
        <v>458</v>
      </c>
      <c r="J585" s="4">
        <v>451</v>
      </c>
      <c r="K585" s="4">
        <f t="shared" si="118"/>
        <v>-7</v>
      </c>
      <c r="L585" s="27">
        <f t="shared" si="119"/>
        <v>-1.5283842794759825</v>
      </c>
      <c r="M585" s="52" t="str">
        <f t="shared" si="120"/>
        <v>Schwund</v>
      </c>
      <c r="N585" s="28">
        <f t="shared" si="121"/>
        <v>16.03</v>
      </c>
      <c r="O585" s="5">
        <v>12</v>
      </c>
      <c r="P585" s="4">
        <v>5</v>
      </c>
      <c r="Q585" s="28">
        <f t="shared" si="122"/>
        <v>4.0075000000000003</v>
      </c>
      <c r="R585" s="50">
        <f t="shared" si="123"/>
        <v>4.8090000000000002</v>
      </c>
      <c r="S585" s="2" t="str">
        <f t="shared" si="124"/>
        <v>Normal</v>
      </c>
      <c r="T585" s="4">
        <v>0</v>
      </c>
      <c r="U585" s="4" t="str">
        <f t="shared" si="125"/>
        <v>Nein</v>
      </c>
      <c r="V585" s="4">
        <f t="shared" si="126"/>
        <v>0</v>
      </c>
      <c r="W585" s="19">
        <f t="shared" si="127"/>
        <v>2.29</v>
      </c>
      <c r="X585" s="5">
        <v>0</v>
      </c>
      <c r="Y585" s="28">
        <f t="shared" si="128"/>
        <v>0</v>
      </c>
      <c r="Z585" s="31" t="s">
        <v>172</v>
      </c>
      <c r="AA585" t="str">
        <f t="shared" si="129"/>
        <v>Normal/Gering</v>
      </c>
    </row>
    <row r="586" spans="1:27" x14ac:dyDescent="0.35">
      <c r="A586" s="32" t="s">
        <v>17</v>
      </c>
      <c r="B586" s="2" t="str">
        <f>VLOOKUP(A586,Stammdaten!$A$3:$B$7,2,FALSE)</f>
        <v>Filiale West</v>
      </c>
      <c r="C586" s="3" t="str" cm="1">
        <f t="array" ref="C586">INDEX(Stammdaten!$A$11:$A$25,INT((ROW()-5)/12)+1 - INT((ROW()-5)/180)*15)</f>
        <v>A004</v>
      </c>
      <c r="D586" s="2" t="str">
        <f>VLOOKUP(C586,Stammdaten!$A$11:$B$25,2,FALSE)</f>
        <v>Butter 250g</v>
      </c>
      <c r="E586" s="3" t="str">
        <f>VLOOKUP(C586,Stammdaten!$A$11:$C$25,3,FALSE)</f>
        <v>Butter</v>
      </c>
      <c r="F586" s="19">
        <f>VLOOKUP(C586,Stammdaten!$A$11:$D$25,4,FALSE)</f>
        <v>2.29</v>
      </c>
      <c r="G586" s="4">
        <f t="shared" si="117"/>
        <v>6</v>
      </c>
      <c r="H586" s="20" t="str">
        <f>VLOOKUP(G586,Stammdaten!$A$30:$B$41,2,FALSE)</f>
        <v>Juni</v>
      </c>
      <c r="I586" s="4">
        <v>489</v>
      </c>
      <c r="J586" s="4">
        <v>493</v>
      </c>
      <c r="K586" s="4">
        <f t="shared" si="118"/>
        <v>4</v>
      </c>
      <c r="L586" s="27">
        <f t="shared" si="119"/>
        <v>0.81799591002045002</v>
      </c>
      <c r="M586" s="52" t="str">
        <f t="shared" si="120"/>
        <v>Überbestand</v>
      </c>
      <c r="N586" s="28">
        <f t="shared" si="121"/>
        <v>9.16</v>
      </c>
      <c r="O586" s="5">
        <v>27</v>
      </c>
      <c r="P586" s="4">
        <v>2</v>
      </c>
      <c r="Q586" s="28">
        <f t="shared" si="122"/>
        <v>0</v>
      </c>
      <c r="R586" s="50">
        <f t="shared" si="123"/>
        <v>0</v>
      </c>
      <c r="S586" s="2" t="str">
        <f t="shared" si="124"/>
        <v>Normal</v>
      </c>
      <c r="T586" s="4">
        <v>4</v>
      </c>
      <c r="U586" s="4" t="str">
        <f t="shared" si="125"/>
        <v>Nein</v>
      </c>
      <c r="V586" s="4">
        <f t="shared" si="126"/>
        <v>0</v>
      </c>
      <c r="W586" s="19">
        <f t="shared" si="127"/>
        <v>2.29</v>
      </c>
      <c r="X586" s="5">
        <v>0</v>
      </c>
      <c r="Y586" s="28">
        <f t="shared" si="128"/>
        <v>0</v>
      </c>
      <c r="Z586" s="31" t="s">
        <v>172</v>
      </c>
      <c r="AA586" t="str">
        <f t="shared" si="129"/>
        <v>Kassenfehler (Überbestand)</v>
      </c>
    </row>
    <row r="587" spans="1:27" x14ac:dyDescent="0.35">
      <c r="A587" s="32" t="s">
        <v>17</v>
      </c>
      <c r="B587" s="2" t="str">
        <f>VLOOKUP(A587,Stammdaten!$A$3:$B$7,2,FALSE)</f>
        <v>Filiale West</v>
      </c>
      <c r="C587" s="3" t="str" cm="1">
        <f t="array" ref="C587">INDEX(Stammdaten!$A$11:$A$25,INT((ROW()-5)/12)+1 - INT((ROW()-5)/180)*15)</f>
        <v>A004</v>
      </c>
      <c r="D587" s="2" t="str">
        <f>VLOOKUP(C587,Stammdaten!$A$11:$B$25,2,FALSE)</f>
        <v>Butter 250g</v>
      </c>
      <c r="E587" s="3" t="str">
        <f>VLOOKUP(C587,Stammdaten!$A$11:$C$25,3,FALSE)</f>
        <v>Butter</v>
      </c>
      <c r="F587" s="19">
        <f>VLOOKUP(C587,Stammdaten!$A$11:$D$25,4,FALSE)</f>
        <v>2.29</v>
      </c>
      <c r="G587" s="4">
        <f t="shared" si="117"/>
        <v>7</v>
      </c>
      <c r="H587" s="20" t="str">
        <f>VLOOKUP(G587,Stammdaten!$A$30:$B$41,2,FALSE)</f>
        <v>Juli</v>
      </c>
      <c r="I587" s="4">
        <v>502</v>
      </c>
      <c r="J587" s="4">
        <v>491</v>
      </c>
      <c r="K587" s="4">
        <f t="shared" si="118"/>
        <v>-11</v>
      </c>
      <c r="L587" s="27">
        <f t="shared" si="119"/>
        <v>-2.1912350597609564</v>
      </c>
      <c r="M587" s="52" t="str">
        <f t="shared" si="120"/>
        <v>Schwund</v>
      </c>
      <c r="N587" s="28">
        <f t="shared" si="121"/>
        <v>25.19</v>
      </c>
      <c r="O587" s="5">
        <v>7</v>
      </c>
      <c r="P587" s="4">
        <v>6</v>
      </c>
      <c r="Q587" s="28">
        <f t="shared" si="122"/>
        <v>6.2975000000000003</v>
      </c>
      <c r="R587" s="50">
        <f t="shared" si="123"/>
        <v>7.5570000000000004</v>
      </c>
      <c r="S587" s="2" t="str">
        <f t="shared" si="124"/>
        <v>Normal</v>
      </c>
      <c r="T587" s="4">
        <v>0</v>
      </c>
      <c r="U587" s="4" t="str">
        <f t="shared" si="125"/>
        <v>Nein</v>
      </c>
      <c r="V587" s="4">
        <f t="shared" si="126"/>
        <v>0</v>
      </c>
      <c r="W587" s="19">
        <f t="shared" si="127"/>
        <v>2.29</v>
      </c>
      <c r="X587" s="5">
        <v>0</v>
      </c>
      <c r="Y587" s="28">
        <f t="shared" si="128"/>
        <v>0</v>
      </c>
      <c r="Z587" s="31" t="s">
        <v>172</v>
      </c>
      <c r="AA587" t="str">
        <f t="shared" si="129"/>
        <v>Prozessfehler</v>
      </c>
    </row>
    <row r="588" spans="1:27" x14ac:dyDescent="0.35">
      <c r="A588" s="32" t="s">
        <v>17</v>
      </c>
      <c r="B588" s="2" t="str">
        <f>VLOOKUP(A588,Stammdaten!$A$3:$B$7,2,FALSE)</f>
        <v>Filiale West</v>
      </c>
      <c r="C588" s="3" t="str" cm="1">
        <f t="array" ref="C588">INDEX(Stammdaten!$A$11:$A$25,INT((ROW()-5)/12)+1 - INT((ROW()-5)/180)*15)</f>
        <v>A004</v>
      </c>
      <c r="D588" s="2" t="str">
        <f>VLOOKUP(C588,Stammdaten!$A$11:$B$25,2,FALSE)</f>
        <v>Butter 250g</v>
      </c>
      <c r="E588" s="3" t="str">
        <f>VLOOKUP(C588,Stammdaten!$A$11:$C$25,3,FALSE)</f>
        <v>Butter</v>
      </c>
      <c r="F588" s="19">
        <f>VLOOKUP(C588,Stammdaten!$A$11:$D$25,4,FALSE)</f>
        <v>2.29</v>
      </c>
      <c r="G588" s="4">
        <f t="shared" si="117"/>
        <v>8</v>
      </c>
      <c r="H588" s="20" t="str">
        <f>VLOOKUP(G588,Stammdaten!$A$30:$B$41,2,FALSE)</f>
        <v>August</v>
      </c>
      <c r="I588" s="4">
        <v>526</v>
      </c>
      <c r="J588" s="4">
        <v>523</v>
      </c>
      <c r="K588" s="4">
        <f t="shared" si="118"/>
        <v>-3</v>
      </c>
      <c r="L588" s="27">
        <f t="shared" si="119"/>
        <v>-0.57034220532319391</v>
      </c>
      <c r="M588" s="52" t="str">
        <f t="shared" si="120"/>
        <v>Schwund</v>
      </c>
      <c r="N588" s="28">
        <f t="shared" si="121"/>
        <v>6.87</v>
      </c>
      <c r="O588" s="5">
        <v>27</v>
      </c>
      <c r="P588" s="4">
        <v>3</v>
      </c>
      <c r="Q588" s="28">
        <f t="shared" si="122"/>
        <v>1.7175</v>
      </c>
      <c r="R588" s="50">
        <f t="shared" si="123"/>
        <v>2.0609999999999999</v>
      </c>
      <c r="S588" s="2" t="str">
        <f t="shared" si="124"/>
        <v>Normal</v>
      </c>
      <c r="T588" s="4">
        <v>0</v>
      </c>
      <c r="U588" s="4" t="str">
        <f t="shared" si="125"/>
        <v>Nein</v>
      </c>
      <c r="V588" s="4">
        <f t="shared" si="126"/>
        <v>0</v>
      </c>
      <c r="W588" s="19">
        <f t="shared" si="127"/>
        <v>2.29</v>
      </c>
      <c r="X588" s="5">
        <v>0</v>
      </c>
      <c r="Y588" s="28">
        <f t="shared" si="128"/>
        <v>0</v>
      </c>
      <c r="Z588" s="31" t="s">
        <v>172</v>
      </c>
      <c r="AA588" t="str">
        <f t="shared" si="129"/>
        <v>Normal/Gering</v>
      </c>
    </row>
    <row r="589" spans="1:27" x14ac:dyDescent="0.35">
      <c r="A589" s="32" t="s">
        <v>17</v>
      </c>
      <c r="B589" s="2" t="str">
        <f>VLOOKUP(A589,Stammdaten!$A$3:$B$7,2,FALSE)</f>
        <v>Filiale West</v>
      </c>
      <c r="C589" s="3" t="str" cm="1">
        <f t="array" ref="C589">INDEX(Stammdaten!$A$11:$A$25,INT((ROW()-5)/12)+1 - INT((ROW()-5)/180)*15)</f>
        <v>A004</v>
      </c>
      <c r="D589" s="2" t="str">
        <f>VLOOKUP(C589,Stammdaten!$A$11:$B$25,2,FALSE)</f>
        <v>Butter 250g</v>
      </c>
      <c r="E589" s="3" t="str">
        <f>VLOOKUP(C589,Stammdaten!$A$11:$C$25,3,FALSE)</f>
        <v>Butter</v>
      </c>
      <c r="F589" s="19">
        <f>VLOOKUP(C589,Stammdaten!$A$11:$D$25,4,FALSE)</f>
        <v>2.29</v>
      </c>
      <c r="G589" s="4">
        <f t="shared" si="117"/>
        <v>9</v>
      </c>
      <c r="H589" s="20" t="str">
        <f>VLOOKUP(G589,Stammdaten!$A$30:$B$41,2,FALSE)</f>
        <v>September</v>
      </c>
      <c r="I589" s="4">
        <v>397</v>
      </c>
      <c r="J589" s="4">
        <v>392</v>
      </c>
      <c r="K589" s="4">
        <f t="shared" si="118"/>
        <v>-5</v>
      </c>
      <c r="L589" s="27">
        <f t="shared" si="119"/>
        <v>-1.2594458438287155</v>
      </c>
      <c r="M589" s="52" t="str">
        <f t="shared" si="120"/>
        <v>Schwund</v>
      </c>
      <c r="N589" s="28">
        <f t="shared" si="121"/>
        <v>11.45</v>
      </c>
      <c r="O589" s="5">
        <v>6</v>
      </c>
      <c r="P589" s="4">
        <v>9</v>
      </c>
      <c r="Q589" s="28">
        <f t="shared" si="122"/>
        <v>2.8624999999999998</v>
      </c>
      <c r="R589" s="50">
        <f t="shared" si="123"/>
        <v>3.4349999999999996</v>
      </c>
      <c r="S589" s="2" t="str">
        <f t="shared" si="124"/>
        <v>Normal</v>
      </c>
      <c r="T589" s="4">
        <v>0</v>
      </c>
      <c r="U589" s="4" t="str">
        <f t="shared" si="125"/>
        <v>Nein</v>
      </c>
      <c r="V589" s="4">
        <f t="shared" si="126"/>
        <v>0</v>
      </c>
      <c r="W589" s="19">
        <f t="shared" si="127"/>
        <v>2.29</v>
      </c>
      <c r="X589" s="5">
        <v>0</v>
      </c>
      <c r="Y589" s="28">
        <f t="shared" si="128"/>
        <v>0</v>
      </c>
      <c r="Z589" s="31" t="s">
        <v>172</v>
      </c>
      <c r="AA589" t="str">
        <f t="shared" si="129"/>
        <v>Normal/Gering</v>
      </c>
    </row>
    <row r="590" spans="1:27" x14ac:dyDescent="0.35">
      <c r="A590" s="32" t="s">
        <v>17</v>
      </c>
      <c r="B590" s="2" t="str">
        <f>VLOOKUP(A590,Stammdaten!$A$3:$B$7,2,FALSE)</f>
        <v>Filiale West</v>
      </c>
      <c r="C590" s="3" t="str" cm="1">
        <f t="array" ref="C590">INDEX(Stammdaten!$A$11:$A$25,INT((ROW()-5)/12)+1 - INT((ROW()-5)/180)*15)</f>
        <v>A004</v>
      </c>
      <c r="D590" s="2" t="str">
        <f>VLOOKUP(C590,Stammdaten!$A$11:$B$25,2,FALSE)</f>
        <v>Butter 250g</v>
      </c>
      <c r="E590" s="3" t="str">
        <f>VLOOKUP(C590,Stammdaten!$A$11:$C$25,3,FALSE)</f>
        <v>Butter</v>
      </c>
      <c r="F590" s="19">
        <f>VLOOKUP(C590,Stammdaten!$A$11:$D$25,4,FALSE)</f>
        <v>2.29</v>
      </c>
      <c r="G590" s="4">
        <f t="shared" si="117"/>
        <v>10</v>
      </c>
      <c r="H590" s="20" t="str">
        <f>VLOOKUP(G590,Stammdaten!$A$30:$B$41,2,FALSE)</f>
        <v>Oktober</v>
      </c>
      <c r="I590" s="4">
        <v>418</v>
      </c>
      <c r="J590" s="4">
        <v>411</v>
      </c>
      <c r="K590" s="4">
        <f t="shared" si="118"/>
        <v>-7</v>
      </c>
      <c r="L590" s="27">
        <f t="shared" si="119"/>
        <v>-1.6746411483253589</v>
      </c>
      <c r="M590" s="52" t="str">
        <f t="shared" si="120"/>
        <v>Schwund</v>
      </c>
      <c r="N590" s="28">
        <f t="shared" si="121"/>
        <v>16.03</v>
      </c>
      <c r="O590" s="5">
        <v>6</v>
      </c>
      <c r="P590" s="4">
        <v>3</v>
      </c>
      <c r="Q590" s="28">
        <f t="shared" si="122"/>
        <v>4.0075000000000003</v>
      </c>
      <c r="R590" s="50">
        <f t="shared" si="123"/>
        <v>4.8090000000000002</v>
      </c>
      <c r="S590" s="2" t="str">
        <f t="shared" si="124"/>
        <v>Normal</v>
      </c>
      <c r="T590" s="4">
        <v>0</v>
      </c>
      <c r="U590" s="4" t="str">
        <f t="shared" si="125"/>
        <v>Nein</v>
      </c>
      <c r="V590" s="4">
        <f t="shared" si="126"/>
        <v>0</v>
      </c>
      <c r="W590" s="19">
        <f t="shared" si="127"/>
        <v>2.29</v>
      </c>
      <c r="X590" s="5">
        <v>0</v>
      </c>
      <c r="Y590" s="28">
        <f t="shared" si="128"/>
        <v>0</v>
      </c>
      <c r="Z590" s="31" t="s">
        <v>172</v>
      </c>
      <c r="AA590" t="str">
        <f t="shared" si="129"/>
        <v>Normal/Gering</v>
      </c>
    </row>
    <row r="591" spans="1:27" x14ac:dyDescent="0.35">
      <c r="A591" s="32" t="s">
        <v>17</v>
      </c>
      <c r="B591" s="2" t="str">
        <f>VLOOKUP(A591,Stammdaten!$A$3:$B$7,2,FALSE)</f>
        <v>Filiale West</v>
      </c>
      <c r="C591" s="3" t="str" cm="1">
        <f t="array" ref="C591">INDEX(Stammdaten!$A$11:$A$25,INT((ROW()-5)/12)+1 - INT((ROW()-5)/180)*15)</f>
        <v>A004</v>
      </c>
      <c r="D591" s="2" t="str">
        <f>VLOOKUP(C591,Stammdaten!$A$11:$B$25,2,FALSE)</f>
        <v>Butter 250g</v>
      </c>
      <c r="E591" s="3" t="str">
        <f>VLOOKUP(C591,Stammdaten!$A$11:$C$25,3,FALSE)</f>
        <v>Butter</v>
      </c>
      <c r="F591" s="19">
        <f>VLOOKUP(C591,Stammdaten!$A$11:$D$25,4,FALSE)</f>
        <v>2.29</v>
      </c>
      <c r="G591" s="4">
        <f t="shared" si="117"/>
        <v>11</v>
      </c>
      <c r="H591" s="20" t="str">
        <f>VLOOKUP(G591,Stammdaten!$A$30:$B$41,2,FALSE)</f>
        <v>November</v>
      </c>
      <c r="I591" s="4">
        <v>469</v>
      </c>
      <c r="J591" s="4">
        <v>469</v>
      </c>
      <c r="K591" s="4">
        <f t="shared" si="118"/>
        <v>0</v>
      </c>
      <c r="L591" s="27">
        <f t="shared" si="119"/>
        <v>0</v>
      </c>
      <c r="M591" s="52" t="str">
        <f t="shared" si="120"/>
        <v>Perfekt</v>
      </c>
      <c r="N591" s="28">
        <f t="shared" si="121"/>
        <v>0</v>
      </c>
      <c r="O591" s="5">
        <v>12</v>
      </c>
      <c r="P591" s="4">
        <v>10</v>
      </c>
      <c r="Q591" s="28">
        <f t="shared" si="122"/>
        <v>0</v>
      </c>
      <c r="R591" s="50">
        <f t="shared" si="123"/>
        <v>0</v>
      </c>
      <c r="S591" s="2" t="str">
        <f t="shared" si="124"/>
        <v>Black Friday</v>
      </c>
      <c r="T591" s="4">
        <v>0</v>
      </c>
      <c r="U591" s="4" t="str">
        <f t="shared" si="125"/>
        <v>Nein</v>
      </c>
      <c r="V591" s="4">
        <f t="shared" si="126"/>
        <v>0</v>
      </c>
      <c r="W591" s="19">
        <f t="shared" si="127"/>
        <v>2.29</v>
      </c>
      <c r="X591" s="5">
        <v>0</v>
      </c>
      <c r="Y591" s="28">
        <f t="shared" si="128"/>
        <v>0</v>
      </c>
      <c r="Z591" s="31" t="s">
        <v>172</v>
      </c>
      <c r="AA591" t="str">
        <f t="shared" si="129"/>
        <v>Normal/Gering</v>
      </c>
    </row>
    <row r="592" spans="1:27" x14ac:dyDescent="0.35">
      <c r="A592" s="32" t="s">
        <v>17</v>
      </c>
      <c r="B592" s="2" t="str">
        <f>VLOOKUP(A592,Stammdaten!$A$3:$B$7,2,FALSE)</f>
        <v>Filiale West</v>
      </c>
      <c r="C592" s="3" t="str" cm="1">
        <f t="array" ref="C592">INDEX(Stammdaten!$A$11:$A$25,INT((ROW()-5)/12)+1 - INT((ROW()-5)/180)*15)</f>
        <v>A004</v>
      </c>
      <c r="D592" s="2" t="str">
        <f>VLOOKUP(C592,Stammdaten!$A$11:$B$25,2,FALSE)</f>
        <v>Butter 250g</v>
      </c>
      <c r="E592" s="3" t="str">
        <f>VLOOKUP(C592,Stammdaten!$A$11:$C$25,3,FALSE)</f>
        <v>Butter</v>
      </c>
      <c r="F592" s="19">
        <f>VLOOKUP(C592,Stammdaten!$A$11:$D$25,4,FALSE)</f>
        <v>2.29</v>
      </c>
      <c r="G592" s="4">
        <f t="shared" si="117"/>
        <v>12</v>
      </c>
      <c r="H592" s="20" t="str">
        <f>VLOOKUP(G592,Stammdaten!$A$30:$B$41,2,FALSE)</f>
        <v>Dezember</v>
      </c>
      <c r="I592" s="4">
        <v>628</v>
      </c>
      <c r="J592" s="4">
        <v>620</v>
      </c>
      <c r="K592" s="4">
        <f t="shared" si="118"/>
        <v>-8</v>
      </c>
      <c r="L592" s="27">
        <f t="shared" si="119"/>
        <v>-1.2738853503184715</v>
      </c>
      <c r="M592" s="52" t="str">
        <f t="shared" si="120"/>
        <v>Schwund</v>
      </c>
      <c r="N592" s="28">
        <f t="shared" si="121"/>
        <v>18.32</v>
      </c>
      <c r="O592" s="5">
        <v>30</v>
      </c>
      <c r="P592" s="4">
        <v>3</v>
      </c>
      <c r="Q592" s="28">
        <f t="shared" si="122"/>
        <v>4.58</v>
      </c>
      <c r="R592" s="50">
        <f t="shared" si="123"/>
        <v>5.4959999999999996</v>
      </c>
      <c r="S592" s="2" t="str">
        <f t="shared" si="124"/>
        <v>Weihnachten/Silvester</v>
      </c>
      <c r="T592" s="4">
        <v>0</v>
      </c>
      <c r="U592" s="4" t="str">
        <f t="shared" si="125"/>
        <v>Nein</v>
      </c>
      <c r="V592" s="4">
        <f t="shared" si="126"/>
        <v>0</v>
      </c>
      <c r="W592" s="19">
        <f t="shared" si="127"/>
        <v>2.29</v>
      </c>
      <c r="X592" s="5">
        <v>0</v>
      </c>
      <c r="Y592" s="28">
        <f t="shared" si="128"/>
        <v>0</v>
      </c>
      <c r="Z592" s="31" t="s">
        <v>172</v>
      </c>
      <c r="AA592" t="str">
        <f t="shared" si="129"/>
        <v>Normal/Gering</v>
      </c>
    </row>
    <row r="593" spans="1:27" x14ac:dyDescent="0.35">
      <c r="A593" s="32" t="s">
        <v>17</v>
      </c>
      <c r="B593" s="2" t="str">
        <f>VLOOKUP(A593,Stammdaten!$A$3:$B$7,2,FALSE)</f>
        <v>Filiale West</v>
      </c>
      <c r="C593" s="3" t="str" cm="1">
        <f t="array" ref="C593">INDEX(Stammdaten!$A$11:$A$25,INT((ROW()-5)/12)+1 - INT((ROW()-5)/180)*15)</f>
        <v>A005</v>
      </c>
      <c r="D593" s="2" t="str">
        <f>VLOOKUP(C593,Stammdaten!$A$11:$B$25,2,FALSE)</f>
        <v>Gouda 200g</v>
      </c>
      <c r="E593" s="3" t="str">
        <f>VLOOKUP(C593,Stammdaten!$A$11:$C$25,3,FALSE)</f>
        <v>Käse</v>
      </c>
      <c r="F593" s="19">
        <f>VLOOKUP(C593,Stammdaten!$A$11:$D$25,4,FALSE)</f>
        <v>1.99</v>
      </c>
      <c r="G593" s="4">
        <f t="shared" si="117"/>
        <v>1</v>
      </c>
      <c r="H593" s="20" t="str">
        <f>VLOOKUP(G593,Stammdaten!$A$30:$B$41,2,FALSE)</f>
        <v>Januar</v>
      </c>
      <c r="I593" s="4">
        <v>309</v>
      </c>
      <c r="J593" s="4">
        <v>309</v>
      </c>
      <c r="K593" s="4">
        <f t="shared" si="118"/>
        <v>0</v>
      </c>
      <c r="L593" s="27">
        <f t="shared" si="119"/>
        <v>0</v>
      </c>
      <c r="M593" s="52" t="str">
        <f t="shared" si="120"/>
        <v>Perfekt</v>
      </c>
      <c r="N593" s="28">
        <f t="shared" si="121"/>
        <v>0</v>
      </c>
      <c r="O593" s="5">
        <v>5</v>
      </c>
      <c r="P593" s="4">
        <v>6</v>
      </c>
      <c r="Q593" s="28">
        <f t="shared" si="122"/>
        <v>0</v>
      </c>
      <c r="R593" s="50">
        <f t="shared" si="123"/>
        <v>0</v>
      </c>
      <c r="S593" s="2" t="str">
        <f t="shared" si="124"/>
        <v>Normal</v>
      </c>
      <c r="T593" s="4">
        <v>0</v>
      </c>
      <c r="U593" s="4" t="str">
        <f t="shared" si="125"/>
        <v>Nein</v>
      </c>
      <c r="V593" s="4">
        <f t="shared" si="126"/>
        <v>0</v>
      </c>
      <c r="W593" s="19">
        <f t="shared" si="127"/>
        <v>1.99</v>
      </c>
      <c r="X593" s="5">
        <v>0</v>
      </c>
      <c r="Y593" s="28">
        <f t="shared" si="128"/>
        <v>0</v>
      </c>
      <c r="Z593" s="31" t="s">
        <v>172</v>
      </c>
      <c r="AA593" t="str">
        <f t="shared" si="129"/>
        <v>Normal/Gering</v>
      </c>
    </row>
    <row r="594" spans="1:27" x14ac:dyDescent="0.35">
      <c r="A594" s="32" t="s">
        <v>17</v>
      </c>
      <c r="B594" s="2" t="str">
        <f>VLOOKUP(A594,Stammdaten!$A$3:$B$7,2,FALSE)</f>
        <v>Filiale West</v>
      </c>
      <c r="C594" s="3" t="str" cm="1">
        <f t="array" ref="C594">INDEX(Stammdaten!$A$11:$A$25,INT((ROW()-5)/12)+1 - INT((ROW()-5)/180)*15)</f>
        <v>A005</v>
      </c>
      <c r="D594" s="2" t="str">
        <f>VLOOKUP(C594,Stammdaten!$A$11:$B$25,2,FALSE)</f>
        <v>Gouda 200g</v>
      </c>
      <c r="E594" s="3" t="str">
        <f>VLOOKUP(C594,Stammdaten!$A$11:$C$25,3,FALSE)</f>
        <v>Käse</v>
      </c>
      <c r="F594" s="19">
        <f>VLOOKUP(C594,Stammdaten!$A$11:$D$25,4,FALSE)</f>
        <v>1.99</v>
      </c>
      <c r="G594" s="4">
        <f t="shared" si="117"/>
        <v>2</v>
      </c>
      <c r="H594" s="20" t="str">
        <f>VLOOKUP(G594,Stammdaten!$A$30:$B$41,2,FALSE)</f>
        <v>Februar</v>
      </c>
      <c r="I594" s="4">
        <v>269</v>
      </c>
      <c r="J594" s="4">
        <v>265</v>
      </c>
      <c r="K594" s="4">
        <f t="shared" si="118"/>
        <v>-4</v>
      </c>
      <c r="L594" s="27">
        <f t="shared" si="119"/>
        <v>-1.486988847583643</v>
      </c>
      <c r="M594" s="52" t="str">
        <f t="shared" si="120"/>
        <v>Schwund</v>
      </c>
      <c r="N594" s="28">
        <f t="shared" si="121"/>
        <v>7.96</v>
      </c>
      <c r="O594" s="5">
        <v>4</v>
      </c>
      <c r="P594" s="4">
        <v>6</v>
      </c>
      <c r="Q594" s="28">
        <f t="shared" si="122"/>
        <v>1.99</v>
      </c>
      <c r="R594" s="50">
        <f t="shared" si="123"/>
        <v>2.3879999999999999</v>
      </c>
      <c r="S594" s="2" t="str">
        <f t="shared" si="124"/>
        <v>Karneval</v>
      </c>
      <c r="T594" s="4">
        <v>0</v>
      </c>
      <c r="U594" s="4" t="str">
        <f t="shared" si="125"/>
        <v>Nein</v>
      </c>
      <c r="V594" s="4">
        <f t="shared" si="126"/>
        <v>0</v>
      </c>
      <c r="W594" s="19">
        <f t="shared" si="127"/>
        <v>1.99</v>
      </c>
      <c r="X594" s="5">
        <v>0</v>
      </c>
      <c r="Y594" s="28">
        <f t="shared" si="128"/>
        <v>0</v>
      </c>
      <c r="Z594" s="31" t="s">
        <v>172</v>
      </c>
      <c r="AA594" t="str">
        <f t="shared" si="129"/>
        <v>Normal/Gering</v>
      </c>
    </row>
    <row r="595" spans="1:27" x14ac:dyDescent="0.35">
      <c r="A595" s="32" t="s">
        <v>17</v>
      </c>
      <c r="B595" s="2" t="str">
        <f>VLOOKUP(A595,Stammdaten!$A$3:$B$7,2,FALSE)</f>
        <v>Filiale West</v>
      </c>
      <c r="C595" s="3" t="str" cm="1">
        <f t="array" ref="C595">INDEX(Stammdaten!$A$11:$A$25,INT((ROW()-5)/12)+1 - INT((ROW()-5)/180)*15)</f>
        <v>A005</v>
      </c>
      <c r="D595" s="2" t="str">
        <f>VLOOKUP(C595,Stammdaten!$A$11:$B$25,2,FALSE)</f>
        <v>Gouda 200g</v>
      </c>
      <c r="E595" s="3" t="str">
        <f>VLOOKUP(C595,Stammdaten!$A$11:$C$25,3,FALSE)</f>
        <v>Käse</v>
      </c>
      <c r="F595" s="19">
        <f>VLOOKUP(C595,Stammdaten!$A$11:$D$25,4,FALSE)</f>
        <v>1.99</v>
      </c>
      <c r="G595" s="4">
        <f t="shared" si="117"/>
        <v>3</v>
      </c>
      <c r="H595" s="20" t="str">
        <f>VLOOKUP(G595,Stammdaten!$A$30:$B$41,2,FALSE)</f>
        <v>März</v>
      </c>
      <c r="I595" s="4">
        <v>329</v>
      </c>
      <c r="J595" s="4">
        <v>325</v>
      </c>
      <c r="K595" s="4">
        <f t="shared" si="118"/>
        <v>-4</v>
      </c>
      <c r="L595" s="27">
        <f t="shared" si="119"/>
        <v>-1.21580547112462</v>
      </c>
      <c r="M595" s="52" t="str">
        <f t="shared" si="120"/>
        <v>Schwund</v>
      </c>
      <c r="N595" s="28">
        <f t="shared" si="121"/>
        <v>7.96</v>
      </c>
      <c r="O595" s="5">
        <v>1</v>
      </c>
      <c r="P595" s="4">
        <v>5</v>
      </c>
      <c r="Q595" s="28">
        <f t="shared" si="122"/>
        <v>1.99</v>
      </c>
      <c r="R595" s="50">
        <f t="shared" si="123"/>
        <v>2.3879999999999999</v>
      </c>
      <c r="S595" s="2" t="str">
        <f t="shared" si="124"/>
        <v>Normal</v>
      </c>
      <c r="T595" s="4">
        <v>0</v>
      </c>
      <c r="U595" s="4" t="str">
        <f t="shared" si="125"/>
        <v>Ja - 20% Reduzierung</v>
      </c>
      <c r="V595" s="4">
        <f t="shared" si="126"/>
        <v>20</v>
      </c>
      <c r="W595" s="19">
        <f t="shared" si="127"/>
        <v>1.59</v>
      </c>
      <c r="X595" s="5">
        <v>16</v>
      </c>
      <c r="Y595" s="28">
        <f t="shared" si="128"/>
        <v>6.37</v>
      </c>
      <c r="Z595" s="31" t="s">
        <v>173</v>
      </c>
      <c r="AA595" t="str">
        <f t="shared" si="129"/>
        <v>Normal/Gering</v>
      </c>
    </row>
    <row r="596" spans="1:27" x14ac:dyDescent="0.35">
      <c r="A596" s="32" t="s">
        <v>17</v>
      </c>
      <c r="B596" s="2" t="str">
        <f>VLOOKUP(A596,Stammdaten!$A$3:$B$7,2,FALSE)</f>
        <v>Filiale West</v>
      </c>
      <c r="C596" s="3" t="str" cm="1">
        <f t="array" ref="C596">INDEX(Stammdaten!$A$11:$A$25,INT((ROW()-5)/12)+1 - INT((ROW()-5)/180)*15)</f>
        <v>A005</v>
      </c>
      <c r="D596" s="2" t="str">
        <f>VLOOKUP(C596,Stammdaten!$A$11:$B$25,2,FALSE)</f>
        <v>Gouda 200g</v>
      </c>
      <c r="E596" s="3" t="str">
        <f>VLOOKUP(C596,Stammdaten!$A$11:$C$25,3,FALSE)</f>
        <v>Käse</v>
      </c>
      <c r="F596" s="19">
        <f>VLOOKUP(C596,Stammdaten!$A$11:$D$25,4,FALSE)</f>
        <v>1.99</v>
      </c>
      <c r="G596" s="4">
        <f t="shared" si="117"/>
        <v>4</v>
      </c>
      <c r="H596" s="20" t="str">
        <f>VLOOKUP(G596,Stammdaten!$A$30:$B$41,2,FALSE)</f>
        <v>April</v>
      </c>
      <c r="I596" s="4">
        <v>400</v>
      </c>
      <c r="J596" s="4">
        <v>392</v>
      </c>
      <c r="K596" s="4">
        <f t="shared" si="118"/>
        <v>-8</v>
      </c>
      <c r="L596" s="27">
        <f t="shared" si="119"/>
        <v>-2</v>
      </c>
      <c r="M596" s="52" t="str">
        <f t="shared" si="120"/>
        <v>Schwund</v>
      </c>
      <c r="N596" s="28">
        <f t="shared" si="121"/>
        <v>15.92</v>
      </c>
      <c r="O596" s="5">
        <v>17</v>
      </c>
      <c r="P596" s="4">
        <v>2</v>
      </c>
      <c r="Q596" s="28">
        <f t="shared" si="122"/>
        <v>3.98</v>
      </c>
      <c r="R596" s="50">
        <f t="shared" si="123"/>
        <v>4.7759999999999998</v>
      </c>
      <c r="S596" s="2" t="str">
        <f t="shared" si="124"/>
        <v>Ostern</v>
      </c>
      <c r="T596" s="4">
        <v>0</v>
      </c>
      <c r="U596" s="4" t="str">
        <f t="shared" si="125"/>
        <v>Nein</v>
      </c>
      <c r="V596" s="4">
        <f t="shared" si="126"/>
        <v>0</v>
      </c>
      <c r="W596" s="19">
        <f t="shared" si="127"/>
        <v>1.99</v>
      </c>
      <c r="X596" s="5">
        <v>0</v>
      </c>
      <c r="Y596" s="28">
        <f t="shared" si="128"/>
        <v>0</v>
      </c>
      <c r="Z596" s="31" t="s">
        <v>172</v>
      </c>
      <c r="AA596" t="str">
        <f t="shared" si="129"/>
        <v>Normal/Gering</v>
      </c>
    </row>
    <row r="597" spans="1:27" x14ac:dyDescent="0.35">
      <c r="A597" s="32" t="s">
        <v>17</v>
      </c>
      <c r="B597" s="2" t="str">
        <f>VLOOKUP(A597,Stammdaten!$A$3:$B$7,2,FALSE)</f>
        <v>Filiale West</v>
      </c>
      <c r="C597" s="3" t="str" cm="1">
        <f t="array" ref="C597">INDEX(Stammdaten!$A$11:$A$25,INT((ROW()-5)/12)+1 - INT((ROW()-5)/180)*15)</f>
        <v>A005</v>
      </c>
      <c r="D597" s="2" t="str">
        <f>VLOOKUP(C597,Stammdaten!$A$11:$B$25,2,FALSE)</f>
        <v>Gouda 200g</v>
      </c>
      <c r="E597" s="3" t="str">
        <f>VLOOKUP(C597,Stammdaten!$A$11:$C$25,3,FALSE)</f>
        <v>Käse</v>
      </c>
      <c r="F597" s="19">
        <f>VLOOKUP(C597,Stammdaten!$A$11:$D$25,4,FALSE)</f>
        <v>1.99</v>
      </c>
      <c r="G597" s="4">
        <f t="shared" si="117"/>
        <v>5</v>
      </c>
      <c r="H597" s="20" t="str">
        <f>VLOOKUP(G597,Stammdaten!$A$30:$B$41,2,FALSE)</f>
        <v>Mai</v>
      </c>
      <c r="I597" s="4">
        <v>343</v>
      </c>
      <c r="J597" s="4">
        <v>339</v>
      </c>
      <c r="K597" s="4">
        <f t="shared" si="118"/>
        <v>-4</v>
      </c>
      <c r="L597" s="27">
        <f t="shared" si="119"/>
        <v>-1.1661807580174928</v>
      </c>
      <c r="M597" s="52" t="str">
        <f t="shared" si="120"/>
        <v>Schwund</v>
      </c>
      <c r="N597" s="28">
        <f t="shared" si="121"/>
        <v>7.96</v>
      </c>
      <c r="O597" s="5">
        <v>12</v>
      </c>
      <c r="P597" s="4">
        <v>3</v>
      </c>
      <c r="Q597" s="28">
        <f t="shared" si="122"/>
        <v>1.99</v>
      </c>
      <c r="R597" s="50">
        <f t="shared" si="123"/>
        <v>2.3879999999999999</v>
      </c>
      <c r="S597" s="2" t="str">
        <f t="shared" si="124"/>
        <v>Normal</v>
      </c>
      <c r="T597" s="4">
        <v>0</v>
      </c>
      <c r="U597" s="4" t="str">
        <f t="shared" si="125"/>
        <v>Nein</v>
      </c>
      <c r="V597" s="4">
        <f t="shared" si="126"/>
        <v>0</v>
      </c>
      <c r="W597" s="19">
        <f t="shared" si="127"/>
        <v>1.99</v>
      </c>
      <c r="X597" s="5">
        <v>0</v>
      </c>
      <c r="Y597" s="28">
        <f t="shared" si="128"/>
        <v>0</v>
      </c>
      <c r="Z597" s="31" t="s">
        <v>172</v>
      </c>
      <c r="AA597" t="str">
        <f t="shared" si="129"/>
        <v>Normal/Gering</v>
      </c>
    </row>
    <row r="598" spans="1:27" x14ac:dyDescent="0.35">
      <c r="A598" s="32" t="s">
        <v>17</v>
      </c>
      <c r="B598" s="2" t="str">
        <f>VLOOKUP(A598,Stammdaten!$A$3:$B$7,2,FALSE)</f>
        <v>Filiale West</v>
      </c>
      <c r="C598" s="3" t="str" cm="1">
        <f t="array" ref="C598">INDEX(Stammdaten!$A$11:$A$25,INT((ROW()-5)/12)+1 - INT((ROW()-5)/180)*15)</f>
        <v>A005</v>
      </c>
      <c r="D598" s="2" t="str">
        <f>VLOOKUP(C598,Stammdaten!$A$11:$B$25,2,FALSE)</f>
        <v>Gouda 200g</v>
      </c>
      <c r="E598" s="3" t="str">
        <f>VLOOKUP(C598,Stammdaten!$A$11:$C$25,3,FALSE)</f>
        <v>Käse</v>
      </c>
      <c r="F598" s="19">
        <f>VLOOKUP(C598,Stammdaten!$A$11:$D$25,4,FALSE)</f>
        <v>1.99</v>
      </c>
      <c r="G598" s="4">
        <f t="shared" si="117"/>
        <v>6</v>
      </c>
      <c r="H598" s="20" t="str">
        <f>VLOOKUP(G598,Stammdaten!$A$30:$B$41,2,FALSE)</f>
        <v>Juni</v>
      </c>
      <c r="I598" s="4">
        <v>359</v>
      </c>
      <c r="J598" s="4">
        <v>348</v>
      </c>
      <c r="K598" s="4">
        <f t="shared" si="118"/>
        <v>-11</v>
      </c>
      <c r="L598" s="27">
        <f t="shared" si="119"/>
        <v>-3.0640668523676879</v>
      </c>
      <c r="M598" s="52" t="str">
        <f t="shared" si="120"/>
        <v>Schwund</v>
      </c>
      <c r="N598" s="28">
        <f t="shared" si="121"/>
        <v>21.89</v>
      </c>
      <c r="O598" s="5">
        <v>11</v>
      </c>
      <c r="P598" s="4">
        <v>0</v>
      </c>
      <c r="Q598" s="28">
        <f t="shared" si="122"/>
        <v>5.4725000000000001</v>
      </c>
      <c r="R598" s="50">
        <f t="shared" si="123"/>
        <v>6.5670000000000002</v>
      </c>
      <c r="S598" s="2" t="str">
        <f t="shared" si="124"/>
        <v>Normal</v>
      </c>
      <c r="T598" s="4">
        <v>0</v>
      </c>
      <c r="U598" s="4" t="str">
        <f t="shared" si="125"/>
        <v>Nein</v>
      </c>
      <c r="V598" s="4">
        <f t="shared" si="126"/>
        <v>0</v>
      </c>
      <c r="W598" s="19">
        <f t="shared" si="127"/>
        <v>1.99</v>
      </c>
      <c r="X598" s="5">
        <v>0</v>
      </c>
      <c r="Y598" s="28">
        <f t="shared" si="128"/>
        <v>0</v>
      </c>
      <c r="Z598" s="31" t="s">
        <v>172</v>
      </c>
      <c r="AA598" t="str">
        <f t="shared" si="129"/>
        <v>Buchungsfehler Wareneingang</v>
      </c>
    </row>
    <row r="599" spans="1:27" x14ac:dyDescent="0.35">
      <c r="A599" s="32" t="s">
        <v>17</v>
      </c>
      <c r="B599" s="2" t="str">
        <f>VLOOKUP(A599,Stammdaten!$A$3:$B$7,2,FALSE)</f>
        <v>Filiale West</v>
      </c>
      <c r="C599" s="3" t="str" cm="1">
        <f t="array" ref="C599">INDEX(Stammdaten!$A$11:$A$25,INT((ROW()-5)/12)+1 - INT((ROW()-5)/180)*15)</f>
        <v>A005</v>
      </c>
      <c r="D599" s="2" t="str">
        <f>VLOOKUP(C599,Stammdaten!$A$11:$B$25,2,FALSE)</f>
        <v>Gouda 200g</v>
      </c>
      <c r="E599" s="3" t="str">
        <f>VLOOKUP(C599,Stammdaten!$A$11:$C$25,3,FALSE)</f>
        <v>Käse</v>
      </c>
      <c r="F599" s="19">
        <f>VLOOKUP(C599,Stammdaten!$A$11:$D$25,4,FALSE)</f>
        <v>1.99</v>
      </c>
      <c r="G599" s="4">
        <f t="shared" si="117"/>
        <v>7</v>
      </c>
      <c r="H599" s="20" t="str">
        <f>VLOOKUP(G599,Stammdaten!$A$30:$B$41,2,FALSE)</f>
        <v>Juli</v>
      </c>
      <c r="I599" s="4">
        <v>376</v>
      </c>
      <c r="J599" s="4">
        <v>376</v>
      </c>
      <c r="K599" s="4">
        <f t="shared" si="118"/>
        <v>0</v>
      </c>
      <c r="L599" s="27">
        <f t="shared" si="119"/>
        <v>0</v>
      </c>
      <c r="M599" s="52" t="str">
        <f t="shared" si="120"/>
        <v>Perfekt</v>
      </c>
      <c r="N599" s="28">
        <f t="shared" si="121"/>
        <v>0</v>
      </c>
      <c r="O599" s="5">
        <v>16</v>
      </c>
      <c r="P599" s="4">
        <v>0</v>
      </c>
      <c r="Q599" s="28">
        <f t="shared" si="122"/>
        <v>0</v>
      </c>
      <c r="R599" s="50">
        <f t="shared" si="123"/>
        <v>0</v>
      </c>
      <c r="S599" s="2" t="str">
        <f t="shared" si="124"/>
        <v>Normal</v>
      </c>
      <c r="T599" s="4">
        <v>0</v>
      </c>
      <c r="U599" s="4" t="str">
        <f t="shared" si="125"/>
        <v>Nein</v>
      </c>
      <c r="V599" s="4">
        <f t="shared" si="126"/>
        <v>0</v>
      </c>
      <c r="W599" s="19">
        <f t="shared" si="127"/>
        <v>1.99</v>
      </c>
      <c r="X599" s="5">
        <v>0</v>
      </c>
      <c r="Y599" s="28">
        <f t="shared" si="128"/>
        <v>0</v>
      </c>
      <c r="Z599" s="31" t="s">
        <v>172</v>
      </c>
      <c r="AA599" t="str">
        <f t="shared" si="129"/>
        <v>Normal/Gering</v>
      </c>
    </row>
    <row r="600" spans="1:27" x14ac:dyDescent="0.35">
      <c r="A600" s="32" t="s">
        <v>17</v>
      </c>
      <c r="B600" s="2" t="str">
        <f>VLOOKUP(A600,Stammdaten!$A$3:$B$7,2,FALSE)</f>
        <v>Filiale West</v>
      </c>
      <c r="C600" s="3" t="str" cm="1">
        <f t="array" ref="C600">INDEX(Stammdaten!$A$11:$A$25,INT((ROW()-5)/12)+1 - INT((ROW()-5)/180)*15)</f>
        <v>A005</v>
      </c>
      <c r="D600" s="2" t="str">
        <f>VLOOKUP(C600,Stammdaten!$A$11:$B$25,2,FALSE)</f>
        <v>Gouda 200g</v>
      </c>
      <c r="E600" s="3" t="str">
        <f>VLOOKUP(C600,Stammdaten!$A$11:$C$25,3,FALSE)</f>
        <v>Käse</v>
      </c>
      <c r="F600" s="19">
        <f>VLOOKUP(C600,Stammdaten!$A$11:$D$25,4,FALSE)</f>
        <v>1.99</v>
      </c>
      <c r="G600" s="4">
        <f t="shared" si="117"/>
        <v>8</v>
      </c>
      <c r="H600" s="20" t="str">
        <f>VLOOKUP(G600,Stammdaten!$A$30:$B$41,2,FALSE)</f>
        <v>August</v>
      </c>
      <c r="I600" s="4">
        <v>383</v>
      </c>
      <c r="J600" s="4">
        <v>378</v>
      </c>
      <c r="K600" s="4">
        <f t="shared" si="118"/>
        <v>-5</v>
      </c>
      <c r="L600" s="27">
        <f t="shared" si="119"/>
        <v>-1.3054830287206265</v>
      </c>
      <c r="M600" s="52" t="str">
        <f t="shared" si="120"/>
        <v>Schwund</v>
      </c>
      <c r="N600" s="28">
        <f t="shared" si="121"/>
        <v>9.9499999999999993</v>
      </c>
      <c r="O600" s="5">
        <v>21</v>
      </c>
      <c r="P600" s="4">
        <v>7</v>
      </c>
      <c r="Q600" s="28">
        <f t="shared" si="122"/>
        <v>2.4874999999999998</v>
      </c>
      <c r="R600" s="50">
        <f t="shared" si="123"/>
        <v>2.9849999999999999</v>
      </c>
      <c r="S600" s="2" t="str">
        <f t="shared" si="124"/>
        <v>Normal</v>
      </c>
      <c r="T600" s="4">
        <v>0</v>
      </c>
      <c r="U600" s="4" t="str">
        <f t="shared" si="125"/>
        <v>Nein</v>
      </c>
      <c r="V600" s="4">
        <f t="shared" si="126"/>
        <v>0</v>
      </c>
      <c r="W600" s="19">
        <f t="shared" si="127"/>
        <v>1.99</v>
      </c>
      <c r="X600" s="5">
        <v>0</v>
      </c>
      <c r="Y600" s="28">
        <f t="shared" si="128"/>
        <v>0</v>
      </c>
      <c r="Z600" s="31" t="s">
        <v>172</v>
      </c>
      <c r="AA600" t="str">
        <f t="shared" si="129"/>
        <v>Normal/Gering</v>
      </c>
    </row>
    <row r="601" spans="1:27" x14ac:dyDescent="0.35">
      <c r="A601" s="32" t="s">
        <v>17</v>
      </c>
      <c r="B601" s="2" t="str">
        <f>VLOOKUP(A601,Stammdaten!$A$3:$B$7,2,FALSE)</f>
        <v>Filiale West</v>
      </c>
      <c r="C601" s="3" t="str" cm="1">
        <f t="array" ref="C601">INDEX(Stammdaten!$A$11:$A$25,INT((ROW()-5)/12)+1 - INT((ROW()-5)/180)*15)</f>
        <v>A005</v>
      </c>
      <c r="D601" s="2" t="str">
        <f>VLOOKUP(C601,Stammdaten!$A$11:$B$25,2,FALSE)</f>
        <v>Gouda 200g</v>
      </c>
      <c r="E601" s="3" t="str">
        <f>VLOOKUP(C601,Stammdaten!$A$11:$C$25,3,FALSE)</f>
        <v>Käse</v>
      </c>
      <c r="F601" s="19">
        <f>VLOOKUP(C601,Stammdaten!$A$11:$D$25,4,FALSE)</f>
        <v>1.99</v>
      </c>
      <c r="G601" s="4">
        <f t="shared" si="117"/>
        <v>9</v>
      </c>
      <c r="H601" s="20" t="str">
        <f>VLOOKUP(G601,Stammdaten!$A$30:$B$41,2,FALSE)</f>
        <v>September</v>
      </c>
      <c r="I601" s="4">
        <v>323</v>
      </c>
      <c r="J601" s="4">
        <v>317</v>
      </c>
      <c r="K601" s="4">
        <f t="shared" si="118"/>
        <v>-6</v>
      </c>
      <c r="L601" s="27">
        <f t="shared" si="119"/>
        <v>-1.8575851393188854</v>
      </c>
      <c r="M601" s="52" t="str">
        <f t="shared" si="120"/>
        <v>Schwund</v>
      </c>
      <c r="N601" s="28">
        <f t="shared" si="121"/>
        <v>11.94</v>
      </c>
      <c r="O601" s="5">
        <v>19</v>
      </c>
      <c r="P601" s="4">
        <v>2</v>
      </c>
      <c r="Q601" s="28">
        <f t="shared" si="122"/>
        <v>2.9849999999999999</v>
      </c>
      <c r="R601" s="50">
        <f t="shared" si="123"/>
        <v>3.5819999999999999</v>
      </c>
      <c r="S601" s="2" t="str">
        <f t="shared" si="124"/>
        <v>Normal</v>
      </c>
      <c r="T601" s="4">
        <v>0</v>
      </c>
      <c r="U601" s="4" t="str">
        <f t="shared" si="125"/>
        <v>Nein</v>
      </c>
      <c r="V601" s="4">
        <f t="shared" si="126"/>
        <v>0</v>
      </c>
      <c r="W601" s="19">
        <f t="shared" si="127"/>
        <v>1.99</v>
      </c>
      <c r="X601" s="5">
        <v>0</v>
      </c>
      <c r="Y601" s="28">
        <f t="shared" si="128"/>
        <v>0</v>
      </c>
      <c r="Z601" s="31" t="s">
        <v>172</v>
      </c>
      <c r="AA601" t="str">
        <f t="shared" si="129"/>
        <v>Normal/Gering</v>
      </c>
    </row>
    <row r="602" spans="1:27" x14ac:dyDescent="0.35">
      <c r="A602" s="32" t="s">
        <v>17</v>
      </c>
      <c r="B602" s="2" t="str">
        <f>VLOOKUP(A602,Stammdaten!$A$3:$B$7,2,FALSE)</f>
        <v>Filiale West</v>
      </c>
      <c r="C602" s="3" t="str" cm="1">
        <f t="array" ref="C602">INDEX(Stammdaten!$A$11:$A$25,INT((ROW()-5)/12)+1 - INT((ROW()-5)/180)*15)</f>
        <v>A005</v>
      </c>
      <c r="D602" s="2" t="str">
        <f>VLOOKUP(C602,Stammdaten!$A$11:$B$25,2,FALSE)</f>
        <v>Gouda 200g</v>
      </c>
      <c r="E602" s="3" t="str">
        <f>VLOOKUP(C602,Stammdaten!$A$11:$C$25,3,FALSE)</f>
        <v>Käse</v>
      </c>
      <c r="F602" s="19">
        <f>VLOOKUP(C602,Stammdaten!$A$11:$D$25,4,FALSE)</f>
        <v>1.99</v>
      </c>
      <c r="G602" s="4">
        <f t="shared" si="117"/>
        <v>10</v>
      </c>
      <c r="H602" s="20" t="str">
        <f>VLOOKUP(G602,Stammdaten!$A$30:$B$41,2,FALSE)</f>
        <v>Oktober</v>
      </c>
      <c r="I602" s="4">
        <v>340</v>
      </c>
      <c r="J602" s="4">
        <v>341</v>
      </c>
      <c r="K602" s="4">
        <f t="shared" si="118"/>
        <v>1</v>
      </c>
      <c r="L602" s="27">
        <f t="shared" si="119"/>
        <v>0.29411764705882354</v>
      </c>
      <c r="M602" s="52" t="str">
        <f t="shared" si="120"/>
        <v>Überbestand</v>
      </c>
      <c r="N602" s="28">
        <f t="shared" si="121"/>
        <v>1.99</v>
      </c>
      <c r="O602" s="5">
        <v>13</v>
      </c>
      <c r="P602" s="4">
        <v>4</v>
      </c>
      <c r="Q602" s="28">
        <f t="shared" si="122"/>
        <v>0</v>
      </c>
      <c r="R602" s="50">
        <f t="shared" si="123"/>
        <v>0</v>
      </c>
      <c r="S602" s="2" t="str">
        <f t="shared" si="124"/>
        <v>Normal</v>
      </c>
      <c r="T602" s="4">
        <v>1</v>
      </c>
      <c r="U602" s="4" t="str">
        <f t="shared" si="125"/>
        <v>Nein</v>
      </c>
      <c r="V602" s="4">
        <f t="shared" si="126"/>
        <v>0</v>
      </c>
      <c r="W602" s="19">
        <f t="shared" si="127"/>
        <v>1.99</v>
      </c>
      <c r="X602" s="5">
        <v>0</v>
      </c>
      <c r="Y602" s="28">
        <f t="shared" si="128"/>
        <v>0</v>
      </c>
      <c r="Z602" s="31" t="s">
        <v>172</v>
      </c>
      <c r="AA602" t="str">
        <f t="shared" si="129"/>
        <v>Kassenfehler (Überbestand)</v>
      </c>
    </row>
    <row r="603" spans="1:27" x14ac:dyDescent="0.35">
      <c r="A603" s="32" t="s">
        <v>17</v>
      </c>
      <c r="B603" s="2" t="str">
        <f>VLOOKUP(A603,Stammdaten!$A$3:$B$7,2,FALSE)</f>
        <v>Filiale West</v>
      </c>
      <c r="C603" s="3" t="str" cm="1">
        <f t="array" ref="C603">INDEX(Stammdaten!$A$11:$A$25,INT((ROW()-5)/12)+1 - INT((ROW()-5)/180)*15)</f>
        <v>A005</v>
      </c>
      <c r="D603" s="2" t="str">
        <f>VLOOKUP(C603,Stammdaten!$A$11:$B$25,2,FALSE)</f>
        <v>Gouda 200g</v>
      </c>
      <c r="E603" s="3" t="str">
        <f>VLOOKUP(C603,Stammdaten!$A$11:$C$25,3,FALSE)</f>
        <v>Käse</v>
      </c>
      <c r="F603" s="19">
        <f>VLOOKUP(C603,Stammdaten!$A$11:$D$25,4,FALSE)</f>
        <v>1.99</v>
      </c>
      <c r="G603" s="4">
        <f t="shared" si="117"/>
        <v>11</v>
      </c>
      <c r="H603" s="20" t="str">
        <f>VLOOKUP(G603,Stammdaten!$A$30:$B$41,2,FALSE)</f>
        <v>November</v>
      </c>
      <c r="I603" s="4">
        <v>352</v>
      </c>
      <c r="J603" s="4">
        <v>347</v>
      </c>
      <c r="K603" s="4">
        <f t="shared" si="118"/>
        <v>-5</v>
      </c>
      <c r="L603" s="27">
        <f t="shared" si="119"/>
        <v>-1.4204545454545454</v>
      </c>
      <c r="M603" s="52" t="str">
        <f t="shared" si="120"/>
        <v>Schwund</v>
      </c>
      <c r="N603" s="28">
        <f t="shared" si="121"/>
        <v>9.9499999999999993</v>
      </c>
      <c r="O603" s="5">
        <v>12</v>
      </c>
      <c r="P603" s="4">
        <v>4</v>
      </c>
      <c r="Q603" s="28">
        <f t="shared" si="122"/>
        <v>2.4874999999999998</v>
      </c>
      <c r="R603" s="50">
        <f t="shared" si="123"/>
        <v>2.9849999999999999</v>
      </c>
      <c r="S603" s="2" t="str">
        <f t="shared" si="124"/>
        <v>Black Friday</v>
      </c>
      <c r="T603" s="4">
        <v>0</v>
      </c>
      <c r="U603" s="4" t="str">
        <f t="shared" si="125"/>
        <v>Nein</v>
      </c>
      <c r="V603" s="4">
        <f t="shared" si="126"/>
        <v>0</v>
      </c>
      <c r="W603" s="19">
        <f t="shared" si="127"/>
        <v>1.99</v>
      </c>
      <c r="X603" s="5">
        <v>0</v>
      </c>
      <c r="Y603" s="28">
        <f t="shared" si="128"/>
        <v>0</v>
      </c>
      <c r="Z603" s="31" t="s">
        <v>172</v>
      </c>
      <c r="AA603" t="str">
        <f t="shared" si="129"/>
        <v>Normal/Gering</v>
      </c>
    </row>
    <row r="604" spans="1:27" x14ac:dyDescent="0.35">
      <c r="A604" s="32" t="s">
        <v>17</v>
      </c>
      <c r="B604" s="2" t="str">
        <f>VLOOKUP(A604,Stammdaten!$A$3:$B$7,2,FALSE)</f>
        <v>Filiale West</v>
      </c>
      <c r="C604" s="3" t="str" cm="1">
        <f t="array" ref="C604">INDEX(Stammdaten!$A$11:$A$25,INT((ROW()-5)/12)+1 - INT((ROW()-5)/180)*15)</f>
        <v>A005</v>
      </c>
      <c r="D604" s="2" t="str">
        <f>VLOOKUP(C604,Stammdaten!$A$11:$B$25,2,FALSE)</f>
        <v>Gouda 200g</v>
      </c>
      <c r="E604" s="3" t="str">
        <f>VLOOKUP(C604,Stammdaten!$A$11:$C$25,3,FALSE)</f>
        <v>Käse</v>
      </c>
      <c r="F604" s="19">
        <f>VLOOKUP(C604,Stammdaten!$A$11:$D$25,4,FALSE)</f>
        <v>1.99</v>
      </c>
      <c r="G604" s="4">
        <f t="shared" si="117"/>
        <v>12</v>
      </c>
      <c r="H604" s="20" t="str">
        <f>VLOOKUP(G604,Stammdaten!$A$30:$B$41,2,FALSE)</f>
        <v>Dezember</v>
      </c>
      <c r="I604" s="4">
        <v>444</v>
      </c>
      <c r="J604" s="4">
        <v>430</v>
      </c>
      <c r="K604" s="4">
        <f t="shared" si="118"/>
        <v>-14</v>
      </c>
      <c r="L604" s="27">
        <f t="shared" si="119"/>
        <v>-3.1531531531531529</v>
      </c>
      <c r="M604" s="52" t="str">
        <f t="shared" si="120"/>
        <v>Schwund</v>
      </c>
      <c r="N604" s="28">
        <f t="shared" si="121"/>
        <v>27.86</v>
      </c>
      <c r="O604" s="5">
        <v>8</v>
      </c>
      <c r="P604" s="4">
        <v>3</v>
      </c>
      <c r="Q604" s="28">
        <f t="shared" si="122"/>
        <v>6.9649999999999999</v>
      </c>
      <c r="R604" s="50">
        <f t="shared" si="123"/>
        <v>8.3579999999999988</v>
      </c>
      <c r="S604" s="2" t="str">
        <f t="shared" si="124"/>
        <v>Weihnachten/Silvester</v>
      </c>
      <c r="T604" s="4">
        <v>0</v>
      </c>
      <c r="U604" s="4" t="str">
        <f t="shared" si="125"/>
        <v>Nein</v>
      </c>
      <c r="V604" s="4">
        <f t="shared" si="126"/>
        <v>0</v>
      </c>
      <c r="W604" s="19">
        <f t="shared" si="127"/>
        <v>1.99</v>
      </c>
      <c r="X604" s="5">
        <v>0</v>
      </c>
      <c r="Y604" s="28">
        <f t="shared" si="128"/>
        <v>0</v>
      </c>
      <c r="Z604" s="31" t="s">
        <v>172</v>
      </c>
      <c r="AA604" t="str">
        <f t="shared" si="129"/>
        <v>Prozessfehler</v>
      </c>
    </row>
    <row r="605" spans="1:27" x14ac:dyDescent="0.35">
      <c r="A605" s="32" t="s">
        <v>17</v>
      </c>
      <c r="B605" s="2" t="str">
        <f>VLOOKUP(A605,Stammdaten!$A$3:$B$7,2,FALSE)</f>
        <v>Filiale West</v>
      </c>
      <c r="C605" s="3" t="str" cm="1">
        <f t="array" ref="C605">INDEX(Stammdaten!$A$11:$A$25,INT((ROW()-5)/12)+1 - INT((ROW()-5)/180)*15)</f>
        <v>A006</v>
      </c>
      <c r="D605" s="2" t="str">
        <f>VLOOKUP(C605,Stammdaten!$A$11:$B$25,2,FALSE)</f>
        <v>Emmentaler 200g</v>
      </c>
      <c r="E605" s="3" t="str">
        <f>VLOOKUP(C605,Stammdaten!$A$11:$C$25,3,FALSE)</f>
        <v>Käse</v>
      </c>
      <c r="F605" s="19">
        <f>VLOOKUP(C605,Stammdaten!$A$11:$D$25,4,FALSE)</f>
        <v>2.4900000000000002</v>
      </c>
      <c r="G605" s="4">
        <f t="shared" si="117"/>
        <v>1</v>
      </c>
      <c r="H605" s="20" t="str">
        <f>VLOOKUP(G605,Stammdaten!$A$30:$B$41,2,FALSE)</f>
        <v>Januar</v>
      </c>
      <c r="I605" s="4">
        <v>260</v>
      </c>
      <c r="J605" s="4">
        <v>255</v>
      </c>
      <c r="K605" s="4">
        <f t="shared" si="118"/>
        <v>-5</v>
      </c>
      <c r="L605" s="27">
        <f t="shared" si="119"/>
        <v>-1.9230769230769231</v>
      </c>
      <c r="M605" s="52" t="str">
        <f t="shared" si="120"/>
        <v>Schwund</v>
      </c>
      <c r="N605" s="28">
        <f t="shared" si="121"/>
        <v>12.450000000000001</v>
      </c>
      <c r="O605" s="5">
        <v>16</v>
      </c>
      <c r="P605" s="4">
        <v>1</v>
      </c>
      <c r="Q605" s="28">
        <f t="shared" si="122"/>
        <v>3.1125000000000003</v>
      </c>
      <c r="R605" s="50">
        <f t="shared" si="123"/>
        <v>3.7350000000000003</v>
      </c>
      <c r="S605" s="2" t="str">
        <f t="shared" si="124"/>
        <v>Normal</v>
      </c>
      <c r="T605" s="4">
        <v>0</v>
      </c>
      <c r="U605" s="4" t="str">
        <f t="shared" si="125"/>
        <v>Nein</v>
      </c>
      <c r="V605" s="4">
        <f t="shared" si="126"/>
        <v>0</v>
      </c>
      <c r="W605" s="19">
        <f t="shared" si="127"/>
        <v>2.4900000000000002</v>
      </c>
      <c r="X605" s="5">
        <v>0</v>
      </c>
      <c r="Y605" s="28">
        <f t="shared" si="128"/>
        <v>0</v>
      </c>
      <c r="Z605" s="31" t="s">
        <v>172</v>
      </c>
      <c r="AA605" t="str">
        <f t="shared" si="129"/>
        <v>Normal/Gering</v>
      </c>
    </row>
    <row r="606" spans="1:27" x14ac:dyDescent="0.35">
      <c r="A606" s="32" t="s">
        <v>17</v>
      </c>
      <c r="B606" s="2" t="str">
        <f>VLOOKUP(A606,Stammdaten!$A$3:$B$7,2,FALSE)</f>
        <v>Filiale West</v>
      </c>
      <c r="C606" s="3" t="str" cm="1">
        <f t="array" ref="C606">INDEX(Stammdaten!$A$11:$A$25,INT((ROW()-5)/12)+1 - INT((ROW()-5)/180)*15)</f>
        <v>A006</v>
      </c>
      <c r="D606" s="2" t="str">
        <f>VLOOKUP(C606,Stammdaten!$A$11:$B$25,2,FALSE)</f>
        <v>Emmentaler 200g</v>
      </c>
      <c r="E606" s="3" t="str">
        <f>VLOOKUP(C606,Stammdaten!$A$11:$C$25,3,FALSE)</f>
        <v>Käse</v>
      </c>
      <c r="F606" s="19">
        <f>VLOOKUP(C606,Stammdaten!$A$11:$D$25,4,FALSE)</f>
        <v>2.4900000000000002</v>
      </c>
      <c r="G606" s="4">
        <f t="shared" si="117"/>
        <v>2</v>
      </c>
      <c r="H606" s="20" t="str">
        <f>VLOOKUP(G606,Stammdaten!$A$30:$B$41,2,FALSE)</f>
        <v>Februar</v>
      </c>
      <c r="I606" s="4">
        <v>245</v>
      </c>
      <c r="J606" s="4">
        <v>240</v>
      </c>
      <c r="K606" s="4">
        <f t="shared" si="118"/>
        <v>-5</v>
      </c>
      <c r="L606" s="27">
        <f t="shared" si="119"/>
        <v>-2.0408163265306123</v>
      </c>
      <c r="M606" s="52" t="str">
        <f t="shared" si="120"/>
        <v>Schwund</v>
      </c>
      <c r="N606" s="28">
        <f t="shared" si="121"/>
        <v>12.450000000000001</v>
      </c>
      <c r="O606" s="5">
        <v>0</v>
      </c>
      <c r="P606" s="4">
        <v>1</v>
      </c>
      <c r="Q606" s="28">
        <f t="shared" si="122"/>
        <v>3.1125000000000003</v>
      </c>
      <c r="R606" s="50">
        <f t="shared" si="123"/>
        <v>3.7350000000000003</v>
      </c>
      <c r="S606" s="2" t="str">
        <f t="shared" si="124"/>
        <v>Karneval</v>
      </c>
      <c r="T606" s="4">
        <v>0</v>
      </c>
      <c r="U606" s="4" t="str">
        <f t="shared" si="125"/>
        <v>Abschreibung</v>
      </c>
      <c r="V606" s="4">
        <f t="shared" si="126"/>
        <v>100</v>
      </c>
      <c r="W606" s="19">
        <f t="shared" si="127"/>
        <v>0</v>
      </c>
      <c r="X606" s="5">
        <v>7</v>
      </c>
      <c r="Y606" s="28">
        <f t="shared" si="128"/>
        <v>17.43</v>
      </c>
      <c r="Z606" s="31" t="s">
        <v>173</v>
      </c>
      <c r="AA606" t="str">
        <f t="shared" si="129"/>
        <v>Verderb - Abgelaufen</v>
      </c>
    </row>
    <row r="607" spans="1:27" x14ac:dyDescent="0.35">
      <c r="A607" s="32" t="s">
        <v>17</v>
      </c>
      <c r="B607" s="2" t="str">
        <f>VLOOKUP(A607,Stammdaten!$A$3:$B$7,2,FALSE)</f>
        <v>Filiale West</v>
      </c>
      <c r="C607" s="3" t="str" cm="1">
        <f t="array" ref="C607">INDEX(Stammdaten!$A$11:$A$25,INT((ROW()-5)/12)+1 - INT((ROW()-5)/180)*15)</f>
        <v>A006</v>
      </c>
      <c r="D607" s="2" t="str">
        <f>VLOOKUP(C607,Stammdaten!$A$11:$B$25,2,FALSE)</f>
        <v>Emmentaler 200g</v>
      </c>
      <c r="E607" s="3" t="str">
        <f>VLOOKUP(C607,Stammdaten!$A$11:$C$25,3,FALSE)</f>
        <v>Käse</v>
      </c>
      <c r="F607" s="19">
        <f>VLOOKUP(C607,Stammdaten!$A$11:$D$25,4,FALSE)</f>
        <v>2.4900000000000002</v>
      </c>
      <c r="G607" s="4">
        <f t="shared" si="117"/>
        <v>3</v>
      </c>
      <c r="H607" s="20" t="str">
        <f>VLOOKUP(G607,Stammdaten!$A$30:$B$41,2,FALSE)</f>
        <v>März</v>
      </c>
      <c r="I607" s="4">
        <v>280</v>
      </c>
      <c r="J607" s="4">
        <v>280</v>
      </c>
      <c r="K607" s="4">
        <f t="shared" si="118"/>
        <v>0</v>
      </c>
      <c r="L607" s="27">
        <f t="shared" si="119"/>
        <v>0</v>
      </c>
      <c r="M607" s="52" t="str">
        <f t="shared" si="120"/>
        <v>Perfekt</v>
      </c>
      <c r="N607" s="28">
        <f t="shared" si="121"/>
        <v>0</v>
      </c>
      <c r="O607" s="5">
        <v>8</v>
      </c>
      <c r="P607" s="4">
        <v>6</v>
      </c>
      <c r="Q607" s="28">
        <f t="shared" si="122"/>
        <v>0</v>
      </c>
      <c r="R607" s="50">
        <f t="shared" si="123"/>
        <v>0</v>
      </c>
      <c r="S607" s="2" t="str">
        <f t="shared" si="124"/>
        <v>Normal</v>
      </c>
      <c r="T607" s="4">
        <v>0</v>
      </c>
      <c r="U607" s="4" t="str">
        <f t="shared" si="125"/>
        <v>Nein</v>
      </c>
      <c r="V607" s="4">
        <f t="shared" si="126"/>
        <v>0</v>
      </c>
      <c r="W607" s="19">
        <f t="shared" si="127"/>
        <v>2.4900000000000002</v>
      </c>
      <c r="X607" s="5">
        <v>0</v>
      </c>
      <c r="Y607" s="28">
        <f t="shared" si="128"/>
        <v>0</v>
      </c>
      <c r="Z607" s="31" t="s">
        <v>172</v>
      </c>
      <c r="AA607" t="str">
        <f t="shared" si="129"/>
        <v>Normal/Gering</v>
      </c>
    </row>
    <row r="608" spans="1:27" x14ac:dyDescent="0.35">
      <c r="A608" s="32" t="s">
        <v>17</v>
      </c>
      <c r="B608" s="2" t="str">
        <f>VLOOKUP(A608,Stammdaten!$A$3:$B$7,2,FALSE)</f>
        <v>Filiale West</v>
      </c>
      <c r="C608" s="3" t="str" cm="1">
        <f t="array" ref="C608">INDEX(Stammdaten!$A$11:$A$25,INT((ROW()-5)/12)+1 - INT((ROW()-5)/180)*15)</f>
        <v>A006</v>
      </c>
      <c r="D608" s="2" t="str">
        <f>VLOOKUP(C608,Stammdaten!$A$11:$B$25,2,FALSE)</f>
        <v>Emmentaler 200g</v>
      </c>
      <c r="E608" s="3" t="str">
        <f>VLOOKUP(C608,Stammdaten!$A$11:$C$25,3,FALSE)</f>
        <v>Käse</v>
      </c>
      <c r="F608" s="19">
        <f>VLOOKUP(C608,Stammdaten!$A$11:$D$25,4,FALSE)</f>
        <v>2.4900000000000002</v>
      </c>
      <c r="G608" s="4">
        <f t="shared" si="117"/>
        <v>4</v>
      </c>
      <c r="H608" s="20" t="str">
        <f>VLOOKUP(G608,Stammdaten!$A$30:$B$41,2,FALSE)</f>
        <v>April</v>
      </c>
      <c r="I608" s="4">
        <v>327</v>
      </c>
      <c r="J608" s="4">
        <v>320</v>
      </c>
      <c r="K608" s="4">
        <f t="shared" si="118"/>
        <v>-7</v>
      </c>
      <c r="L608" s="27">
        <f t="shared" si="119"/>
        <v>-2.1406727828746175</v>
      </c>
      <c r="M608" s="52" t="str">
        <f t="shared" si="120"/>
        <v>Schwund</v>
      </c>
      <c r="N608" s="28">
        <f t="shared" si="121"/>
        <v>17.43</v>
      </c>
      <c r="O608" s="5">
        <v>14</v>
      </c>
      <c r="P608" s="4">
        <v>5</v>
      </c>
      <c r="Q608" s="28">
        <f t="shared" si="122"/>
        <v>4.3574999999999999</v>
      </c>
      <c r="R608" s="50">
        <f t="shared" si="123"/>
        <v>5.2290000000000001</v>
      </c>
      <c r="S608" s="2" t="str">
        <f t="shared" si="124"/>
        <v>Ostern</v>
      </c>
      <c r="T608" s="4">
        <v>0</v>
      </c>
      <c r="U608" s="4" t="str">
        <f t="shared" si="125"/>
        <v>Nein</v>
      </c>
      <c r="V608" s="4">
        <f t="shared" si="126"/>
        <v>0</v>
      </c>
      <c r="W608" s="19">
        <f t="shared" si="127"/>
        <v>2.4900000000000002</v>
      </c>
      <c r="X608" s="5">
        <v>0</v>
      </c>
      <c r="Y608" s="28">
        <f t="shared" si="128"/>
        <v>0</v>
      </c>
      <c r="Z608" s="31" t="s">
        <v>172</v>
      </c>
      <c r="AA608" t="str">
        <f t="shared" si="129"/>
        <v>Prozessfehler</v>
      </c>
    </row>
    <row r="609" spans="1:27" x14ac:dyDescent="0.35">
      <c r="A609" s="32" t="s">
        <v>17</v>
      </c>
      <c r="B609" s="2" t="str">
        <f>VLOOKUP(A609,Stammdaten!$A$3:$B$7,2,FALSE)</f>
        <v>Filiale West</v>
      </c>
      <c r="C609" s="3" t="str" cm="1">
        <f t="array" ref="C609">INDEX(Stammdaten!$A$11:$A$25,INT((ROW()-5)/12)+1 - INT((ROW()-5)/180)*15)</f>
        <v>A006</v>
      </c>
      <c r="D609" s="2" t="str">
        <f>VLOOKUP(C609,Stammdaten!$A$11:$B$25,2,FALSE)</f>
        <v>Emmentaler 200g</v>
      </c>
      <c r="E609" s="3" t="str">
        <f>VLOOKUP(C609,Stammdaten!$A$11:$C$25,3,FALSE)</f>
        <v>Käse</v>
      </c>
      <c r="F609" s="19">
        <f>VLOOKUP(C609,Stammdaten!$A$11:$D$25,4,FALSE)</f>
        <v>2.4900000000000002</v>
      </c>
      <c r="G609" s="4">
        <f t="shared" si="117"/>
        <v>5</v>
      </c>
      <c r="H609" s="20" t="str">
        <f>VLOOKUP(G609,Stammdaten!$A$30:$B$41,2,FALSE)</f>
        <v>Mai</v>
      </c>
      <c r="I609" s="4">
        <v>283</v>
      </c>
      <c r="J609" s="4">
        <v>279</v>
      </c>
      <c r="K609" s="4">
        <f t="shared" si="118"/>
        <v>-4</v>
      </c>
      <c r="L609" s="27">
        <f t="shared" si="119"/>
        <v>-1.4134275618374559</v>
      </c>
      <c r="M609" s="52" t="str">
        <f t="shared" si="120"/>
        <v>Schwund</v>
      </c>
      <c r="N609" s="28">
        <f t="shared" si="121"/>
        <v>9.9600000000000009</v>
      </c>
      <c r="O609" s="5">
        <v>17</v>
      </c>
      <c r="P609" s="4">
        <v>6</v>
      </c>
      <c r="Q609" s="28">
        <f t="shared" si="122"/>
        <v>2.4900000000000002</v>
      </c>
      <c r="R609" s="50">
        <f t="shared" si="123"/>
        <v>2.988</v>
      </c>
      <c r="S609" s="2" t="str">
        <f t="shared" si="124"/>
        <v>Normal</v>
      </c>
      <c r="T609" s="4">
        <v>0</v>
      </c>
      <c r="U609" s="4" t="str">
        <f t="shared" si="125"/>
        <v>Nein</v>
      </c>
      <c r="V609" s="4">
        <f t="shared" si="126"/>
        <v>0</v>
      </c>
      <c r="W609" s="19">
        <f t="shared" si="127"/>
        <v>2.4900000000000002</v>
      </c>
      <c r="X609" s="5">
        <v>0</v>
      </c>
      <c r="Y609" s="28">
        <f t="shared" si="128"/>
        <v>0</v>
      </c>
      <c r="Z609" s="31" t="s">
        <v>172</v>
      </c>
      <c r="AA609" t="str">
        <f t="shared" si="129"/>
        <v>Normal/Gering</v>
      </c>
    </row>
    <row r="610" spans="1:27" x14ac:dyDescent="0.35">
      <c r="A610" s="32" t="s">
        <v>17</v>
      </c>
      <c r="B610" s="2" t="str">
        <f>VLOOKUP(A610,Stammdaten!$A$3:$B$7,2,FALSE)</f>
        <v>Filiale West</v>
      </c>
      <c r="C610" s="3" t="str" cm="1">
        <f t="array" ref="C610">INDEX(Stammdaten!$A$11:$A$25,INT((ROW()-5)/12)+1 - INT((ROW()-5)/180)*15)</f>
        <v>A006</v>
      </c>
      <c r="D610" s="2" t="str">
        <f>VLOOKUP(C610,Stammdaten!$A$11:$B$25,2,FALSE)</f>
        <v>Emmentaler 200g</v>
      </c>
      <c r="E610" s="3" t="str">
        <f>VLOOKUP(C610,Stammdaten!$A$11:$C$25,3,FALSE)</f>
        <v>Käse</v>
      </c>
      <c r="F610" s="19">
        <f>VLOOKUP(C610,Stammdaten!$A$11:$D$25,4,FALSE)</f>
        <v>2.4900000000000002</v>
      </c>
      <c r="G610" s="4">
        <f t="shared" si="117"/>
        <v>6</v>
      </c>
      <c r="H610" s="20" t="str">
        <f>VLOOKUP(G610,Stammdaten!$A$30:$B$41,2,FALSE)</f>
        <v>Juni</v>
      </c>
      <c r="I610" s="4">
        <v>290</v>
      </c>
      <c r="J610" s="4">
        <v>287</v>
      </c>
      <c r="K610" s="4">
        <f t="shared" si="118"/>
        <v>-3</v>
      </c>
      <c r="L610" s="27">
        <f t="shared" si="119"/>
        <v>-1.0344827586206897</v>
      </c>
      <c r="M610" s="52" t="str">
        <f t="shared" si="120"/>
        <v>Schwund</v>
      </c>
      <c r="N610" s="28">
        <f t="shared" si="121"/>
        <v>7.4700000000000006</v>
      </c>
      <c r="O610" s="5">
        <v>18</v>
      </c>
      <c r="P610" s="4">
        <v>7</v>
      </c>
      <c r="Q610" s="28">
        <f t="shared" si="122"/>
        <v>1.8675000000000002</v>
      </c>
      <c r="R610" s="50">
        <f t="shared" si="123"/>
        <v>2.2410000000000001</v>
      </c>
      <c r="S610" s="2" t="str">
        <f t="shared" si="124"/>
        <v>Normal</v>
      </c>
      <c r="T610" s="4">
        <v>0</v>
      </c>
      <c r="U610" s="4" t="str">
        <f t="shared" si="125"/>
        <v>Nein</v>
      </c>
      <c r="V610" s="4">
        <f t="shared" si="126"/>
        <v>0</v>
      </c>
      <c r="W610" s="19">
        <f t="shared" si="127"/>
        <v>2.4900000000000002</v>
      </c>
      <c r="X610" s="5">
        <v>0</v>
      </c>
      <c r="Y610" s="28">
        <f t="shared" si="128"/>
        <v>0</v>
      </c>
      <c r="Z610" s="31" t="s">
        <v>172</v>
      </c>
      <c r="AA610" t="str">
        <f t="shared" si="129"/>
        <v>Normal/Gering</v>
      </c>
    </row>
    <row r="611" spans="1:27" x14ac:dyDescent="0.35">
      <c r="A611" s="32" t="s">
        <v>17</v>
      </c>
      <c r="B611" s="2" t="str">
        <f>VLOOKUP(A611,Stammdaten!$A$3:$B$7,2,FALSE)</f>
        <v>Filiale West</v>
      </c>
      <c r="C611" s="3" t="str" cm="1">
        <f t="array" ref="C611">INDEX(Stammdaten!$A$11:$A$25,INT((ROW()-5)/12)+1 - INT((ROW()-5)/180)*15)</f>
        <v>A006</v>
      </c>
      <c r="D611" s="2" t="str">
        <f>VLOOKUP(C611,Stammdaten!$A$11:$B$25,2,FALSE)</f>
        <v>Emmentaler 200g</v>
      </c>
      <c r="E611" s="3" t="str">
        <f>VLOOKUP(C611,Stammdaten!$A$11:$C$25,3,FALSE)</f>
        <v>Käse</v>
      </c>
      <c r="F611" s="19">
        <f>VLOOKUP(C611,Stammdaten!$A$11:$D$25,4,FALSE)</f>
        <v>2.4900000000000002</v>
      </c>
      <c r="G611" s="4">
        <f t="shared" si="117"/>
        <v>7</v>
      </c>
      <c r="H611" s="20" t="str">
        <f>VLOOKUP(G611,Stammdaten!$A$30:$B$41,2,FALSE)</f>
        <v>Juli</v>
      </c>
      <c r="I611" s="4">
        <v>320</v>
      </c>
      <c r="J611" s="4">
        <v>312</v>
      </c>
      <c r="K611" s="4">
        <f t="shared" si="118"/>
        <v>-8</v>
      </c>
      <c r="L611" s="27">
        <f t="shared" si="119"/>
        <v>-2.5</v>
      </c>
      <c r="M611" s="52" t="str">
        <f t="shared" si="120"/>
        <v>Schwund</v>
      </c>
      <c r="N611" s="28">
        <f t="shared" si="121"/>
        <v>19.920000000000002</v>
      </c>
      <c r="O611" s="5">
        <v>4</v>
      </c>
      <c r="P611" s="4">
        <v>5</v>
      </c>
      <c r="Q611" s="28">
        <f t="shared" si="122"/>
        <v>4.9800000000000004</v>
      </c>
      <c r="R611" s="50">
        <f t="shared" si="123"/>
        <v>5.976</v>
      </c>
      <c r="S611" s="2" t="str">
        <f t="shared" si="124"/>
        <v>Normal</v>
      </c>
      <c r="T611" s="4">
        <v>0</v>
      </c>
      <c r="U611" s="4" t="str">
        <f t="shared" si="125"/>
        <v>Nein</v>
      </c>
      <c r="V611" s="4">
        <f t="shared" si="126"/>
        <v>0</v>
      </c>
      <c r="W611" s="19">
        <f t="shared" si="127"/>
        <v>2.4900000000000002</v>
      </c>
      <c r="X611" s="5">
        <v>0</v>
      </c>
      <c r="Y611" s="28">
        <f t="shared" si="128"/>
        <v>0</v>
      </c>
      <c r="Z611" s="31" t="s">
        <v>172</v>
      </c>
      <c r="AA611" t="str">
        <f t="shared" si="129"/>
        <v>Prozessfehler</v>
      </c>
    </row>
    <row r="612" spans="1:27" x14ac:dyDescent="0.35">
      <c r="A612" s="32" t="s">
        <v>17</v>
      </c>
      <c r="B612" s="2" t="str">
        <f>VLOOKUP(A612,Stammdaten!$A$3:$B$7,2,FALSE)</f>
        <v>Filiale West</v>
      </c>
      <c r="C612" s="3" t="str" cm="1">
        <f t="array" ref="C612">INDEX(Stammdaten!$A$11:$A$25,INT((ROW()-5)/12)+1 - INT((ROW()-5)/180)*15)</f>
        <v>A006</v>
      </c>
      <c r="D612" s="2" t="str">
        <f>VLOOKUP(C612,Stammdaten!$A$11:$B$25,2,FALSE)</f>
        <v>Emmentaler 200g</v>
      </c>
      <c r="E612" s="3" t="str">
        <f>VLOOKUP(C612,Stammdaten!$A$11:$C$25,3,FALSE)</f>
        <v>Käse</v>
      </c>
      <c r="F612" s="19">
        <f>VLOOKUP(C612,Stammdaten!$A$11:$D$25,4,FALSE)</f>
        <v>2.4900000000000002</v>
      </c>
      <c r="G612" s="4">
        <f t="shared" si="117"/>
        <v>8</v>
      </c>
      <c r="H612" s="20" t="str">
        <f>VLOOKUP(G612,Stammdaten!$A$30:$B$41,2,FALSE)</f>
        <v>August</v>
      </c>
      <c r="I612" s="4">
        <v>307</v>
      </c>
      <c r="J612" s="4">
        <v>301</v>
      </c>
      <c r="K612" s="4">
        <f t="shared" si="118"/>
        <v>-6</v>
      </c>
      <c r="L612" s="27">
        <f t="shared" si="119"/>
        <v>-1.9543973941368076</v>
      </c>
      <c r="M612" s="52" t="str">
        <f t="shared" si="120"/>
        <v>Schwund</v>
      </c>
      <c r="N612" s="28">
        <f t="shared" si="121"/>
        <v>14.940000000000001</v>
      </c>
      <c r="O612" s="5">
        <v>6</v>
      </c>
      <c r="P612" s="4">
        <v>6</v>
      </c>
      <c r="Q612" s="28">
        <f t="shared" si="122"/>
        <v>3.7350000000000003</v>
      </c>
      <c r="R612" s="50">
        <f t="shared" si="123"/>
        <v>4.4820000000000002</v>
      </c>
      <c r="S612" s="2" t="str">
        <f t="shared" si="124"/>
        <v>Normal</v>
      </c>
      <c r="T612" s="4">
        <v>0</v>
      </c>
      <c r="U612" s="4" t="str">
        <f t="shared" si="125"/>
        <v>Nein</v>
      </c>
      <c r="V612" s="4">
        <f t="shared" si="126"/>
        <v>0</v>
      </c>
      <c r="W612" s="19">
        <f t="shared" si="127"/>
        <v>2.4900000000000002</v>
      </c>
      <c r="X612" s="5">
        <v>0</v>
      </c>
      <c r="Y612" s="28">
        <f t="shared" si="128"/>
        <v>0</v>
      </c>
      <c r="Z612" s="31" t="s">
        <v>172</v>
      </c>
      <c r="AA612" t="str">
        <f t="shared" si="129"/>
        <v>Normal/Gering</v>
      </c>
    </row>
    <row r="613" spans="1:27" x14ac:dyDescent="0.35">
      <c r="A613" s="32" t="s">
        <v>17</v>
      </c>
      <c r="B613" s="2" t="str">
        <f>VLOOKUP(A613,Stammdaten!$A$3:$B$7,2,FALSE)</f>
        <v>Filiale West</v>
      </c>
      <c r="C613" s="3" t="str" cm="1">
        <f t="array" ref="C613">INDEX(Stammdaten!$A$11:$A$25,INT((ROW()-5)/12)+1 - INT((ROW()-5)/180)*15)</f>
        <v>A006</v>
      </c>
      <c r="D613" s="2" t="str">
        <f>VLOOKUP(C613,Stammdaten!$A$11:$B$25,2,FALSE)</f>
        <v>Emmentaler 200g</v>
      </c>
      <c r="E613" s="3" t="str">
        <f>VLOOKUP(C613,Stammdaten!$A$11:$C$25,3,FALSE)</f>
        <v>Käse</v>
      </c>
      <c r="F613" s="19">
        <f>VLOOKUP(C613,Stammdaten!$A$11:$D$25,4,FALSE)</f>
        <v>2.4900000000000002</v>
      </c>
      <c r="G613" s="4">
        <f t="shared" si="117"/>
        <v>9</v>
      </c>
      <c r="H613" s="20" t="str">
        <f>VLOOKUP(G613,Stammdaten!$A$30:$B$41,2,FALSE)</f>
        <v>September</v>
      </c>
      <c r="I613" s="4">
        <v>261</v>
      </c>
      <c r="J613" s="4">
        <v>257</v>
      </c>
      <c r="K613" s="4">
        <f t="shared" si="118"/>
        <v>-4</v>
      </c>
      <c r="L613" s="27">
        <f t="shared" si="119"/>
        <v>-1.5325670498084289</v>
      </c>
      <c r="M613" s="52" t="str">
        <f t="shared" si="120"/>
        <v>Schwund</v>
      </c>
      <c r="N613" s="28">
        <f t="shared" si="121"/>
        <v>9.9600000000000009</v>
      </c>
      <c r="O613" s="5">
        <v>16</v>
      </c>
      <c r="P613" s="4">
        <v>0</v>
      </c>
      <c r="Q613" s="28">
        <f t="shared" si="122"/>
        <v>2.4900000000000002</v>
      </c>
      <c r="R613" s="50">
        <f t="shared" si="123"/>
        <v>2.988</v>
      </c>
      <c r="S613" s="2" t="str">
        <f t="shared" si="124"/>
        <v>Normal</v>
      </c>
      <c r="T613" s="4">
        <v>0</v>
      </c>
      <c r="U613" s="4" t="str">
        <f t="shared" si="125"/>
        <v>Nein</v>
      </c>
      <c r="V613" s="4">
        <f t="shared" si="126"/>
        <v>0</v>
      </c>
      <c r="W613" s="19">
        <f t="shared" si="127"/>
        <v>2.4900000000000002</v>
      </c>
      <c r="X613" s="5">
        <v>0</v>
      </c>
      <c r="Y613" s="28">
        <f t="shared" si="128"/>
        <v>0</v>
      </c>
      <c r="Z613" s="31" t="s">
        <v>172</v>
      </c>
      <c r="AA613" t="str">
        <f t="shared" si="129"/>
        <v>Normal/Gering</v>
      </c>
    </row>
    <row r="614" spans="1:27" x14ac:dyDescent="0.35">
      <c r="A614" s="32" t="s">
        <v>17</v>
      </c>
      <c r="B614" s="2" t="str">
        <f>VLOOKUP(A614,Stammdaten!$A$3:$B$7,2,FALSE)</f>
        <v>Filiale West</v>
      </c>
      <c r="C614" s="3" t="str" cm="1">
        <f t="array" ref="C614">INDEX(Stammdaten!$A$11:$A$25,INT((ROW()-5)/12)+1 - INT((ROW()-5)/180)*15)</f>
        <v>A006</v>
      </c>
      <c r="D614" s="2" t="str">
        <f>VLOOKUP(C614,Stammdaten!$A$11:$B$25,2,FALSE)</f>
        <v>Emmentaler 200g</v>
      </c>
      <c r="E614" s="3" t="str">
        <f>VLOOKUP(C614,Stammdaten!$A$11:$C$25,3,FALSE)</f>
        <v>Käse</v>
      </c>
      <c r="F614" s="19">
        <f>VLOOKUP(C614,Stammdaten!$A$11:$D$25,4,FALSE)</f>
        <v>2.4900000000000002</v>
      </c>
      <c r="G614" s="4">
        <f t="shared" si="117"/>
        <v>10</v>
      </c>
      <c r="H614" s="20" t="str">
        <f>VLOOKUP(G614,Stammdaten!$A$30:$B$41,2,FALSE)</f>
        <v>Oktober</v>
      </c>
      <c r="I614" s="4">
        <v>281</v>
      </c>
      <c r="J614" s="4">
        <v>282</v>
      </c>
      <c r="K614" s="4">
        <f t="shared" si="118"/>
        <v>1</v>
      </c>
      <c r="L614" s="27">
        <f t="shared" si="119"/>
        <v>0.35587188612099641</v>
      </c>
      <c r="M614" s="52" t="str">
        <f t="shared" si="120"/>
        <v>Überbestand</v>
      </c>
      <c r="N614" s="28">
        <f t="shared" si="121"/>
        <v>2.4900000000000002</v>
      </c>
      <c r="O614" s="5">
        <v>12</v>
      </c>
      <c r="P614" s="4">
        <v>4</v>
      </c>
      <c r="Q614" s="28">
        <f t="shared" si="122"/>
        <v>0</v>
      </c>
      <c r="R614" s="50">
        <f t="shared" si="123"/>
        <v>0</v>
      </c>
      <c r="S614" s="2" t="str">
        <f t="shared" si="124"/>
        <v>Normal</v>
      </c>
      <c r="T614" s="4">
        <v>1</v>
      </c>
      <c r="U614" s="4" t="str">
        <f t="shared" si="125"/>
        <v>Nein</v>
      </c>
      <c r="V614" s="4">
        <f t="shared" si="126"/>
        <v>0</v>
      </c>
      <c r="W614" s="19">
        <f t="shared" si="127"/>
        <v>2.4900000000000002</v>
      </c>
      <c r="X614" s="5">
        <v>0</v>
      </c>
      <c r="Y614" s="28">
        <f t="shared" si="128"/>
        <v>0</v>
      </c>
      <c r="Z614" s="31" t="s">
        <v>172</v>
      </c>
      <c r="AA614" t="str">
        <f t="shared" si="129"/>
        <v>Kassenfehler (Überbestand)</v>
      </c>
    </row>
    <row r="615" spans="1:27" x14ac:dyDescent="0.35">
      <c r="A615" s="32" t="s">
        <v>17</v>
      </c>
      <c r="B615" s="2" t="str">
        <f>VLOOKUP(A615,Stammdaten!$A$3:$B$7,2,FALSE)</f>
        <v>Filiale West</v>
      </c>
      <c r="C615" s="3" t="str" cm="1">
        <f t="array" ref="C615">INDEX(Stammdaten!$A$11:$A$25,INT((ROW()-5)/12)+1 - INT((ROW()-5)/180)*15)</f>
        <v>A006</v>
      </c>
      <c r="D615" s="2" t="str">
        <f>VLOOKUP(C615,Stammdaten!$A$11:$B$25,2,FALSE)</f>
        <v>Emmentaler 200g</v>
      </c>
      <c r="E615" s="3" t="str">
        <f>VLOOKUP(C615,Stammdaten!$A$11:$C$25,3,FALSE)</f>
        <v>Käse</v>
      </c>
      <c r="F615" s="19">
        <f>VLOOKUP(C615,Stammdaten!$A$11:$D$25,4,FALSE)</f>
        <v>2.4900000000000002</v>
      </c>
      <c r="G615" s="4">
        <f t="shared" si="117"/>
        <v>11</v>
      </c>
      <c r="H615" s="20" t="str">
        <f>VLOOKUP(G615,Stammdaten!$A$30:$B$41,2,FALSE)</f>
        <v>November</v>
      </c>
      <c r="I615" s="4">
        <v>299</v>
      </c>
      <c r="J615" s="4">
        <v>296</v>
      </c>
      <c r="K615" s="4">
        <f t="shared" si="118"/>
        <v>-3</v>
      </c>
      <c r="L615" s="27">
        <f t="shared" si="119"/>
        <v>-1.0033444816053512</v>
      </c>
      <c r="M615" s="52" t="str">
        <f t="shared" si="120"/>
        <v>Schwund</v>
      </c>
      <c r="N615" s="28">
        <f t="shared" si="121"/>
        <v>7.4700000000000006</v>
      </c>
      <c r="O615" s="5">
        <v>0</v>
      </c>
      <c r="P615" s="4">
        <v>6</v>
      </c>
      <c r="Q615" s="28">
        <f t="shared" si="122"/>
        <v>1.8675000000000002</v>
      </c>
      <c r="R615" s="50">
        <f t="shared" si="123"/>
        <v>2.2410000000000001</v>
      </c>
      <c r="S615" s="2" t="str">
        <f t="shared" si="124"/>
        <v>Black Friday</v>
      </c>
      <c r="T615" s="4">
        <v>0</v>
      </c>
      <c r="U615" s="4" t="str">
        <f t="shared" si="125"/>
        <v>Abschreibung</v>
      </c>
      <c r="V615" s="4">
        <f t="shared" si="126"/>
        <v>100</v>
      </c>
      <c r="W615" s="19">
        <f t="shared" si="127"/>
        <v>0</v>
      </c>
      <c r="X615" s="5">
        <v>6</v>
      </c>
      <c r="Y615" s="28">
        <f t="shared" si="128"/>
        <v>14.94</v>
      </c>
      <c r="Z615" s="31" t="s">
        <v>173</v>
      </c>
      <c r="AA615" t="str">
        <f t="shared" si="129"/>
        <v>Verderb - Abgelaufen</v>
      </c>
    </row>
    <row r="616" spans="1:27" x14ac:dyDescent="0.35">
      <c r="A616" s="32" t="s">
        <v>17</v>
      </c>
      <c r="B616" s="2" t="str">
        <f>VLOOKUP(A616,Stammdaten!$A$3:$B$7,2,FALSE)</f>
        <v>Filiale West</v>
      </c>
      <c r="C616" s="3" t="str" cm="1">
        <f t="array" ref="C616">INDEX(Stammdaten!$A$11:$A$25,INT((ROW()-5)/12)+1 - INT((ROW()-5)/180)*15)</f>
        <v>A006</v>
      </c>
      <c r="D616" s="2" t="str">
        <f>VLOOKUP(C616,Stammdaten!$A$11:$B$25,2,FALSE)</f>
        <v>Emmentaler 200g</v>
      </c>
      <c r="E616" s="3" t="str">
        <f>VLOOKUP(C616,Stammdaten!$A$11:$C$25,3,FALSE)</f>
        <v>Käse</v>
      </c>
      <c r="F616" s="19">
        <f>VLOOKUP(C616,Stammdaten!$A$11:$D$25,4,FALSE)</f>
        <v>2.4900000000000002</v>
      </c>
      <c r="G616" s="4">
        <f t="shared" si="117"/>
        <v>12</v>
      </c>
      <c r="H616" s="20" t="str">
        <f>VLOOKUP(G616,Stammdaten!$A$30:$B$41,2,FALSE)</f>
        <v>Dezember</v>
      </c>
      <c r="I616" s="4">
        <v>397</v>
      </c>
      <c r="J616" s="4">
        <v>388</v>
      </c>
      <c r="K616" s="4">
        <f t="shared" si="118"/>
        <v>-9</v>
      </c>
      <c r="L616" s="27">
        <f t="shared" si="119"/>
        <v>-2.2670025188916876</v>
      </c>
      <c r="M616" s="52" t="str">
        <f t="shared" si="120"/>
        <v>Schwund</v>
      </c>
      <c r="N616" s="28">
        <f t="shared" si="121"/>
        <v>22.410000000000004</v>
      </c>
      <c r="O616" s="5">
        <v>15</v>
      </c>
      <c r="P616" s="4">
        <v>1</v>
      </c>
      <c r="Q616" s="28">
        <f t="shared" si="122"/>
        <v>5.6025000000000009</v>
      </c>
      <c r="R616" s="50">
        <f t="shared" si="123"/>
        <v>6.7230000000000008</v>
      </c>
      <c r="S616" s="2" t="str">
        <f t="shared" si="124"/>
        <v>Weihnachten/Silvester</v>
      </c>
      <c r="T616" s="4">
        <v>0</v>
      </c>
      <c r="U616" s="4" t="str">
        <f t="shared" si="125"/>
        <v>Nein</v>
      </c>
      <c r="V616" s="4">
        <f t="shared" si="126"/>
        <v>0</v>
      </c>
      <c r="W616" s="19">
        <f t="shared" si="127"/>
        <v>2.4900000000000002</v>
      </c>
      <c r="X616" s="5">
        <v>0</v>
      </c>
      <c r="Y616" s="28">
        <f t="shared" si="128"/>
        <v>0</v>
      </c>
      <c r="Z616" s="31" t="s">
        <v>172</v>
      </c>
      <c r="AA616" t="str">
        <f t="shared" si="129"/>
        <v>Buchungsfehler Wareneingang</v>
      </c>
    </row>
    <row r="617" spans="1:27" x14ac:dyDescent="0.35">
      <c r="A617" s="32" t="s">
        <v>17</v>
      </c>
      <c r="B617" s="2" t="str">
        <f>VLOOKUP(A617,Stammdaten!$A$3:$B$7,2,FALSE)</f>
        <v>Filiale West</v>
      </c>
      <c r="C617" s="3" t="str" cm="1">
        <f t="array" ref="C617">INDEX(Stammdaten!$A$11:$A$25,INT((ROW()-5)/12)+1 - INT((ROW()-5)/180)*15)</f>
        <v>A007</v>
      </c>
      <c r="D617" s="2" t="str">
        <f>VLOOKUP(C617,Stammdaten!$A$11:$B$25,2,FALSE)</f>
        <v>Naturjoghurt 500g</v>
      </c>
      <c r="E617" s="3" t="str">
        <f>VLOOKUP(C617,Stammdaten!$A$11:$C$25,3,FALSE)</f>
        <v>Joghurt</v>
      </c>
      <c r="F617" s="19">
        <f>VLOOKUP(C617,Stammdaten!$A$11:$D$25,4,FALSE)</f>
        <v>0.89</v>
      </c>
      <c r="G617" s="4">
        <f t="shared" si="117"/>
        <v>1</v>
      </c>
      <c r="H617" s="20" t="str">
        <f>VLOOKUP(G617,Stammdaten!$A$30:$B$41,2,FALSE)</f>
        <v>Januar</v>
      </c>
      <c r="I617" s="4">
        <v>545</v>
      </c>
      <c r="J617" s="4">
        <v>523</v>
      </c>
      <c r="K617" s="4">
        <f t="shared" si="118"/>
        <v>-22</v>
      </c>
      <c r="L617" s="27">
        <f t="shared" si="119"/>
        <v>-4.0366972477064227</v>
      </c>
      <c r="M617" s="52" t="str">
        <f t="shared" si="120"/>
        <v>Schwund</v>
      </c>
      <c r="N617" s="28">
        <f t="shared" si="121"/>
        <v>19.580000000000002</v>
      </c>
      <c r="O617" s="5">
        <v>5</v>
      </c>
      <c r="P617" s="4">
        <v>0</v>
      </c>
      <c r="Q617" s="28">
        <f t="shared" si="122"/>
        <v>4.8950000000000005</v>
      </c>
      <c r="R617" s="50">
        <f t="shared" si="123"/>
        <v>5.8740000000000006</v>
      </c>
      <c r="S617" s="2" t="str">
        <f t="shared" si="124"/>
        <v>Normal</v>
      </c>
      <c r="T617" s="4">
        <v>0</v>
      </c>
      <c r="U617" s="4" t="str">
        <f t="shared" si="125"/>
        <v>Nein</v>
      </c>
      <c r="V617" s="4">
        <f t="shared" si="126"/>
        <v>0</v>
      </c>
      <c r="W617" s="19">
        <f t="shared" si="127"/>
        <v>0.89</v>
      </c>
      <c r="X617" s="5">
        <v>0</v>
      </c>
      <c r="Y617" s="28">
        <f t="shared" si="128"/>
        <v>0</v>
      </c>
      <c r="Z617" s="31" t="s">
        <v>172</v>
      </c>
      <c r="AA617" t="str">
        <f t="shared" si="129"/>
        <v>Buchungsfehler Wareneingang</v>
      </c>
    </row>
    <row r="618" spans="1:27" x14ac:dyDescent="0.35">
      <c r="A618" s="32" t="s">
        <v>17</v>
      </c>
      <c r="B618" s="2" t="str">
        <f>VLOOKUP(A618,Stammdaten!$A$3:$B$7,2,FALSE)</f>
        <v>Filiale West</v>
      </c>
      <c r="C618" s="3" t="str" cm="1">
        <f t="array" ref="C618">INDEX(Stammdaten!$A$11:$A$25,INT((ROW()-5)/12)+1 - INT((ROW()-5)/180)*15)</f>
        <v>A007</v>
      </c>
      <c r="D618" s="2" t="str">
        <f>VLOOKUP(C618,Stammdaten!$A$11:$B$25,2,FALSE)</f>
        <v>Naturjoghurt 500g</v>
      </c>
      <c r="E618" s="3" t="str">
        <f>VLOOKUP(C618,Stammdaten!$A$11:$C$25,3,FALSE)</f>
        <v>Joghurt</v>
      </c>
      <c r="F618" s="19">
        <f>VLOOKUP(C618,Stammdaten!$A$11:$D$25,4,FALSE)</f>
        <v>0.89</v>
      </c>
      <c r="G618" s="4">
        <f t="shared" si="117"/>
        <v>2</v>
      </c>
      <c r="H618" s="20" t="str">
        <f>VLOOKUP(G618,Stammdaten!$A$30:$B$41,2,FALSE)</f>
        <v>Februar</v>
      </c>
      <c r="I618" s="4">
        <v>540</v>
      </c>
      <c r="J618" s="4">
        <v>519</v>
      </c>
      <c r="K618" s="4">
        <f t="shared" si="118"/>
        <v>-21</v>
      </c>
      <c r="L618" s="27">
        <f t="shared" si="119"/>
        <v>-3.8888888888888888</v>
      </c>
      <c r="M618" s="52" t="str">
        <f t="shared" si="120"/>
        <v>Schwund</v>
      </c>
      <c r="N618" s="28">
        <f t="shared" si="121"/>
        <v>18.690000000000001</v>
      </c>
      <c r="O618" s="5">
        <v>2</v>
      </c>
      <c r="P618" s="4">
        <v>2</v>
      </c>
      <c r="Q618" s="28">
        <f t="shared" si="122"/>
        <v>4.6725000000000003</v>
      </c>
      <c r="R618" s="50">
        <f t="shared" si="123"/>
        <v>5.6070000000000002</v>
      </c>
      <c r="S618" s="2" t="str">
        <f t="shared" si="124"/>
        <v>Karneval</v>
      </c>
      <c r="T618" s="4">
        <v>0</v>
      </c>
      <c r="U618" s="4" t="str">
        <f t="shared" si="125"/>
        <v>Ja - 20% Reduzierung</v>
      </c>
      <c r="V618" s="4">
        <f t="shared" si="126"/>
        <v>20</v>
      </c>
      <c r="W618" s="19">
        <f t="shared" si="127"/>
        <v>0.71</v>
      </c>
      <c r="X618" s="5">
        <v>65</v>
      </c>
      <c r="Y618" s="28">
        <f t="shared" si="128"/>
        <v>11.57</v>
      </c>
      <c r="Z618" s="31" t="s">
        <v>173</v>
      </c>
      <c r="AA618" t="str">
        <f t="shared" si="129"/>
        <v>Prozessfehler</v>
      </c>
    </row>
    <row r="619" spans="1:27" x14ac:dyDescent="0.35">
      <c r="A619" s="32" t="s">
        <v>17</v>
      </c>
      <c r="B619" s="2" t="str">
        <f>VLOOKUP(A619,Stammdaten!$A$3:$B$7,2,FALSE)</f>
        <v>Filiale West</v>
      </c>
      <c r="C619" s="3" t="str" cm="1">
        <f t="array" ref="C619">INDEX(Stammdaten!$A$11:$A$25,INT((ROW()-5)/12)+1 - INT((ROW()-5)/180)*15)</f>
        <v>A007</v>
      </c>
      <c r="D619" s="2" t="str">
        <f>VLOOKUP(C619,Stammdaten!$A$11:$B$25,2,FALSE)</f>
        <v>Naturjoghurt 500g</v>
      </c>
      <c r="E619" s="3" t="str">
        <f>VLOOKUP(C619,Stammdaten!$A$11:$C$25,3,FALSE)</f>
        <v>Joghurt</v>
      </c>
      <c r="F619" s="19">
        <f>VLOOKUP(C619,Stammdaten!$A$11:$D$25,4,FALSE)</f>
        <v>0.89</v>
      </c>
      <c r="G619" s="4">
        <f t="shared" si="117"/>
        <v>3</v>
      </c>
      <c r="H619" s="20" t="str">
        <f>VLOOKUP(G619,Stammdaten!$A$30:$B$41,2,FALSE)</f>
        <v>März</v>
      </c>
      <c r="I619" s="4">
        <v>623</v>
      </c>
      <c r="J619" s="4">
        <v>631</v>
      </c>
      <c r="K619" s="4">
        <f t="shared" si="118"/>
        <v>8</v>
      </c>
      <c r="L619" s="27">
        <f t="shared" si="119"/>
        <v>1.2841091492776886</v>
      </c>
      <c r="M619" s="52" t="str">
        <f t="shared" si="120"/>
        <v>Überbestand</v>
      </c>
      <c r="N619" s="28">
        <f t="shared" si="121"/>
        <v>7.12</v>
      </c>
      <c r="O619" s="5">
        <v>4</v>
      </c>
      <c r="P619" s="4">
        <v>3</v>
      </c>
      <c r="Q619" s="28">
        <f t="shared" si="122"/>
        <v>0</v>
      </c>
      <c r="R619" s="50">
        <f t="shared" si="123"/>
        <v>0</v>
      </c>
      <c r="S619" s="2" t="str">
        <f t="shared" si="124"/>
        <v>Normal</v>
      </c>
      <c r="T619" s="4">
        <v>8</v>
      </c>
      <c r="U619" s="4" t="str">
        <f t="shared" si="125"/>
        <v>Nein</v>
      </c>
      <c r="V619" s="4">
        <f t="shared" si="126"/>
        <v>0</v>
      </c>
      <c r="W619" s="19">
        <f t="shared" si="127"/>
        <v>0.89</v>
      </c>
      <c r="X619" s="5">
        <v>0</v>
      </c>
      <c r="Y619" s="28">
        <f t="shared" si="128"/>
        <v>0</v>
      </c>
      <c r="Z619" s="31" t="s">
        <v>172</v>
      </c>
      <c r="AA619" t="str">
        <f t="shared" si="129"/>
        <v>Kassenfehler (Überbestand)</v>
      </c>
    </row>
    <row r="620" spans="1:27" x14ac:dyDescent="0.35">
      <c r="A620" s="32" t="s">
        <v>17</v>
      </c>
      <c r="B620" s="2" t="str">
        <f>VLOOKUP(A620,Stammdaten!$A$3:$B$7,2,FALSE)</f>
        <v>Filiale West</v>
      </c>
      <c r="C620" s="3" t="str" cm="1">
        <f t="array" ref="C620">INDEX(Stammdaten!$A$11:$A$25,INT((ROW()-5)/12)+1 - INT((ROW()-5)/180)*15)</f>
        <v>A007</v>
      </c>
      <c r="D620" s="2" t="str">
        <f>VLOOKUP(C620,Stammdaten!$A$11:$B$25,2,FALSE)</f>
        <v>Naturjoghurt 500g</v>
      </c>
      <c r="E620" s="3" t="str">
        <f>VLOOKUP(C620,Stammdaten!$A$11:$C$25,3,FALSE)</f>
        <v>Joghurt</v>
      </c>
      <c r="F620" s="19">
        <f>VLOOKUP(C620,Stammdaten!$A$11:$D$25,4,FALSE)</f>
        <v>0.89</v>
      </c>
      <c r="G620" s="4">
        <f t="shared" si="117"/>
        <v>4</v>
      </c>
      <c r="H620" s="20" t="str">
        <f>VLOOKUP(G620,Stammdaten!$A$30:$B$41,2,FALSE)</f>
        <v>April</v>
      </c>
      <c r="I620" s="4">
        <v>741</v>
      </c>
      <c r="J620" s="4">
        <v>708</v>
      </c>
      <c r="K620" s="4">
        <f t="shared" si="118"/>
        <v>-33</v>
      </c>
      <c r="L620" s="27">
        <f t="shared" si="119"/>
        <v>-4.4534412955465585</v>
      </c>
      <c r="M620" s="52" t="str">
        <f t="shared" si="120"/>
        <v>Schwund</v>
      </c>
      <c r="N620" s="28">
        <f t="shared" si="121"/>
        <v>29.37</v>
      </c>
      <c r="O620" s="5">
        <v>4</v>
      </c>
      <c r="P620" s="4">
        <v>1</v>
      </c>
      <c r="Q620" s="28">
        <f t="shared" si="122"/>
        <v>7.3425000000000002</v>
      </c>
      <c r="R620" s="50">
        <f t="shared" si="123"/>
        <v>8.8109999999999999</v>
      </c>
      <c r="S620" s="2" t="str">
        <f t="shared" si="124"/>
        <v>Ostern</v>
      </c>
      <c r="T620" s="4">
        <v>0</v>
      </c>
      <c r="U620" s="4" t="str">
        <f t="shared" si="125"/>
        <v>Nein</v>
      </c>
      <c r="V620" s="4">
        <f t="shared" si="126"/>
        <v>0</v>
      </c>
      <c r="W620" s="19">
        <f t="shared" si="127"/>
        <v>0.89</v>
      </c>
      <c r="X620" s="5">
        <v>0</v>
      </c>
      <c r="Y620" s="28">
        <f t="shared" si="128"/>
        <v>0</v>
      </c>
      <c r="Z620" s="31" t="s">
        <v>172</v>
      </c>
      <c r="AA620" t="str">
        <f t="shared" si="129"/>
        <v>Buchungsfehler Wareneingang</v>
      </c>
    </row>
    <row r="621" spans="1:27" x14ac:dyDescent="0.35">
      <c r="A621" s="32" t="s">
        <v>17</v>
      </c>
      <c r="B621" s="2" t="str">
        <f>VLOOKUP(A621,Stammdaten!$A$3:$B$7,2,FALSE)</f>
        <v>Filiale West</v>
      </c>
      <c r="C621" s="3" t="str" cm="1">
        <f t="array" ref="C621">INDEX(Stammdaten!$A$11:$A$25,INT((ROW()-5)/12)+1 - INT((ROW()-5)/180)*15)</f>
        <v>A007</v>
      </c>
      <c r="D621" s="2" t="str">
        <f>VLOOKUP(C621,Stammdaten!$A$11:$B$25,2,FALSE)</f>
        <v>Naturjoghurt 500g</v>
      </c>
      <c r="E621" s="3" t="str">
        <f>VLOOKUP(C621,Stammdaten!$A$11:$C$25,3,FALSE)</f>
        <v>Joghurt</v>
      </c>
      <c r="F621" s="19">
        <f>VLOOKUP(C621,Stammdaten!$A$11:$D$25,4,FALSE)</f>
        <v>0.89</v>
      </c>
      <c r="G621" s="4">
        <f t="shared" si="117"/>
        <v>5</v>
      </c>
      <c r="H621" s="20" t="str">
        <f>VLOOKUP(G621,Stammdaten!$A$30:$B$41,2,FALSE)</f>
        <v>Mai</v>
      </c>
      <c r="I621" s="4">
        <v>605</v>
      </c>
      <c r="J621" s="4">
        <v>605</v>
      </c>
      <c r="K621" s="4">
        <f t="shared" si="118"/>
        <v>0</v>
      </c>
      <c r="L621" s="27">
        <f t="shared" si="119"/>
        <v>0</v>
      </c>
      <c r="M621" s="52" t="str">
        <f t="shared" si="120"/>
        <v>Perfekt</v>
      </c>
      <c r="N621" s="28">
        <f t="shared" si="121"/>
        <v>0</v>
      </c>
      <c r="O621" s="5">
        <v>6</v>
      </c>
      <c r="P621" s="4">
        <v>3</v>
      </c>
      <c r="Q621" s="28">
        <f t="shared" si="122"/>
        <v>0</v>
      </c>
      <c r="R621" s="50">
        <f t="shared" si="123"/>
        <v>0</v>
      </c>
      <c r="S621" s="2" t="str">
        <f t="shared" si="124"/>
        <v>Normal</v>
      </c>
      <c r="T621" s="4">
        <v>0</v>
      </c>
      <c r="U621" s="4" t="str">
        <f t="shared" si="125"/>
        <v>Nein</v>
      </c>
      <c r="V621" s="4">
        <f t="shared" si="126"/>
        <v>0</v>
      </c>
      <c r="W621" s="19">
        <f t="shared" si="127"/>
        <v>0.89</v>
      </c>
      <c r="X621" s="5">
        <v>0</v>
      </c>
      <c r="Y621" s="28">
        <f t="shared" si="128"/>
        <v>0</v>
      </c>
      <c r="Z621" s="31" t="s">
        <v>172</v>
      </c>
      <c r="AA621" t="str">
        <f t="shared" si="129"/>
        <v>Normal/Gering</v>
      </c>
    </row>
    <row r="622" spans="1:27" x14ac:dyDescent="0.35">
      <c r="A622" s="32" t="s">
        <v>17</v>
      </c>
      <c r="B622" s="2" t="str">
        <f>VLOOKUP(A622,Stammdaten!$A$3:$B$7,2,FALSE)</f>
        <v>Filiale West</v>
      </c>
      <c r="C622" s="3" t="str" cm="1">
        <f t="array" ref="C622">INDEX(Stammdaten!$A$11:$A$25,INT((ROW()-5)/12)+1 - INT((ROW()-5)/180)*15)</f>
        <v>A007</v>
      </c>
      <c r="D622" s="2" t="str">
        <f>VLOOKUP(C622,Stammdaten!$A$11:$B$25,2,FALSE)</f>
        <v>Naturjoghurt 500g</v>
      </c>
      <c r="E622" s="3" t="str">
        <f>VLOOKUP(C622,Stammdaten!$A$11:$C$25,3,FALSE)</f>
        <v>Joghurt</v>
      </c>
      <c r="F622" s="19">
        <f>VLOOKUP(C622,Stammdaten!$A$11:$D$25,4,FALSE)</f>
        <v>0.89</v>
      </c>
      <c r="G622" s="4">
        <f t="shared" si="117"/>
        <v>6</v>
      </c>
      <c r="H622" s="20" t="str">
        <f>VLOOKUP(G622,Stammdaten!$A$30:$B$41,2,FALSE)</f>
        <v>Juni</v>
      </c>
      <c r="I622" s="4">
        <v>692</v>
      </c>
      <c r="J622" s="4">
        <v>693</v>
      </c>
      <c r="K622" s="4">
        <f t="shared" si="118"/>
        <v>1</v>
      </c>
      <c r="L622" s="27">
        <f t="shared" si="119"/>
        <v>0.1445086705202312</v>
      </c>
      <c r="M622" s="52" t="str">
        <f t="shared" si="120"/>
        <v>Überbestand</v>
      </c>
      <c r="N622" s="28">
        <f t="shared" si="121"/>
        <v>0.89</v>
      </c>
      <c r="O622" s="5">
        <v>3</v>
      </c>
      <c r="P622" s="4">
        <v>5</v>
      </c>
      <c r="Q622" s="28">
        <f t="shared" si="122"/>
        <v>0</v>
      </c>
      <c r="R622" s="50">
        <f t="shared" si="123"/>
        <v>0</v>
      </c>
      <c r="S622" s="2" t="str">
        <f t="shared" si="124"/>
        <v>Normal</v>
      </c>
      <c r="T622" s="4">
        <v>1</v>
      </c>
      <c r="U622" s="4" t="str">
        <f t="shared" si="125"/>
        <v>Ja - 20% Reduzierung</v>
      </c>
      <c r="V622" s="4">
        <f t="shared" si="126"/>
        <v>20</v>
      </c>
      <c r="W622" s="19">
        <f t="shared" si="127"/>
        <v>0.71</v>
      </c>
      <c r="X622" s="5">
        <v>76</v>
      </c>
      <c r="Y622" s="28">
        <f t="shared" si="128"/>
        <v>13.53</v>
      </c>
      <c r="Z622" s="31" t="s">
        <v>173</v>
      </c>
      <c r="AA622" t="str">
        <f t="shared" si="129"/>
        <v>Kassenfehler (Überbestand)</v>
      </c>
    </row>
    <row r="623" spans="1:27" x14ac:dyDescent="0.35">
      <c r="A623" s="32" t="s">
        <v>17</v>
      </c>
      <c r="B623" s="2" t="str">
        <f>VLOOKUP(A623,Stammdaten!$A$3:$B$7,2,FALSE)</f>
        <v>Filiale West</v>
      </c>
      <c r="C623" s="3" t="str" cm="1">
        <f t="array" ref="C623">INDEX(Stammdaten!$A$11:$A$25,INT((ROW()-5)/12)+1 - INT((ROW()-5)/180)*15)</f>
        <v>A007</v>
      </c>
      <c r="D623" s="2" t="str">
        <f>VLOOKUP(C623,Stammdaten!$A$11:$B$25,2,FALSE)</f>
        <v>Naturjoghurt 500g</v>
      </c>
      <c r="E623" s="3" t="str">
        <f>VLOOKUP(C623,Stammdaten!$A$11:$C$25,3,FALSE)</f>
        <v>Joghurt</v>
      </c>
      <c r="F623" s="19">
        <f>VLOOKUP(C623,Stammdaten!$A$11:$D$25,4,FALSE)</f>
        <v>0.89</v>
      </c>
      <c r="G623" s="4">
        <f t="shared" si="117"/>
        <v>7</v>
      </c>
      <c r="H623" s="20" t="str">
        <f>VLOOKUP(G623,Stammdaten!$A$30:$B$41,2,FALSE)</f>
        <v>Juli</v>
      </c>
      <c r="I623" s="4">
        <v>733</v>
      </c>
      <c r="J623" s="4">
        <v>737</v>
      </c>
      <c r="K623" s="4">
        <f t="shared" si="118"/>
        <v>4</v>
      </c>
      <c r="L623" s="27">
        <f t="shared" si="119"/>
        <v>0.54570259208731242</v>
      </c>
      <c r="M623" s="52" t="str">
        <f t="shared" si="120"/>
        <v>Überbestand</v>
      </c>
      <c r="N623" s="28">
        <f t="shared" si="121"/>
        <v>3.56</v>
      </c>
      <c r="O623" s="5">
        <v>1</v>
      </c>
      <c r="P623" s="4">
        <v>5</v>
      </c>
      <c r="Q623" s="28">
        <f t="shared" si="122"/>
        <v>0</v>
      </c>
      <c r="R623" s="50">
        <f t="shared" si="123"/>
        <v>0</v>
      </c>
      <c r="S623" s="2" t="str">
        <f t="shared" si="124"/>
        <v>Normal</v>
      </c>
      <c r="T623" s="4">
        <v>4</v>
      </c>
      <c r="U623" s="4" t="str">
        <f t="shared" si="125"/>
        <v>Ja - 20% Reduzierung</v>
      </c>
      <c r="V623" s="4">
        <f t="shared" si="126"/>
        <v>20</v>
      </c>
      <c r="W623" s="19">
        <f t="shared" si="127"/>
        <v>0.71</v>
      </c>
      <c r="X623" s="5">
        <v>44</v>
      </c>
      <c r="Y623" s="28">
        <f t="shared" si="128"/>
        <v>7.83</v>
      </c>
      <c r="Z623" s="31" t="s">
        <v>173</v>
      </c>
      <c r="AA623" t="str">
        <f t="shared" si="129"/>
        <v>Kassenfehler (Überbestand)</v>
      </c>
    </row>
    <row r="624" spans="1:27" x14ac:dyDescent="0.35">
      <c r="A624" s="32" t="s">
        <v>17</v>
      </c>
      <c r="B624" s="2" t="str">
        <f>VLOOKUP(A624,Stammdaten!$A$3:$B$7,2,FALSE)</f>
        <v>Filiale West</v>
      </c>
      <c r="C624" s="3" t="str" cm="1">
        <f t="array" ref="C624">INDEX(Stammdaten!$A$11:$A$25,INT((ROW()-5)/12)+1 - INT((ROW()-5)/180)*15)</f>
        <v>A007</v>
      </c>
      <c r="D624" s="2" t="str">
        <f>VLOOKUP(C624,Stammdaten!$A$11:$B$25,2,FALSE)</f>
        <v>Naturjoghurt 500g</v>
      </c>
      <c r="E624" s="3" t="str">
        <f>VLOOKUP(C624,Stammdaten!$A$11:$C$25,3,FALSE)</f>
        <v>Joghurt</v>
      </c>
      <c r="F624" s="19">
        <f>VLOOKUP(C624,Stammdaten!$A$11:$D$25,4,FALSE)</f>
        <v>0.89</v>
      </c>
      <c r="G624" s="4">
        <f t="shared" si="117"/>
        <v>8</v>
      </c>
      <c r="H624" s="20" t="str">
        <f>VLOOKUP(G624,Stammdaten!$A$30:$B$41,2,FALSE)</f>
        <v>August</v>
      </c>
      <c r="I624" s="4">
        <v>717</v>
      </c>
      <c r="J624" s="4">
        <v>721</v>
      </c>
      <c r="K624" s="4">
        <f t="shared" si="118"/>
        <v>4</v>
      </c>
      <c r="L624" s="27">
        <f t="shared" si="119"/>
        <v>0.55788005578800559</v>
      </c>
      <c r="M624" s="52" t="str">
        <f t="shared" si="120"/>
        <v>Überbestand</v>
      </c>
      <c r="N624" s="28">
        <f t="shared" si="121"/>
        <v>3.56</v>
      </c>
      <c r="O624" s="5">
        <v>10</v>
      </c>
      <c r="P624" s="4">
        <v>0</v>
      </c>
      <c r="Q624" s="28">
        <f t="shared" si="122"/>
        <v>0</v>
      </c>
      <c r="R624" s="50">
        <f t="shared" si="123"/>
        <v>0</v>
      </c>
      <c r="S624" s="2" t="str">
        <f t="shared" si="124"/>
        <v>Normal</v>
      </c>
      <c r="T624" s="4">
        <v>4</v>
      </c>
      <c r="U624" s="4" t="str">
        <f t="shared" si="125"/>
        <v>Nein</v>
      </c>
      <c r="V624" s="4">
        <f t="shared" si="126"/>
        <v>0</v>
      </c>
      <c r="W624" s="19">
        <f t="shared" si="127"/>
        <v>0.89</v>
      </c>
      <c r="X624" s="5">
        <v>0</v>
      </c>
      <c r="Y624" s="28">
        <f t="shared" si="128"/>
        <v>0</v>
      </c>
      <c r="Z624" s="31" t="s">
        <v>172</v>
      </c>
      <c r="AA624" t="str">
        <f t="shared" si="129"/>
        <v>Kassenfehler (Überbestand)</v>
      </c>
    </row>
    <row r="625" spans="1:27" x14ac:dyDescent="0.35">
      <c r="A625" s="32" t="s">
        <v>17</v>
      </c>
      <c r="B625" s="2" t="str">
        <f>VLOOKUP(A625,Stammdaten!$A$3:$B$7,2,FALSE)</f>
        <v>Filiale West</v>
      </c>
      <c r="C625" s="3" t="str" cm="1">
        <f t="array" ref="C625">INDEX(Stammdaten!$A$11:$A$25,INT((ROW()-5)/12)+1 - INT((ROW()-5)/180)*15)</f>
        <v>A007</v>
      </c>
      <c r="D625" s="2" t="str">
        <f>VLOOKUP(C625,Stammdaten!$A$11:$B$25,2,FALSE)</f>
        <v>Naturjoghurt 500g</v>
      </c>
      <c r="E625" s="3" t="str">
        <f>VLOOKUP(C625,Stammdaten!$A$11:$C$25,3,FALSE)</f>
        <v>Joghurt</v>
      </c>
      <c r="F625" s="19">
        <f>VLOOKUP(C625,Stammdaten!$A$11:$D$25,4,FALSE)</f>
        <v>0.89</v>
      </c>
      <c r="G625" s="4">
        <f t="shared" si="117"/>
        <v>9</v>
      </c>
      <c r="H625" s="20" t="str">
        <f>VLOOKUP(G625,Stammdaten!$A$30:$B$41,2,FALSE)</f>
        <v>September</v>
      </c>
      <c r="I625" s="4">
        <v>569</v>
      </c>
      <c r="J625" s="4">
        <v>551</v>
      </c>
      <c r="K625" s="4">
        <f t="shared" si="118"/>
        <v>-18</v>
      </c>
      <c r="L625" s="27">
        <f t="shared" si="119"/>
        <v>-3.1634446397188052</v>
      </c>
      <c r="M625" s="52" t="str">
        <f t="shared" si="120"/>
        <v>Schwund</v>
      </c>
      <c r="N625" s="28">
        <f t="shared" si="121"/>
        <v>16.02</v>
      </c>
      <c r="O625" s="5">
        <v>1</v>
      </c>
      <c r="P625" s="4">
        <v>2</v>
      </c>
      <c r="Q625" s="28">
        <f t="shared" si="122"/>
        <v>4.0049999999999999</v>
      </c>
      <c r="R625" s="50">
        <f t="shared" si="123"/>
        <v>4.806</v>
      </c>
      <c r="S625" s="2" t="str">
        <f t="shared" si="124"/>
        <v>Normal</v>
      </c>
      <c r="T625" s="4">
        <v>0</v>
      </c>
      <c r="U625" s="4" t="str">
        <f t="shared" si="125"/>
        <v>Ja - 20% Reduzierung</v>
      </c>
      <c r="V625" s="4">
        <f t="shared" si="126"/>
        <v>20</v>
      </c>
      <c r="W625" s="19">
        <f t="shared" si="127"/>
        <v>0.71</v>
      </c>
      <c r="X625" s="5">
        <v>28</v>
      </c>
      <c r="Y625" s="28">
        <f t="shared" si="128"/>
        <v>4.9800000000000004</v>
      </c>
      <c r="Z625" s="31" t="s">
        <v>173</v>
      </c>
      <c r="AA625" t="str">
        <f t="shared" si="129"/>
        <v>Prozessfehler</v>
      </c>
    </row>
    <row r="626" spans="1:27" x14ac:dyDescent="0.35">
      <c r="A626" s="32" t="s">
        <v>17</v>
      </c>
      <c r="B626" s="2" t="str">
        <f>VLOOKUP(A626,Stammdaten!$A$3:$B$7,2,FALSE)</f>
        <v>Filiale West</v>
      </c>
      <c r="C626" s="3" t="str" cm="1">
        <f t="array" ref="C626">INDEX(Stammdaten!$A$11:$A$25,INT((ROW()-5)/12)+1 - INT((ROW()-5)/180)*15)</f>
        <v>A007</v>
      </c>
      <c r="D626" s="2" t="str">
        <f>VLOOKUP(C626,Stammdaten!$A$11:$B$25,2,FALSE)</f>
        <v>Naturjoghurt 500g</v>
      </c>
      <c r="E626" s="3" t="str">
        <f>VLOOKUP(C626,Stammdaten!$A$11:$C$25,3,FALSE)</f>
        <v>Joghurt</v>
      </c>
      <c r="F626" s="19">
        <f>VLOOKUP(C626,Stammdaten!$A$11:$D$25,4,FALSE)</f>
        <v>0.89</v>
      </c>
      <c r="G626" s="4">
        <f t="shared" si="117"/>
        <v>10</v>
      </c>
      <c r="H626" s="20" t="str">
        <f>VLOOKUP(G626,Stammdaten!$A$30:$B$41,2,FALSE)</f>
        <v>Oktober</v>
      </c>
      <c r="I626" s="4">
        <v>635</v>
      </c>
      <c r="J626" s="4">
        <v>635</v>
      </c>
      <c r="K626" s="4">
        <f t="shared" si="118"/>
        <v>0</v>
      </c>
      <c r="L626" s="27">
        <f t="shared" si="119"/>
        <v>0</v>
      </c>
      <c r="M626" s="52" t="str">
        <f t="shared" si="120"/>
        <v>Perfekt</v>
      </c>
      <c r="N626" s="28">
        <f t="shared" si="121"/>
        <v>0</v>
      </c>
      <c r="O626" s="5">
        <v>4</v>
      </c>
      <c r="P626" s="4">
        <v>5</v>
      </c>
      <c r="Q626" s="28">
        <f t="shared" si="122"/>
        <v>0</v>
      </c>
      <c r="R626" s="50">
        <f t="shared" si="123"/>
        <v>0</v>
      </c>
      <c r="S626" s="2" t="str">
        <f t="shared" si="124"/>
        <v>Normal</v>
      </c>
      <c r="T626" s="4">
        <v>0</v>
      </c>
      <c r="U626" s="4" t="str">
        <f t="shared" si="125"/>
        <v>Nein</v>
      </c>
      <c r="V626" s="4">
        <f t="shared" si="126"/>
        <v>0</v>
      </c>
      <c r="W626" s="19">
        <f t="shared" si="127"/>
        <v>0.89</v>
      </c>
      <c r="X626" s="5">
        <v>0</v>
      </c>
      <c r="Y626" s="28">
        <f t="shared" si="128"/>
        <v>0</v>
      </c>
      <c r="Z626" s="31" t="s">
        <v>172</v>
      </c>
      <c r="AA626" t="str">
        <f t="shared" si="129"/>
        <v>Normal/Gering</v>
      </c>
    </row>
    <row r="627" spans="1:27" x14ac:dyDescent="0.35">
      <c r="A627" s="32" t="s">
        <v>17</v>
      </c>
      <c r="B627" s="2" t="str">
        <f>VLOOKUP(A627,Stammdaten!$A$3:$B$7,2,FALSE)</f>
        <v>Filiale West</v>
      </c>
      <c r="C627" s="3" t="str" cm="1">
        <f t="array" ref="C627">INDEX(Stammdaten!$A$11:$A$25,INT((ROW()-5)/12)+1 - INT((ROW()-5)/180)*15)</f>
        <v>A007</v>
      </c>
      <c r="D627" s="2" t="str">
        <f>VLOOKUP(C627,Stammdaten!$A$11:$B$25,2,FALSE)</f>
        <v>Naturjoghurt 500g</v>
      </c>
      <c r="E627" s="3" t="str">
        <f>VLOOKUP(C627,Stammdaten!$A$11:$C$25,3,FALSE)</f>
        <v>Joghurt</v>
      </c>
      <c r="F627" s="19">
        <f>VLOOKUP(C627,Stammdaten!$A$11:$D$25,4,FALSE)</f>
        <v>0.89</v>
      </c>
      <c r="G627" s="4">
        <f t="shared" si="117"/>
        <v>11</v>
      </c>
      <c r="H627" s="20" t="str">
        <f>VLOOKUP(G627,Stammdaten!$A$30:$B$41,2,FALSE)</f>
        <v>November</v>
      </c>
      <c r="I627" s="4">
        <v>652</v>
      </c>
      <c r="J627" s="4">
        <v>630</v>
      </c>
      <c r="K627" s="4">
        <f t="shared" si="118"/>
        <v>-22</v>
      </c>
      <c r="L627" s="27">
        <f t="shared" si="119"/>
        <v>-3.3742331288343559</v>
      </c>
      <c r="M627" s="52" t="str">
        <f t="shared" si="120"/>
        <v>Schwund</v>
      </c>
      <c r="N627" s="28">
        <f t="shared" si="121"/>
        <v>19.580000000000002</v>
      </c>
      <c r="O627" s="5">
        <v>9</v>
      </c>
      <c r="P627" s="4">
        <v>2</v>
      </c>
      <c r="Q627" s="28">
        <f t="shared" si="122"/>
        <v>4.8950000000000005</v>
      </c>
      <c r="R627" s="50">
        <f t="shared" si="123"/>
        <v>5.8740000000000006</v>
      </c>
      <c r="S627" s="2" t="str">
        <f t="shared" si="124"/>
        <v>Black Friday</v>
      </c>
      <c r="T627" s="4">
        <v>0</v>
      </c>
      <c r="U627" s="4" t="str">
        <f t="shared" si="125"/>
        <v>Nein</v>
      </c>
      <c r="V627" s="4">
        <f t="shared" si="126"/>
        <v>0</v>
      </c>
      <c r="W627" s="19">
        <f t="shared" si="127"/>
        <v>0.89</v>
      </c>
      <c r="X627" s="5">
        <v>0</v>
      </c>
      <c r="Y627" s="28">
        <f t="shared" si="128"/>
        <v>0</v>
      </c>
      <c r="Z627" s="31" t="s">
        <v>172</v>
      </c>
      <c r="AA627" t="str">
        <f t="shared" si="129"/>
        <v>Prozessfehler</v>
      </c>
    </row>
    <row r="628" spans="1:27" x14ac:dyDescent="0.35">
      <c r="A628" s="32" t="s">
        <v>17</v>
      </c>
      <c r="B628" s="2" t="str">
        <f>VLOOKUP(A628,Stammdaten!$A$3:$B$7,2,FALSE)</f>
        <v>Filiale West</v>
      </c>
      <c r="C628" s="3" t="str" cm="1">
        <f t="array" ref="C628">INDEX(Stammdaten!$A$11:$A$25,INT((ROW()-5)/12)+1 - INT((ROW()-5)/180)*15)</f>
        <v>A007</v>
      </c>
      <c r="D628" s="2" t="str">
        <f>VLOOKUP(C628,Stammdaten!$A$11:$B$25,2,FALSE)</f>
        <v>Naturjoghurt 500g</v>
      </c>
      <c r="E628" s="3" t="str">
        <f>VLOOKUP(C628,Stammdaten!$A$11:$C$25,3,FALSE)</f>
        <v>Joghurt</v>
      </c>
      <c r="F628" s="19">
        <f>VLOOKUP(C628,Stammdaten!$A$11:$D$25,4,FALSE)</f>
        <v>0.89</v>
      </c>
      <c r="G628" s="4">
        <f t="shared" si="117"/>
        <v>12</v>
      </c>
      <c r="H628" s="20" t="str">
        <f>VLOOKUP(G628,Stammdaten!$A$30:$B$41,2,FALSE)</f>
        <v>Dezember</v>
      </c>
      <c r="I628" s="4">
        <v>847</v>
      </c>
      <c r="J628" s="4">
        <v>813</v>
      </c>
      <c r="K628" s="4">
        <f t="shared" si="118"/>
        <v>-34</v>
      </c>
      <c r="L628" s="27">
        <f t="shared" si="119"/>
        <v>-4.0141676505312871</v>
      </c>
      <c r="M628" s="52" t="str">
        <f t="shared" si="120"/>
        <v>Schwund</v>
      </c>
      <c r="N628" s="28">
        <f t="shared" si="121"/>
        <v>30.26</v>
      </c>
      <c r="O628" s="5">
        <v>11</v>
      </c>
      <c r="P628" s="4">
        <v>5</v>
      </c>
      <c r="Q628" s="28">
        <f t="shared" si="122"/>
        <v>7.5650000000000004</v>
      </c>
      <c r="R628" s="50">
        <f t="shared" si="123"/>
        <v>9.0779999999999994</v>
      </c>
      <c r="S628" s="2" t="str">
        <f t="shared" si="124"/>
        <v>Weihnachten/Silvester</v>
      </c>
      <c r="T628" s="4">
        <v>0</v>
      </c>
      <c r="U628" s="4" t="str">
        <f t="shared" si="125"/>
        <v>Nein</v>
      </c>
      <c r="V628" s="4">
        <f t="shared" si="126"/>
        <v>0</v>
      </c>
      <c r="W628" s="19">
        <f t="shared" si="127"/>
        <v>0.89</v>
      </c>
      <c r="X628" s="5">
        <v>0</v>
      </c>
      <c r="Y628" s="28">
        <f t="shared" si="128"/>
        <v>0</v>
      </c>
      <c r="Z628" s="31" t="s">
        <v>172</v>
      </c>
      <c r="AA628" t="str">
        <f t="shared" si="129"/>
        <v>Prozessfehler</v>
      </c>
    </row>
    <row r="629" spans="1:27" x14ac:dyDescent="0.35">
      <c r="A629" s="32" t="s">
        <v>17</v>
      </c>
      <c r="B629" s="2" t="str">
        <f>VLOOKUP(A629,Stammdaten!$A$3:$B$7,2,FALSE)</f>
        <v>Filiale West</v>
      </c>
      <c r="C629" s="3" t="str" cm="1">
        <f t="array" ref="C629">INDEX(Stammdaten!$A$11:$A$25,INT((ROW()-5)/12)+1 - INT((ROW()-5)/180)*15)</f>
        <v>A008</v>
      </c>
      <c r="D629" s="2" t="str">
        <f>VLOOKUP(C629,Stammdaten!$A$11:$B$25,2,FALSE)</f>
        <v>Fruchtjoghurt 4er</v>
      </c>
      <c r="E629" s="3" t="str">
        <f>VLOOKUP(C629,Stammdaten!$A$11:$C$25,3,FALSE)</f>
        <v>Joghurt</v>
      </c>
      <c r="F629" s="19">
        <f>VLOOKUP(C629,Stammdaten!$A$11:$D$25,4,FALSE)</f>
        <v>1.89</v>
      </c>
      <c r="G629" s="4">
        <f t="shared" si="117"/>
        <v>1</v>
      </c>
      <c r="H629" s="20" t="str">
        <f>VLOOKUP(G629,Stammdaten!$A$30:$B$41,2,FALSE)</f>
        <v>Januar</v>
      </c>
      <c r="I629" s="4">
        <v>329</v>
      </c>
      <c r="J629" s="4">
        <v>335</v>
      </c>
      <c r="K629" s="4">
        <f t="shared" si="118"/>
        <v>6</v>
      </c>
      <c r="L629" s="27">
        <f t="shared" si="119"/>
        <v>1.8237082066869299</v>
      </c>
      <c r="M629" s="52" t="str">
        <f t="shared" si="120"/>
        <v>Überbestand</v>
      </c>
      <c r="N629" s="28">
        <f t="shared" si="121"/>
        <v>11.34</v>
      </c>
      <c r="O629" s="5">
        <v>12</v>
      </c>
      <c r="P629" s="4">
        <v>4</v>
      </c>
      <c r="Q629" s="28">
        <f t="shared" si="122"/>
        <v>0</v>
      </c>
      <c r="R629" s="50">
        <f t="shared" si="123"/>
        <v>0</v>
      </c>
      <c r="S629" s="2" t="str">
        <f t="shared" si="124"/>
        <v>Normal</v>
      </c>
      <c r="T629" s="4">
        <v>6</v>
      </c>
      <c r="U629" s="4" t="str">
        <f t="shared" si="125"/>
        <v>Nein</v>
      </c>
      <c r="V629" s="4">
        <f t="shared" si="126"/>
        <v>0</v>
      </c>
      <c r="W629" s="19">
        <f t="shared" si="127"/>
        <v>1.89</v>
      </c>
      <c r="X629" s="5">
        <v>0</v>
      </c>
      <c r="Y629" s="28">
        <f t="shared" si="128"/>
        <v>0</v>
      </c>
      <c r="Z629" s="31" t="s">
        <v>172</v>
      </c>
      <c r="AA629" t="str">
        <f t="shared" si="129"/>
        <v>Kassenfehler (Überbestand)</v>
      </c>
    </row>
    <row r="630" spans="1:27" x14ac:dyDescent="0.35">
      <c r="A630" s="32" t="s">
        <v>17</v>
      </c>
      <c r="B630" s="2" t="str">
        <f>VLOOKUP(A630,Stammdaten!$A$3:$B$7,2,FALSE)</f>
        <v>Filiale West</v>
      </c>
      <c r="C630" s="3" t="str" cm="1">
        <f t="array" ref="C630">INDEX(Stammdaten!$A$11:$A$25,INT((ROW()-5)/12)+1 - INT((ROW()-5)/180)*15)</f>
        <v>A008</v>
      </c>
      <c r="D630" s="2" t="str">
        <f>VLOOKUP(C630,Stammdaten!$A$11:$B$25,2,FALSE)</f>
        <v>Fruchtjoghurt 4er</v>
      </c>
      <c r="E630" s="3" t="str">
        <f>VLOOKUP(C630,Stammdaten!$A$11:$C$25,3,FALSE)</f>
        <v>Joghurt</v>
      </c>
      <c r="F630" s="19">
        <f>VLOOKUP(C630,Stammdaten!$A$11:$D$25,4,FALSE)</f>
        <v>1.89</v>
      </c>
      <c r="G630" s="4">
        <f t="shared" si="117"/>
        <v>2</v>
      </c>
      <c r="H630" s="20" t="str">
        <f>VLOOKUP(G630,Stammdaten!$A$30:$B$41,2,FALSE)</f>
        <v>Februar</v>
      </c>
      <c r="I630" s="4">
        <v>314</v>
      </c>
      <c r="J630" s="4">
        <v>314</v>
      </c>
      <c r="K630" s="4">
        <f t="shared" si="118"/>
        <v>0</v>
      </c>
      <c r="L630" s="27">
        <f t="shared" si="119"/>
        <v>0</v>
      </c>
      <c r="M630" s="52" t="str">
        <f t="shared" si="120"/>
        <v>Perfekt</v>
      </c>
      <c r="N630" s="28">
        <f t="shared" si="121"/>
        <v>0</v>
      </c>
      <c r="O630" s="5">
        <v>1</v>
      </c>
      <c r="P630" s="4">
        <v>1</v>
      </c>
      <c r="Q630" s="28">
        <f t="shared" si="122"/>
        <v>0</v>
      </c>
      <c r="R630" s="50">
        <f t="shared" si="123"/>
        <v>0</v>
      </c>
      <c r="S630" s="2" t="str">
        <f t="shared" si="124"/>
        <v>Karneval</v>
      </c>
      <c r="T630" s="4">
        <v>0</v>
      </c>
      <c r="U630" s="4" t="str">
        <f t="shared" si="125"/>
        <v>Ja - 20% Reduzierung</v>
      </c>
      <c r="V630" s="4">
        <f t="shared" si="126"/>
        <v>20</v>
      </c>
      <c r="W630" s="19">
        <f t="shared" si="127"/>
        <v>1.51</v>
      </c>
      <c r="X630" s="5">
        <v>31</v>
      </c>
      <c r="Y630" s="28">
        <f t="shared" si="128"/>
        <v>11.72</v>
      </c>
      <c r="Z630" s="31" t="s">
        <v>173</v>
      </c>
      <c r="AA630" t="str">
        <f t="shared" si="129"/>
        <v>Normal/Gering</v>
      </c>
    </row>
    <row r="631" spans="1:27" x14ac:dyDescent="0.35">
      <c r="A631" s="32" t="s">
        <v>17</v>
      </c>
      <c r="B631" s="2" t="str">
        <f>VLOOKUP(A631,Stammdaten!$A$3:$B$7,2,FALSE)</f>
        <v>Filiale West</v>
      </c>
      <c r="C631" s="3" t="str" cm="1">
        <f t="array" ref="C631">INDEX(Stammdaten!$A$11:$A$25,INT((ROW()-5)/12)+1 - INT((ROW()-5)/180)*15)</f>
        <v>A008</v>
      </c>
      <c r="D631" s="2" t="str">
        <f>VLOOKUP(C631,Stammdaten!$A$11:$B$25,2,FALSE)</f>
        <v>Fruchtjoghurt 4er</v>
      </c>
      <c r="E631" s="3" t="str">
        <f>VLOOKUP(C631,Stammdaten!$A$11:$C$25,3,FALSE)</f>
        <v>Joghurt</v>
      </c>
      <c r="F631" s="19">
        <f>VLOOKUP(C631,Stammdaten!$A$11:$D$25,4,FALSE)</f>
        <v>1.89</v>
      </c>
      <c r="G631" s="4">
        <f t="shared" si="117"/>
        <v>3</v>
      </c>
      <c r="H631" s="20" t="str">
        <f>VLOOKUP(G631,Stammdaten!$A$30:$B$41,2,FALSE)</f>
        <v>März</v>
      </c>
      <c r="I631" s="4">
        <v>392</v>
      </c>
      <c r="J631" s="4">
        <v>372</v>
      </c>
      <c r="K631" s="4">
        <f t="shared" si="118"/>
        <v>-20</v>
      </c>
      <c r="L631" s="27">
        <f t="shared" si="119"/>
        <v>-5.1020408163265305</v>
      </c>
      <c r="M631" s="52" t="str">
        <f t="shared" si="120"/>
        <v>Schwund</v>
      </c>
      <c r="N631" s="28">
        <f t="shared" si="121"/>
        <v>37.799999999999997</v>
      </c>
      <c r="O631" s="5">
        <v>14</v>
      </c>
      <c r="P631" s="4">
        <v>2</v>
      </c>
      <c r="Q631" s="28">
        <f t="shared" si="122"/>
        <v>9.4499999999999993</v>
      </c>
      <c r="R631" s="50">
        <f t="shared" si="123"/>
        <v>11.339999999999998</v>
      </c>
      <c r="S631" s="2" t="str">
        <f t="shared" si="124"/>
        <v>Normal</v>
      </c>
      <c r="T631" s="4">
        <v>0</v>
      </c>
      <c r="U631" s="4" t="str">
        <f t="shared" si="125"/>
        <v>Nein</v>
      </c>
      <c r="V631" s="4">
        <f t="shared" si="126"/>
        <v>0</v>
      </c>
      <c r="W631" s="19">
        <f t="shared" si="127"/>
        <v>1.89</v>
      </c>
      <c r="X631" s="5">
        <v>0</v>
      </c>
      <c r="Y631" s="28">
        <f t="shared" si="128"/>
        <v>0</v>
      </c>
      <c r="Z631" s="31" t="s">
        <v>172</v>
      </c>
      <c r="AA631" t="str">
        <f t="shared" si="129"/>
        <v>Prozessfehler</v>
      </c>
    </row>
    <row r="632" spans="1:27" x14ac:dyDescent="0.35">
      <c r="A632" s="32" t="s">
        <v>17</v>
      </c>
      <c r="B632" s="2" t="str">
        <f>VLOOKUP(A632,Stammdaten!$A$3:$B$7,2,FALSE)</f>
        <v>Filiale West</v>
      </c>
      <c r="C632" s="3" t="str" cm="1">
        <f t="array" ref="C632">INDEX(Stammdaten!$A$11:$A$25,INT((ROW()-5)/12)+1 - INT((ROW()-5)/180)*15)</f>
        <v>A008</v>
      </c>
      <c r="D632" s="2" t="str">
        <f>VLOOKUP(C632,Stammdaten!$A$11:$B$25,2,FALSE)</f>
        <v>Fruchtjoghurt 4er</v>
      </c>
      <c r="E632" s="3" t="str">
        <f>VLOOKUP(C632,Stammdaten!$A$11:$C$25,3,FALSE)</f>
        <v>Joghurt</v>
      </c>
      <c r="F632" s="19">
        <f>VLOOKUP(C632,Stammdaten!$A$11:$D$25,4,FALSE)</f>
        <v>1.89</v>
      </c>
      <c r="G632" s="4">
        <f t="shared" si="117"/>
        <v>4</v>
      </c>
      <c r="H632" s="20" t="str">
        <f>VLOOKUP(G632,Stammdaten!$A$30:$B$41,2,FALSE)</f>
        <v>April</v>
      </c>
      <c r="I632" s="4">
        <v>481</v>
      </c>
      <c r="J632" s="4">
        <v>481</v>
      </c>
      <c r="K632" s="4">
        <f t="shared" si="118"/>
        <v>0</v>
      </c>
      <c r="L632" s="27">
        <f t="shared" si="119"/>
        <v>0</v>
      </c>
      <c r="M632" s="52" t="str">
        <f t="shared" si="120"/>
        <v>Perfekt</v>
      </c>
      <c r="N632" s="28">
        <f t="shared" si="121"/>
        <v>0</v>
      </c>
      <c r="O632" s="5">
        <v>11</v>
      </c>
      <c r="P632" s="4">
        <v>1</v>
      </c>
      <c r="Q632" s="28">
        <f t="shared" si="122"/>
        <v>0</v>
      </c>
      <c r="R632" s="50">
        <f t="shared" si="123"/>
        <v>0</v>
      </c>
      <c r="S632" s="2" t="str">
        <f t="shared" si="124"/>
        <v>Ostern</v>
      </c>
      <c r="T632" s="4">
        <v>0</v>
      </c>
      <c r="U632" s="4" t="str">
        <f t="shared" si="125"/>
        <v>Nein</v>
      </c>
      <c r="V632" s="4">
        <f t="shared" si="126"/>
        <v>0</v>
      </c>
      <c r="W632" s="19">
        <f t="shared" si="127"/>
        <v>1.89</v>
      </c>
      <c r="X632" s="5">
        <v>0</v>
      </c>
      <c r="Y632" s="28">
        <f t="shared" si="128"/>
        <v>0</v>
      </c>
      <c r="Z632" s="31" t="s">
        <v>172</v>
      </c>
      <c r="AA632" t="str">
        <f t="shared" si="129"/>
        <v>Normal/Gering</v>
      </c>
    </row>
    <row r="633" spans="1:27" x14ac:dyDescent="0.35">
      <c r="A633" s="32" t="s">
        <v>17</v>
      </c>
      <c r="B633" s="2" t="str">
        <f>VLOOKUP(A633,Stammdaten!$A$3:$B$7,2,FALSE)</f>
        <v>Filiale West</v>
      </c>
      <c r="C633" s="3" t="str" cm="1">
        <f t="array" ref="C633">INDEX(Stammdaten!$A$11:$A$25,INT((ROW()-5)/12)+1 - INT((ROW()-5)/180)*15)</f>
        <v>A008</v>
      </c>
      <c r="D633" s="2" t="str">
        <f>VLOOKUP(C633,Stammdaten!$A$11:$B$25,2,FALSE)</f>
        <v>Fruchtjoghurt 4er</v>
      </c>
      <c r="E633" s="3" t="str">
        <f>VLOOKUP(C633,Stammdaten!$A$11:$C$25,3,FALSE)</f>
        <v>Joghurt</v>
      </c>
      <c r="F633" s="19">
        <f>VLOOKUP(C633,Stammdaten!$A$11:$D$25,4,FALSE)</f>
        <v>1.89</v>
      </c>
      <c r="G633" s="4">
        <f t="shared" si="117"/>
        <v>5</v>
      </c>
      <c r="H633" s="20" t="str">
        <f>VLOOKUP(G633,Stammdaten!$A$30:$B$41,2,FALSE)</f>
        <v>Mai</v>
      </c>
      <c r="I633" s="4">
        <v>366</v>
      </c>
      <c r="J633" s="4">
        <v>367</v>
      </c>
      <c r="K633" s="4">
        <f t="shared" si="118"/>
        <v>1</v>
      </c>
      <c r="L633" s="27">
        <f t="shared" si="119"/>
        <v>0.27322404371584702</v>
      </c>
      <c r="M633" s="52" t="str">
        <f t="shared" si="120"/>
        <v>Überbestand</v>
      </c>
      <c r="N633" s="28">
        <f t="shared" si="121"/>
        <v>1.89</v>
      </c>
      <c r="O633" s="5">
        <v>1</v>
      </c>
      <c r="P633" s="4">
        <v>2</v>
      </c>
      <c r="Q633" s="28">
        <f t="shared" si="122"/>
        <v>0</v>
      </c>
      <c r="R633" s="50">
        <f t="shared" si="123"/>
        <v>0</v>
      </c>
      <c r="S633" s="2" t="str">
        <f t="shared" si="124"/>
        <v>Normal</v>
      </c>
      <c r="T633" s="4">
        <v>1</v>
      </c>
      <c r="U633" s="4" t="str">
        <f t="shared" si="125"/>
        <v>Ja - 20% Reduzierung</v>
      </c>
      <c r="V633" s="4">
        <f t="shared" si="126"/>
        <v>20</v>
      </c>
      <c r="W633" s="19">
        <f t="shared" si="127"/>
        <v>1.51</v>
      </c>
      <c r="X633" s="5">
        <v>37</v>
      </c>
      <c r="Y633" s="28">
        <f t="shared" si="128"/>
        <v>13.99</v>
      </c>
      <c r="Z633" s="31" t="s">
        <v>173</v>
      </c>
      <c r="AA633" t="str">
        <f t="shared" si="129"/>
        <v>Kassenfehler (Überbestand)</v>
      </c>
    </row>
    <row r="634" spans="1:27" x14ac:dyDescent="0.35">
      <c r="A634" s="32" t="s">
        <v>17</v>
      </c>
      <c r="B634" s="2" t="str">
        <f>VLOOKUP(A634,Stammdaten!$A$3:$B$7,2,FALSE)</f>
        <v>Filiale West</v>
      </c>
      <c r="C634" s="3" t="str" cm="1">
        <f t="array" ref="C634">INDEX(Stammdaten!$A$11:$A$25,INT((ROW()-5)/12)+1 - INT((ROW()-5)/180)*15)</f>
        <v>A008</v>
      </c>
      <c r="D634" s="2" t="str">
        <f>VLOOKUP(C634,Stammdaten!$A$11:$B$25,2,FALSE)</f>
        <v>Fruchtjoghurt 4er</v>
      </c>
      <c r="E634" s="3" t="str">
        <f>VLOOKUP(C634,Stammdaten!$A$11:$C$25,3,FALSE)</f>
        <v>Joghurt</v>
      </c>
      <c r="F634" s="19">
        <f>VLOOKUP(C634,Stammdaten!$A$11:$D$25,4,FALSE)</f>
        <v>1.89</v>
      </c>
      <c r="G634" s="4">
        <f t="shared" si="117"/>
        <v>6</v>
      </c>
      <c r="H634" s="20" t="str">
        <f>VLOOKUP(G634,Stammdaten!$A$30:$B$41,2,FALSE)</f>
        <v>Juni</v>
      </c>
      <c r="I634" s="4">
        <v>419</v>
      </c>
      <c r="J634" s="4">
        <v>398</v>
      </c>
      <c r="K634" s="4">
        <f t="shared" si="118"/>
        <v>-21</v>
      </c>
      <c r="L634" s="27">
        <f t="shared" si="119"/>
        <v>-5.0119331742243434</v>
      </c>
      <c r="M634" s="52" t="str">
        <f t="shared" si="120"/>
        <v>Schwund</v>
      </c>
      <c r="N634" s="28">
        <f t="shared" si="121"/>
        <v>39.69</v>
      </c>
      <c r="O634" s="5">
        <v>9</v>
      </c>
      <c r="P634" s="4">
        <v>2</v>
      </c>
      <c r="Q634" s="28">
        <f t="shared" si="122"/>
        <v>9.9224999999999994</v>
      </c>
      <c r="R634" s="50">
        <f t="shared" si="123"/>
        <v>11.906999999999998</v>
      </c>
      <c r="S634" s="2" t="str">
        <f t="shared" si="124"/>
        <v>Normal</v>
      </c>
      <c r="T634" s="4">
        <v>0</v>
      </c>
      <c r="U634" s="4" t="str">
        <f t="shared" si="125"/>
        <v>Nein</v>
      </c>
      <c r="V634" s="4">
        <f t="shared" si="126"/>
        <v>0</v>
      </c>
      <c r="W634" s="19">
        <f t="shared" si="127"/>
        <v>1.89</v>
      </c>
      <c r="X634" s="5">
        <v>0</v>
      </c>
      <c r="Y634" s="28">
        <f t="shared" si="128"/>
        <v>0</v>
      </c>
      <c r="Z634" s="31" t="s">
        <v>172</v>
      </c>
      <c r="AA634" t="str">
        <f t="shared" si="129"/>
        <v>Prozessfehler</v>
      </c>
    </row>
    <row r="635" spans="1:27" x14ac:dyDescent="0.35">
      <c r="A635" s="32" t="s">
        <v>17</v>
      </c>
      <c r="B635" s="2" t="str">
        <f>VLOOKUP(A635,Stammdaten!$A$3:$B$7,2,FALSE)</f>
        <v>Filiale West</v>
      </c>
      <c r="C635" s="3" t="str" cm="1">
        <f t="array" ref="C635">INDEX(Stammdaten!$A$11:$A$25,INT((ROW()-5)/12)+1 - INT((ROW()-5)/180)*15)</f>
        <v>A008</v>
      </c>
      <c r="D635" s="2" t="str">
        <f>VLOOKUP(C635,Stammdaten!$A$11:$B$25,2,FALSE)</f>
        <v>Fruchtjoghurt 4er</v>
      </c>
      <c r="E635" s="3" t="str">
        <f>VLOOKUP(C635,Stammdaten!$A$11:$C$25,3,FALSE)</f>
        <v>Joghurt</v>
      </c>
      <c r="F635" s="19">
        <f>VLOOKUP(C635,Stammdaten!$A$11:$D$25,4,FALSE)</f>
        <v>1.89</v>
      </c>
      <c r="G635" s="4">
        <f t="shared" si="117"/>
        <v>7</v>
      </c>
      <c r="H635" s="20" t="str">
        <f>VLOOKUP(G635,Stammdaten!$A$30:$B$41,2,FALSE)</f>
        <v>Juli</v>
      </c>
      <c r="I635" s="4">
        <v>480</v>
      </c>
      <c r="J635" s="4">
        <v>459</v>
      </c>
      <c r="K635" s="4">
        <f t="shared" si="118"/>
        <v>-21</v>
      </c>
      <c r="L635" s="27">
        <f t="shared" si="119"/>
        <v>-4.375</v>
      </c>
      <c r="M635" s="52" t="str">
        <f t="shared" si="120"/>
        <v>Schwund</v>
      </c>
      <c r="N635" s="28">
        <f t="shared" si="121"/>
        <v>39.69</v>
      </c>
      <c r="O635" s="5">
        <v>1</v>
      </c>
      <c r="P635" s="4">
        <v>1</v>
      </c>
      <c r="Q635" s="28">
        <f t="shared" si="122"/>
        <v>9.9224999999999994</v>
      </c>
      <c r="R635" s="50">
        <f t="shared" si="123"/>
        <v>11.906999999999998</v>
      </c>
      <c r="S635" s="2" t="str">
        <f t="shared" si="124"/>
        <v>Normal</v>
      </c>
      <c r="T635" s="4">
        <v>0</v>
      </c>
      <c r="U635" s="4" t="str">
        <f t="shared" si="125"/>
        <v>Ja - 20% Reduzierung</v>
      </c>
      <c r="V635" s="4">
        <f t="shared" si="126"/>
        <v>20</v>
      </c>
      <c r="W635" s="19">
        <f t="shared" si="127"/>
        <v>1.51</v>
      </c>
      <c r="X635" s="5">
        <v>29</v>
      </c>
      <c r="Y635" s="28">
        <f t="shared" si="128"/>
        <v>10.96</v>
      </c>
      <c r="Z635" s="31" t="s">
        <v>173</v>
      </c>
      <c r="AA635" t="str">
        <f t="shared" si="129"/>
        <v>Buchungsfehler Wareneingang</v>
      </c>
    </row>
    <row r="636" spans="1:27" x14ac:dyDescent="0.35">
      <c r="A636" s="32" t="s">
        <v>17</v>
      </c>
      <c r="B636" s="2" t="str">
        <f>VLOOKUP(A636,Stammdaten!$A$3:$B$7,2,FALSE)</f>
        <v>Filiale West</v>
      </c>
      <c r="C636" s="3" t="str" cm="1">
        <f t="array" ref="C636">INDEX(Stammdaten!$A$11:$A$25,INT((ROW()-5)/12)+1 - INT((ROW()-5)/180)*15)</f>
        <v>A008</v>
      </c>
      <c r="D636" s="2" t="str">
        <f>VLOOKUP(C636,Stammdaten!$A$11:$B$25,2,FALSE)</f>
        <v>Fruchtjoghurt 4er</v>
      </c>
      <c r="E636" s="3" t="str">
        <f>VLOOKUP(C636,Stammdaten!$A$11:$C$25,3,FALSE)</f>
        <v>Joghurt</v>
      </c>
      <c r="F636" s="19">
        <f>VLOOKUP(C636,Stammdaten!$A$11:$D$25,4,FALSE)</f>
        <v>1.89</v>
      </c>
      <c r="G636" s="4">
        <f t="shared" si="117"/>
        <v>8</v>
      </c>
      <c r="H636" s="20" t="str">
        <f>VLOOKUP(G636,Stammdaten!$A$30:$B$41,2,FALSE)</f>
        <v>August</v>
      </c>
      <c r="I636" s="4">
        <v>443</v>
      </c>
      <c r="J636" s="4">
        <v>446</v>
      </c>
      <c r="K636" s="4">
        <f t="shared" si="118"/>
        <v>3</v>
      </c>
      <c r="L636" s="27">
        <f t="shared" si="119"/>
        <v>0.67720090293453727</v>
      </c>
      <c r="M636" s="52" t="str">
        <f t="shared" si="120"/>
        <v>Überbestand</v>
      </c>
      <c r="N636" s="28">
        <f t="shared" si="121"/>
        <v>5.67</v>
      </c>
      <c r="O636" s="5">
        <v>0</v>
      </c>
      <c r="P636" s="4">
        <v>5</v>
      </c>
      <c r="Q636" s="28">
        <f t="shared" si="122"/>
        <v>0</v>
      </c>
      <c r="R636" s="50">
        <f t="shared" si="123"/>
        <v>0</v>
      </c>
      <c r="S636" s="2" t="str">
        <f t="shared" si="124"/>
        <v>Normal</v>
      </c>
      <c r="T636" s="4">
        <v>3</v>
      </c>
      <c r="U636" s="4" t="str">
        <f t="shared" si="125"/>
        <v>Abschreibung</v>
      </c>
      <c r="V636" s="4">
        <f t="shared" si="126"/>
        <v>100</v>
      </c>
      <c r="W636" s="19">
        <f t="shared" si="127"/>
        <v>0</v>
      </c>
      <c r="X636" s="5">
        <v>9</v>
      </c>
      <c r="Y636" s="28">
        <f t="shared" si="128"/>
        <v>17.010000000000002</v>
      </c>
      <c r="Z636" s="31" t="s">
        <v>173</v>
      </c>
      <c r="AA636" t="str">
        <f t="shared" si="129"/>
        <v>Verderb - Abgelaufen</v>
      </c>
    </row>
    <row r="637" spans="1:27" x14ac:dyDescent="0.35">
      <c r="A637" s="32" t="s">
        <v>17</v>
      </c>
      <c r="B637" s="2" t="str">
        <f>VLOOKUP(A637,Stammdaten!$A$3:$B$7,2,FALSE)</f>
        <v>Filiale West</v>
      </c>
      <c r="C637" s="3" t="str" cm="1">
        <f t="array" ref="C637">INDEX(Stammdaten!$A$11:$A$25,INT((ROW()-5)/12)+1 - INT((ROW()-5)/180)*15)</f>
        <v>A008</v>
      </c>
      <c r="D637" s="2" t="str">
        <f>VLOOKUP(C637,Stammdaten!$A$11:$B$25,2,FALSE)</f>
        <v>Fruchtjoghurt 4er</v>
      </c>
      <c r="E637" s="3" t="str">
        <f>VLOOKUP(C637,Stammdaten!$A$11:$C$25,3,FALSE)</f>
        <v>Joghurt</v>
      </c>
      <c r="F637" s="19">
        <f>VLOOKUP(C637,Stammdaten!$A$11:$D$25,4,FALSE)</f>
        <v>1.89</v>
      </c>
      <c r="G637" s="4">
        <f t="shared" si="117"/>
        <v>9</v>
      </c>
      <c r="H637" s="20" t="str">
        <f>VLOOKUP(G637,Stammdaten!$A$30:$B$41,2,FALSE)</f>
        <v>September</v>
      </c>
      <c r="I637" s="4">
        <v>384</v>
      </c>
      <c r="J637" s="4">
        <v>369</v>
      </c>
      <c r="K637" s="4">
        <f t="shared" si="118"/>
        <v>-15</v>
      </c>
      <c r="L637" s="27">
        <f t="shared" si="119"/>
        <v>-3.90625</v>
      </c>
      <c r="M637" s="52" t="str">
        <f t="shared" si="120"/>
        <v>Schwund</v>
      </c>
      <c r="N637" s="28">
        <f t="shared" si="121"/>
        <v>28.349999999999998</v>
      </c>
      <c r="O637" s="5">
        <v>1</v>
      </c>
      <c r="P637" s="4">
        <v>5</v>
      </c>
      <c r="Q637" s="28">
        <f t="shared" si="122"/>
        <v>7.0874999999999995</v>
      </c>
      <c r="R637" s="50">
        <f t="shared" si="123"/>
        <v>8.504999999999999</v>
      </c>
      <c r="S637" s="2" t="str">
        <f t="shared" si="124"/>
        <v>Normal</v>
      </c>
      <c r="T637" s="4">
        <v>0</v>
      </c>
      <c r="U637" s="4" t="str">
        <f t="shared" si="125"/>
        <v>Ja - 20% Reduzierung</v>
      </c>
      <c r="V637" s="4">
        <f t="shared" si="126"/>
        <v>20</v>
      </c>
      <c r="W637" s="19">
        <f t="shared" si="127"/>
        <v>1.51</v>
      </c>
      <c r="X637" s="5">
        <v>38</v>
      </c>
      <c r="Y637" s="28">
        <f t="shared" si="128"/>
        <v>14.36</v>
      </c>
      <c r="Z637" s="31" t="s">
        <v>173</v>
      </c>
      <c r="AA637" t="str">
        <f t="shared" si="129"/>
        <v>Prozessfehler</v>
      </c>
    </row>
    <row r="638" spans="1:27" x14ac:dyDescent="0.35">
      <c r="A638" s="32" t="s">
        <v>17</v>
      </c>
      <c r="B638" s="2" t="str">
        <f>VLOOKUP(A638,Stammdaten!$A$3:$B$7,2,FALSE)</f>
        <v>Filiale West</v>
      </c>
      <c r="C638" s="3" t="str" cm="1">
        <f t="array" ref="C638">INDEX(Stammdaten!$A$11:$A$25,INT((ROW()-5)/12)+1 - INT((ROW()-5)/180)*15)</f>
        <v>A008</v>
      </c>
      <c r="D638" s="2" t="str">
        <f>VLOOKUP(C638,Stammdaten!$A$11:$B$25,2,FALSE)</f>
        <v>Fruchtjoghurt 4er</v>
      </c>
      <c r="E638" s="3" t="str">
        <f>VLOOKUP(C638,Stammdaten!$A$11:$C$25,3,FALSE)</f>
        <v>Joghurt</v>
      </c>
      <c r="F638" s="19">
        <f>VLOOKUP(C638,Stammdaten!$A$11:$D$25,4,FALSE)</f>
        <v>1.89</v>
      </c>
      <c r="G638" s="4">
        <f t="shared" si="117"/>
        <v>10</v>
      </c>
      <c r="H638" s="20" t="str">
        <f>VLOOKUP(G638,Stammdaten!$A$30:$B$41,2,FALSE)</f>
        <v>Oktober</v>
      </c>
      <c r="I638" s="4">
        <v>370</v>
      </c>
      <c r="J638" s="4">
        <v>350</v>
      </c>
      <c r="K638" s="4">
        <f t="shared" si="118"/>
        <v>-20</v>
      </c>
      <c r="L638" s="27">
        <f t="shared" si="119"/>
        <v>-5.4054054054054053</v>
      </c>
      <c r="M638" s="52" t="str">
        <f t="shared" si="120"/>
        <v>Schwund</v>
      </c>
      <c r="N638" s="28">
        <f t="shared" si="121"/>
        <v>37.799999999999997</v>
      </c>
      <c r="O638" s="5">
        <v>13</v>
      </c>
      <c r="P638" s="4">
        <v>3</v>
      </c>
      <c r="Q638" s="28">
        <f t="shared" si="122"/>
        <v>9.4499999999999993</v>
      </c>
      <c r="R638" s="50">
        <f t="shared" si="123"/>
        <v>11.339999999999998</v>
      </c>
      <c r="S638" s="2" t="str">
        <f t="shared" si="124"/>
        <v>Normal</v>
      </c>
      <c r="T638" s="4">
        <v>0</v>
      </c>
      <c r="U638" s="4" t="str">
        <f t="shared" si="125"/>
        <v>Nein</v>
      </c>
      <c r="V638" s="4">
        <f t="shared" si="126"/>
        <v>0</v>
      </c>
      <c r="W638" s="19">
        <f t="shared" si="127"/>
        <v>1.89</v>
      </c>
      <c r="X638" s="5">
        <v>0</v>
      </c>
      <c r="Y638" s="28">
        <f t="shared" si="128"/>
        <v>0</v>
      </c>
      <c r="Z638" s="31" t="s">
        <v>172</v>
      </c>
      <c r="AA638" t="str">
        <f t="shared" si="129"/>
        <v>Prozessfehler</v>
      </c>
    </row>
    <row r="639" spans="1:27" x14ac:dyDescent="0.35">
      <c r="A639" s="32" t="s">
        <v>17</v>
      </c>
      <c r="B639" s="2" t="str">
        <f>VLOOKUP(A639,Stammdaten!$A$3:$B$7,2,FALSE)</f>
        <v>Filiale West</v>
      </c>
      <c r="C639" s="3" t="str" cm="1">
        <f t="array" ref="C639">INDEX(Stammdaten!$A$11:$A$25,INT((ROW()-5)/12)+1 - INT((ROW()-5)/180)*15)</f>
        <v>A008</v>
      </c>
      <c r="D639" s="2" t="str">
        <f>VLOOKUP(C639,Stammdaten!$A$11:$B$25,2,FALSE)</f>
        <v>Fruchtjoghurt 4er</v>
      </c>
      <c r="E639" s="3" t="str">
        <f>VLOOKUP(C639,Stammdaten!$A$11:$C$25,3,FALSE)</f>
        <v>Joghurt</v>
      </c>
      <c r="F639" s="19">
        <f>VLOOKUP(C639,Stammdaten!$A$11:$D$25,4,FALSE)</f>
        <v>1.89</v>
      </c>
      <c r="G639" s="4">
        <f t="shared" si="117"/>
        <v>11</v>
      </c>
      <c r="H639" s="20" t="str">
        <f>VLOOKUP(G639,Stammdaten!$A$30:$B$41,2,FALSE)</f>
        <v>November</v>
      </c>
      <c r="I639" s="4">
        <v>445</v>
      </c>
      <c r="J639" s="4">
        <v>430</v>
      </c>
      <c r="K639" s="4">
        <f t="shared" si="118"/>
        <v>-15</v>
      </c>
      <c r="L639" s="27">
        <f t="shared" si="119"/>
        <v>-3.3707865168539324</v>
      </c>
      <c r="M639" s="52" t="str">
        <f t="shared" si="120"/>
        <v>Schwund</v>
      </c>
      <c r="N639" s="28">
        <f t="shared" si="121"/>
        <v>28.349999999999998</v>
      </c>
      <c r="O639" s="5">
        <v>0</v>
      </c>
      <c r="P639" s="4">
        <v>4</v>
      </c>
      <c r="Q639" s="28">
        <f t="shared" si="122"/>
        <v>7.0874999999999995</v>
      </c>
      <c r="R639" s="50">
        <f t="shared" si="123"/>
        <v>8.504999999999999</v>
      </c>
      <c r="S639" s="2" t="str">
        <f t="shared" si="124"/>
        <v>Black Friday</v>
      </c>
      <c r="T639" s="4">
        <v>0</v>
      </c>
      <c r="U639" s="4" t="str">
        <f t="shared" si="125"/>
        <v>Abschreibung</v>
      </c>
      <c r="V639" s="4">
        <f t="shared" si="126"/>
        <v>100</v>
      </c>
      <c r="W639" s="19">
        <f t="shared" si="127"/>
        <v>0</v>
      </c>
      <c r="X639" s="5">
        <v>13</v>
      </c>
      <c r="Y639" s="28">
        <f t="shared" si="128"/>
        <v>24.57</v>
      </c>
      <c r="Z639" s="31" t="s">
        <v>173</v>
      </c>
      <c r="AA639" t="str">
        <f t="shared" si="129"/>
        <v>Verderb - Abgelaufen</v>
      </c>
    </row>
    <row r="640" spans="1:27" x14ac:dyDescent="0.35">
      <c r="A640" s="32" t="s">
        <v>17</v>
      </c>
      <c r="B640" s="2" t="str">
        <f>VLOOKUP(A640,Stammdaten!$A$3:$B$7,2,FALSE)</f>
        <v>Filiale West</v>
      </c>
      <c r="C640" s="3" t="str" cm="1">
        <f t="array" ref="C640">INDEX(Stammdaten!$A$11:$A$25,INT((ROW()-5)/12)+1 - INT((ROW()-5)/180)*15)</f>
        <v>A008</v>
      </c>
      <c r="D640" s="2" t="str">
        <f>VLOOKUP(C640,Stammdaten!$A$11:$B$25,2,FALSE)</f>
        <v>Fruchtjoghurt 4er</v>
      </c>
      <c r="E640" s="3" t="str">
        <f>VLOOKUP(C640,Stammdaten!$A$11:$C$25,3,FALSE)</f>
        <v>Joghurt</v>
      </c>
      <c r="F640" s="19">
        <f>VLOOKUP(C640,Stammdaten!$A$11:$D$25,4,FALSE)</f>
        <v>1.89</v>
      </c>
      <c r="G640" s="4">
        <f t="shared" si="117"/>
        <v>12</v>
      </c>
      <c r="H640" s="20" t="str">
        <f>VLOOKUP(G640,Stammdaten!$A$30:$B$41,2,FALSE)</f>
        <v>Dezember</v>
      </c>
      <c r="I640" s="4">
        <v>512</v>
      </c>
      <c r="J640" s="4">
        <v>512</v>
      </c>
      <c r="K640" s="4">
        <f t="shared" si="118"/>
        <v>0</v>
      </c>
      <c r="L640" s="27">
        <f t="shared" si="119"/>
        <v>0</v>
      </c>
      <c r="M640" s="52" t="str">
        <f t="shared" si="120"/>
        <v>Perfekt</v>
      </c>
      <c r="N640" s="28">
        <f t="shared" si="121"/>
        <v>0</v>
      </c>
      <c r="O640" s="5">
        <v>0</v>
      </c>
      <c r="P640" s="4">
        <v>0</v>
      </c>
      <c r="Q640" s="28">
        <f t="shared" si="122"/>
        <v>0</v>
      </c>
      <c r="R640" s="50">
        <f t="shared" si="123"/>
        <v>0</v>
      </c>
      <c r="S640" s="2" t="str">
        <f t="shared" si="124"/>
        <v>Weihnachten/Silvester</v>
      </c>
      <c r="T640" s="4">
        <v>0</v>
      </c>
      <c r="U640" s="4" t="str">
        <f t="shared" si="125"/>
        <v>Abschreibung</v>
      </c>
      <c r="V640" s="4">
        <f t="shared" si="126"/>
        <v>100</v>
      </c>
      <c r="W640" s="19">
        <f t="shared" si="127"/>
        <v>0</v>
      </c>
      <c r="X640" s="5">
        <v>15</v>
      </c>
      <c r="Y640" s="28">
        <f t="shared" si="128"/>
        <v>28.35</v>
      </c>
      <c r="Z640" s="31" t="s">
        <v>167</v>
      </c>
      <c r="AA640" t="str">
        <f t="shared" si="129"/>
        <v>Verderb - Abgelaufen</v>
      </c>
    </row>
    <row r="641" spans="1:27" x14ac:dyDescent="0.35">
      <c r="A641" s="32" t="s">
        <v>17</v>
      </c>
      <c r="B641" s="2" t="str">
        <f>VLOOKUP(A641,Stammdaten!$A$3:$B$7,2,FALSE)</f>
        <v>Filiale West</v>
      </c>
      <c r="C641" s="3" t="str" cm="1">
        <f t="array" ref="C641">INDEX(Stammdaten!$A$11:$A$25,INT((ROW()-5)/12)+1 - INT((ROW()-5)/180)*15)</f>
        <v>A009</v>
      </c>
      <c r="D641" s="2" t="str">
        <f>VLOOKUP(C641,Stammdaten!$A$11:$B$25,2,FALSE)</f>
        <v>Sahne 200ml</v>
      </c>
      <c r="E641" s="3" t="str">
        <f>VLOOKUP(C641,Stammdaten!$A$11:$C$25,3,FALSE)</f>
        <v>Sahne</v>
      </c>
      <c r="F641" s="19">
        <f>VLOOKUP(C641,Stammdaten!$A$11:$D$25,4,FALSE)</f>
        <v>0.79</v>
      </c>
      <c r="G641" s="4">
        <f t="shared" si="117"/>
        <v>1</v>
      </c>
      <c r="H641" s="20" t="str">
        <f>VLOOKUP(G641,Stammdaten!$A$30:$B$41,2,FALSE)</f>
        <v>Januar</v>
      </c>
      <c r="I641" s="4">
        <v>204</v>
      </c>
      <c r="J641" s="4">
        <v>198</v>
      </c>
      <c r="K641" s="4">
        <f t="shared" si="118"/>
        <v>-6</v>
      </c>
      <c r="L641" s="27">
        <f t="shared" si="119"/>
        <v>-2.9411764705882351</v>
      </c>
      <c r="M641" s="52" t="str">
        <f t="shared" si="120"/>
        <v>Schwund</v>
      </c>
      <c r="N641" s="28">
        <f t="shared" si="121"/>
        <v>4.74</v>
      </c>
      <c r="O641" s="5">
        <v>6</v>
      </c>
      <c r="P641" s="4">
        <v>2</v>
      </c>
      <c r="Q641" s="28">
        <f t="shared" si="122"/>
        <v>1.1850000000000001</v>
      </c>
      <c r="R641" s="50">
        <f t="shared" si="123"/>
        <v>1.4219999999999999</v>
      </c>
      <c r="S641" s="2" t="str">
        <f t="shared" si="124"/>
        <v>Normal</v>
      </c>
      <c r="T641" s="4">
        <v>0</v>
      </c>
      <c r="U641" s="4" t="str">
        <f t="shared" si="125"/>
        <v>Nein</v>
      </c>
      <c r="V641" s="4">
        <f t="shared" si="126"/>
        <v>0</v>
      </c>
      <c r="W641" s="19">
        <f t="shared" si="127"/>
        <v>0.79</v>
      </c>
      <c r="X641" s="5">
        <v>0</v>
      </c>
      <c r="Y641" s="28">
        <f t="shared" si="128"/>
        <v>0</v>
      </c>
      <c r="Z641" s="31" t="s">
        <v>172</v>
      </c>
      <c r="AA641" t="str">
        <f t="shared" si="129"/>
        <v>Prozessfehler</v>
      </c>
    </row>
    <row r="642" spans="1:27" x14ac:dyDescent="0.35">
      <c r="A642" s="32" t="s">
        <v>17</v>
      </c>
      <c r="B642" s="2" t="str">
        <f>VLOOKUP(A642,Stammdaten!$A$3:$B$7,2,FALSE)</f>
        <v>Filiale West</v>
      </c>
      <c r="C642" s="3" t="str" cm="1">
        <f t="array" ref="C642">INDEX(Stammdaten!$A$11:$A$25,INT((ROW()-5)/12)+1 - INT((ROW()-5)/180)*15)</f>
        <v>A009</v>
      </c>
      <c r="D642" s="2" t="str">
        <f>VLOOKUP(C642,Stammdaten!$A$11:$B$25,2,FALSE)</f>
        <v>Sahne 200ml</v>
      </c>
      <c r="E642" s="3" t="str">
        <f>VLOOKUP(C642,Stammdaten!$A$11:$C$25,3,FALSE)</f>
        <v>Sahne</v>
      </c>
      <c r="F642" s="19">
        <f>VLOOKUP(C642,Stammdaten!$A$11:$D$25,4,FALSE)</f>
        <v>0.79</v>
      </c>
      <c r="G642" s="4">
        <f t="shared" si="117"/>
        <v>2</v>
      </c>
      <c r="H642" s="20" t="str">
        <f>VLOOKUP(G642,Stammdaten!$A$30:$B$41,2,FALSE)</f>
        <v>Februar</v>
      </c>
      <c r="I642" s="4">
        <v>178</v>
      </c>
      <c r="J642" s="4">
        <v>174</v>
      </c>
      <c r="K642" s="4">
        <f t="shared" si="118"/>
        <v>-4</v>
      </c>
      <c r="L642" s="27">
        <f t="shared" si="119"/>
        <v>-2.2471910112359552</v>
      </c>
      <c r="M642" s="52" t="str">
        <f t="shared" si="120"/>
        <v>Schwund</v>
      </c>
      <c r="N642" s="28">
        <f t="shared" si="121"/>
        <v>3.16</v>
      </c>
      <c r="O642" s="5">
        <v>2</v>
      </c>
      <c r="P642" s="4">
        <v>0</v>
      </c>
      <c r="Q642" s="28">
        <f t="shared" si="122"/>
        <v>0.79</v>
      </c>
      <c r="R642" s="50">
        <f t="shared" si="123"/>
        <v>0.94799999999999995</v>
      </c>
      <c r="S642" s="2" t="str">
        <f t="shared" si="124"/>
        <v>Karneval</v>
      </c>
      <c r="T642" s="4">
        <v>0</v>
      </c>
      <c r="U642" s="4" t="str">
        <f t="shared" si="125"/>
        <v>Ja - 20% Reduzierung</v>
      </c>
      <c r="V642" s="4">
        <f t="shared" si="126"/>
        <v>20</v>
      </c>
      <c r="W642" s="19">
        <f t="shared" si="127"/>
        <v>0.63</v>
      </c>
      <c r="X642" s="5">
        <v>20</v>
      </c>
      <c r="Y642" s="28">
        <f t="shared" si="128"/>
        <v>3.16</v>
      </c>
      <c r="Z642" s="31" t="s">
        <v>173</v>
      </c>
      <c r="AA642" t="str">
        <f t="shared" si="129"/>
        <v>Buchungsfehler Wareneingang</v>
      </c>
    </row>
    <row r="643" spans="1:27" x14ac:dyDescent="0.35">
      <c r="A643" s="32" t="s">
        <v>17</v>
      </c>
      <c r="B643" s="2" t="str">
        <f>VLOOKUP(A643,Stammdaten!$A$3:$B$7,2,FALSE)</f>
        <v>Filiale West</v>
      </c>
      <c r="C643" s="3" t="str" cm="1">
        <f t="array" ref="C643">INDEX(Stammdaten!$A$11:$A$25,INT((ROW()-5)/12)+1 - INT((ROW()-5)/180)*15)</f>
        <v>A009</v>
      </c>
      <c r="D643" s="2" t="str">
        <f>VLOOKUP(C643,Stammdaten!$A$11:$B$25,2,FALSE)</f>
        <v>Sahne 200ml</v>
      </c>
      <c r="E643" s="3" t="str">
        <f>VLOOKUP(C643,Stammdaten!$A$11:$C$25,3,FALSE)</f>
        <v>Sahne</v>
      </c>
      <c r="F643" s="19">
        <f>VLOOKUP(C643,Stammdaten!$A$11:$D$25,4,FALSE)</f>
        <v>0.79</v>
      </c>
      <c r="G643" s="4">
        <f t="shared" si="117"/>
        <v>3</v>
      </c>
      <c r="H643" s="20" t="str">
        <f>VLOOKUP(G643,Stammdaten!$A$30:$B$41,2,FALSE)</f>
        <v>März</v>
      </c>
      <c r="I643" s="4">
        <v>238</v>
      </c>
      <c r="J643" s="4">
        <v>230</v>
      </c>
      <c r="K643" s="4">
        <f t="shared" si="118"/>
        <v>-8</v>
      </c>
      <c r="L643" s="27">
        <f t="shared" si="119"/>
        <v>-3.3613445378151261</v>
      </c>
      <c r="M643" s="52" t="str">
        <f t="shared" si="120"/>
        <v>Schwund</v>
      </c>
      <c r="N643" s="28">
        <f t="shared" si="121"/>
        <v>6.32</v>
      </c>
      <c r="O643" s="5">
        <v>6</v>
      </c>
      <c r="P643" s="4">
        <v>0</v>
      </c>
      <c r="Q643" s="28">
        <f t="shared" si="122"/>
        <v>1.58</v>
      </c>
      <c r="R643" s="50">
        <f t="shared" si="123"/>
        <v>1.8959999999999999</v>
      </c>
      <c r="S643" s="2" t="str">
        <f t="shared" si="124"/>
        <v>Normal</v>
      </c>
      <c r="T643" s="4">
        <v>0</v>
      </c>
      <c r="U643" s="4" t="str">
        <f t="shared" si="125"/>
        <v>Nein</v>
      </c>
      <c r="V643" s="4">
        <f t="shared" si="126"/>
        <v>0</v>
      </c>
      <c r="W643" s="19">
        <f t="shared" si="127"/>
        <v>0.79</v>
      </c>
      <c r="X643" s="5">
        <v>0</v>
      </c>
      <c r="Y643" s="28">
        <f t="shared" si="128"/>
        <v>0</v>
      </c>
      <c r="Z643" s="31" t="s">
        <v>172</v>
      </c>
      <c r="AA643" t="str">
        <f t="shared" si="129"/>
        <v>Buchungsfehler Wareneingang</v>
      </c>
    </row>
    <row r="644" spans="1:27" x14ac:dyDescent="0.35">
      <c r="A644" s="32" t="s">
        <v>17</v>
      </c>
      <c r="B644" s="2" t="str">
        <f>VLOOKUP(A644,Stammdaten!$A$3:$B$7,2,FALSE)</f>
        <v>Filiale West</v>
      </c>
      <c r="C644" s="3" t="str" cm="1">
        <f t="array" ref="C644">INDEX(Stammdaten!$A$11:$A$25,INT((ROW()-5)/12)+1 - INT((ROW()-5)/180)*15)</f>
        <v>A009</v>
      </c>
      <c r="D644" s="2" t="str">
        <f>VLOOKUP(C644,Stammdaten!$A$11:$B$25,2,FALSE)</f>
        <v>Sahne 200ml</v>
      </c>
      <c r="E644" s="3" t="str">
        <f>VLOOKUP(C644,Stammdaten!$A$11:$C$25,3,FALSE)</f>
        <v>Sahne</v>
      </c>
      <c r="F644" s="19">
        <f>VLOOKUP(C644,Stammdaten!$A$11:$D$25,4,FALSE)</f>
        <v>0.79</v>
      </c>
      <c r="G644" s="4">
        <f t="shared" si="117"/>
        <v>4</v>
      </c>
      <c r="H644" s="20" t="str">
        <f>VLOOKUP(G644,Stammdaten!$A$30:$B$41,2,FALSE)</f>
        <v>April</v>
      </c>
      <c r="I644" s="4">
        <v>275</v>
      </c>
      <c r="J644" s="4">
        <v>269</v>
      </c>
      <c r="K644" s="4">
        <f t="shared" si="118"/>
        <v>-6</v>
      </c>
      <c r="L644" s="27">
        <f t="shared" si="119"/>
        <v>-2.1818181818181821</v>
      </c>
      <c r="M644" s="52" t="str">
        <f t="shared" si="120"/>
        <v>Schwund</v>
      </c>
      <c r="N644" s="28">
        <f t="shared" si="121"/>
        <v>4.74</v>
      </c>
      <c r="O644" s="5">
        <v>6</v>
      </c>
      <c r="P644" s="4">
        <v>2</v>
      </c>
      <c r="Q644" s="28">
        <f t="shared" si="122"/>
        <v>1.1850000000000001</v>
      </c>
      <c r="R644" s="50">
        <f t="shared" si="123"/>
        <v>1.4219999999999999</v>
      </c>
      <c r="S644" s="2" t="str">
        <f t="shared" si="124"/>
        <v>Ostern</v>
      </c>
      <c r="T644" s="4">
        <v>0</v>
      </c>
      <c r="U644" s="4" t="str">
        <f t="shared" si="125"/>
        <v>Nein</v>
      </c>
      <c r="V644" s="4">
        <f t="shared" si="126"/>
        <v>0</v>
      </c>
      <c r="W644" s="19">
        <f t="shared" si="127"/>
        <v>0.79</v>
      </c>
      <c r="X644" s="5">
        <v>0</v>
      </c>
      <c r="Y644" s="28">
        <f t="shared" si="128"/>
        <v>0</v>
      </c>
      <c r="Z644" s="31" t="s">
        <v>172</v>
      </c>
      <c r="AA644" t="str">
        <f t="shared" si="129"/>
        <v>Prozessfehler</v>
      </c>
    </row>
    <row r="645" spans="1:27" x14ac:dyDescent="0.35">
      <c r="A645" s="32" t="s">
        <v>17</v>
      </c>
      <c r="B645" s="2" t="str">
        <f>VLOOKUP(A645,Stammdaten!$A$3:$B$7,2,FALSE)</f>
        <v>Filiale West</v>
      </c>
      <c r="C645" s="3" t="str" cm="1">
        <f t="array" ref="C645">INDEX(Stammdaten!$A$11:$A$25,INT((ROW()-5)/12)+1 - INT((ROW()-5)/180)*15)</f>
        <v>A009</v>
      </c>
      <c r="D645" s="2" t="str">
        <f>VLOOKUP(C645,Stammdaten!$A$11:$B$25,2,FALSE)</f>
        <v>Sahne 200ml</v>
      </c>
      <c r="E645" s="3" t="str">
        <f>VLOOKUP(C645,Stammdaten!$A$11:$C$25,3,FALSE)</f>
        <v>Sahne</v>
      </c>
      <c r="F645" s="19">
        <f>VLOOKUP(C645,Stammdaten!$A$11:$D$25,4,FALSE)</f>
        <v>0.79</v>
      </c>
      <c r="G645" s="4">
        <f t="shared" si="117"/>
        <v>5</v>
      </c>
      <c r="H645" s="20" t="str">
        <f>VLOOKUP(G645,Stammdaten!$A$30:$B$41,2,FALSE)</f>
        <v>Mai</v>
      </c>
      <c r="I645" s="4">
        <v>220</v>
      </c>
      <c r="J645" s="4">
        <v>217</v>
      </c>
      <c r="K645" s="4">
        <f t="shared" si="118"/>
        <v>-3</v>
      </c>
      <c r="L645" s="27">
        <f t="shared" si="119"/>
        <v>-1.3636363636363635</v>
      </c>
      <c r="M645" s="52" t="str">
        <f t="shared" si="120"/>
        <v>Schwund</v>
      </c>
      <c r="N645" s="28">
        <f t="shared" si="121"/>
        <v>2.37</v>
      </c>
      <c r="O645" s="5">
        <v>0</v>
      </c>
      <c r="P645" s="4">
        <v>4</v>
      </c>
      <c r="Q645" s="28">
        <f t="shared" si="122"/>
        <v>0.59250000000000003</v>
      </c>
      <c r="R645" s="50">
        <f t="shared" si="123"/>
        <v>0.71099999999999997</v>
      </c>
      <c r="S645" s="2" t="str">
        <f t="shared" si="124"/>
        <v>Normal</v>
      </c>
      <c r="T645" s="4">
        <v>0</v>
      </c>
      <c r="U645" s="4" t="str">
        <f t="shared" si="125"/>
        <v>Abschreibung</v>
      </c>
      <c r="V645" s="4">
        <f t="shared" si="126"/>
        <v>100</v>
      </c>
      <c r="W645" s="19">
        <f t="shared" si="127"/>
        <v>0</v>
      </c>
      <c r="X645" s="5">
        <v>4</v>
      </c>
      <c r="Y645" s="28">
        <f t="shared" si="128"/>
        <v>3.16</v>
      </c>
      <c r="Z645" s="31" t="s">
        <v>173</v>
      </c>
      <c r="AA645" t="str">
        <f t="shared" si="129"/>
        <v>Verderb - Abgelaufen</v>
      </c>
    </row>
    <row r="646" spans="1:27" x14ac:dyDescent="0.35">
      <c r="A646" s="32" t="s">
        <v>17</v>
      </c>
      <c r="B646" s="2" t="str">
        <f>VLOOKUP(A646,Stammdaten!$A$3:$B$7,2,FALSE)</f>
        <v>Filiale West</v>
      </c>
      <c r="C646" s="3" t="str" cm="1">
        <f t="array" ref="C646">INDEX(Stammdaten!$A$11:$A$25,INT((ROW()-5)/12)+1 - INT((ROW()-5)/180)*15)</f>
        <v>A009</v>
      </c>
      <c r="D646" s="2" t="str">
        <f>VLOOKUP(C646,Stammdaten!$A$11:$B$25,2,FALSE)</f>
        <v>Sahne 200ml</v>
      </c>
      <c r="E646" s="3" t="str">
        <f>VLOOKUP(C646,Stammdaten!$A$11:$C$25,3,FALSE)</f>
        <v>Sahne</v>
      </c>
      <c r="F646" s="19">
        <f>VLOOKUP(C646,Stammdaten!$A$11:$D$25,4,FALSE)</f>
        <v>0.79</v>
      </c>
      <c r="G646" s="4">
        <f t="shared" ref="G646:G709" si="130">MOD(ROW()-5,12)+1</f>
        <v>6</v>
      </c>
      <c r="H646" s="20" t="str">
        <f>VLOOKUP(G646,Stammdaten!$A$30:$B$41,2,FALSE)</f>
        <v>Juni</v>
      </c>
      <c r="I646" s="4">
        <v>237</v>
      </c>
      <c r="J646" s="4">
        <v>229</v>
      </c>
      <c r="K646" s="4">
        <f t="shared" ref="K646:K709" si="131">J646-I646</f>
        <v>-8</v>
      </c>
      <c r="L646" s="27">
        <f t="shared" ref="L646:L709" si="132">IF(I646=0,0,(K646)/I646*100)</f>
        <v>-3.3755274261603372</v>
      </c>
      <c r="M646" s="52" t="str">
        <f t="shared" ref="M646:M709" si="133">IF(K646=0,"Perfekt",IF(K646&lt;0,"Schwund","Überbestand"))</f>
        <v>Schwund</v>
      </c>
      <c r="N646" s="28">
        <f t="shared" ref="N646:N709" si="134">ABS(K646)*F646</f>
        <v>6.32</v>
      </c>
      <c r="O646" s="5">
        <v>4</v>
      </c>
      <c r="P646" s="4">
        <v>2</v>
      </c>
      <c r="Q646" s="28">
        <f t="shared" ref="Q646:Q709" si="135">IF(K646&lt;0,ABS(N646)*0.25,0)</f>
        <v>1.58</v>
      </c>
      <c r="R646" s="50">
        <f t="shared" ref="R646:R709" si="136">IF(K646&lt;0,ABS(N646)*0.3,0)</f>
        <v>1.8959999999999999</v>
      </c>
      <c r="S646" s="2" t="str">
        <f t="shared" ref="S646:S709" si="137">IF(G646=4,"Ostern",IF(G646=12,"Weihnachten/Silvester",IF(G646=11,"Black Friday",IF(G646=2,"Karneval","Normal"))))</f>
        <v>Normal</v>
      </c>
      <c r="T646" s="4">
        <v>0</v>
      </c>
      <c r="U646" s="4" t="str">
        <f t="shared" ref="U646:U709" si="138">IF(O646&lt;=0,"Abschreibung",IF(O646&lt;=3,"Ja - 20% Reduzierung","Nein"))</f>
        <v>Nein</v>
      </c>
      <c r="V646" s="4">
        <f t="shared" ref="V646:V709" si="139">IF(O646&lt;=0,100,IF(O646&lt;=3,20,0))</f>
        <v>0</v>
      </c>
      <c r="W646" s="19">
        <f t="shared" ref="W646:W709" si="140">IF(V646=100,0,ROUND(F646*(1-V646/100),2))</f>
        <v>0.79</v>
      </c>
      <c r="X646" s="5">
        <v>0</v>
      </c>
      <c r="Y646" s="28">
        <f t="shared" ref="Y646:Y709" si="141">ROUND(X646*F646*(V646/100),2)</f>
        <v>0</v>
      </c>
      <c r="Z646" s="31" t="s">
        <v>172</v>
      </c>
      <c r="AA646" t="str">
        <f t="shared" ref="AA646:AA709" si="142">IF(O646&lt;=0,"Verderb - Abgelaufen",IF(AND(O646&lt;=3,Z646&lt;&gt;"Korrekt",Z646&lt;&gt;"Kein MHD - Prozess"),"MHD - Prozessfehler",IF(K646&gt;0,"Kassenfehler (Überbestand)",IF(AND(ABS(L646)&gt;3,A646="F005"),"Diebstahlrisiko",IF(AND(ABS(L646)&gt;2,P646&lt;2),"Buchungsfehler Wareneingang",IF(ABS(L646)&gt;2,"Prozessfehler","Normal/Gering"))))))</f>
        <v>Prozessfehler</v>
      </c>
    </row>
    <row r="647" spans="1:27" x14ac:dyDescent="0.35">
      <c r="A647" s="32" t="s">
        <v>17</v>
      </c>
      <c r="B647" s="2" t="str">
        <f>VLOOKUP(A647,Stammdaten!$A$3:$B$7,2,FALSE)</f>
        <v>Filiale West</v>
      </c>
      <c r="C647" s="3" t="str" cm="1">
        <f t="array" ref="C647">INDEX(Stammdaten!$A$11:$A$25,INT((ROW()-5)/12)+1 - INT((ROW()-5)/180)*15)</f>
        <v>A009</v>
      </c>
      <c r="D647" s="2" t="str">
        <f>VLOOKUP(C647,Stammdaten!$A$11:$B$25,2,FALSE)</f>
        <v>Sahne 200ml</v>
      </c>
      <c r="E647" s="3" t="str">
        <f>VLOOKUP(C647,Stammdaten!$A$11:$C$25,3,FALSE)</f>
        <v>Sahne</v>
      </c>
      <c r="F647" s="19">
        <f>VLOOKUP(C647,Stammdaten!$A$11:$D$25,4,FALSE)</f>
        <v>0.79</v>
      </c>
      <c r="G647" s="4">
        <f t="shared" si="130"/>
        <v>7</v>
      </c>
      <c r="H647" s="20" t="str">
        <f>VLOOKUP(G647,Stammdaten!$A$30:$B$41,2,FALSE)</f>
        <v>Juli</v>
      </c>
      <c r="I647" s="4">
        <v>261</v>
      </c>
      <c r="J647" s="4">
        <v>265</v>
      </c>
      <c r="K647" s="4">
        <f t="shared" si="131"/>
        <v>4</v>
      </c>
      <c r="L647" s="27">
        <f t="shared" si="132"/>
        <v>1.5325670498084289</v>
      </c>
      <c r="M647" s="52" t="str">
        <f t="shared" si="133"/>
        <v>Überbestand</v>
      </c>
      <c r="N647" s="28">
        <f t="shared" si="134"/>
        <v>3.16</v>
      </c>
      <c r="O647" s="5">
        <v>8</v>
      </c>
      <c r="P647" s="4">
        <v>1</v>
      </c>
      <c r="Q647" s="28">
        <f t="shared" si="135"/>
        <v>0</v>
      </c>
      <c r="R647" s="50">
        <f t="shared" si="136"/>
        <v>0</v>
      </c>
      <c r="S647" s="2" t="str">
        <f t="shared" si="137"/>
        <v>Normal</v>
      </c>
      <c r="T647" s="4">
        <v>4</v>
      </c>
      <c r="U647" s="4" t="str">
        <f t="shared" si="138"/>
        <v>Nein</v>
      </c>
      <c r="V647" s="4">
        <f t="shared" si="139"/>
        <v>0</v>
      </c>
      <c r="W647" s="19">
        <f t="shared" si="140"/>
        <v>0.79</v>
      </c>
      <c r="X647" s="5">
        <v>0</v>
      </c>
      <c r="Y647" s="28">
        <f t="shared" si="141"/>
        <v>0</v>
      </c>
      <c r="Z647" s="31" t="s">
        <v>172</v>
      </c>
      <c r="AA647" t="str">
        <f t="shared" si="142"/>
        <v>Kassenfehler (Überbestand)</v>
      </c>
    </row>
    <row r="648" spans="1:27" x14ac:dyDescent="0.35">
      <c r="A648" s="32" t="s">
        <v>17</v>
      </c>
      <c r="B648" s="2" t="str">
        <f>VLOOKUP(A648,Stammdaten!$A$3:$B$7,2,FALSE)</f>
        <v>Filiale West</v>
      </c>
      <c r="C648" s="3" t="str" cm="1">
        <f t="array" ref="C648">INDEX(Stammdaten!$A$11:$A$25,INT((ROW()-5)/12)+1 - INT((ROW()-5)/180)*15)</f>
        <v>A009</v>
      </c>
      <c r="D648" s="2" t="str">
        <f>VLOOKUP(C648,Stammdaten!$A$11:$B$25,2,FALSE)</f>
        <v>Sahne 200ml</v>
      </c>
      <c r="E648" s="3" t="str">
        <f>VLOOKUP(C648,Stammdaten!$A$11:$C$25,3,FALSE)</f>
        <v>Sahne</v>
      </c>
      <c r="F648" s="19">
        <f>VLOOKUP(C648,Stammdaten!$A$11:$D$25,4,FALSE)</f>
        <v>0.79</v>
      </c>
      <c r="G648" s="4">
        <f t="shared" si="130"/>
        <v>8</v>
      </c>
      <c r="H648" s="20" t="str">
        <f>VLOOKUP(G648,Stammdaten!$A$30:$B$41,2,FALSE)</f>
        <v>August</v>
      </c>
      <c r="I648" s="4">
        <v>243</v>
      </c>
      <c r="J648" s="4">
        <v>239</v>
      </c>
      <c r="K648" s="4">
        <f t="shared" si="131"/>
        <v>-4</v>
      </c>
      <c r="L648" s="27">
        <f t="shared" si="132"/>
        <v>-1.6460905349794239</v>
      </c>
      <c r="M648" s="52" t="str">
        <f t="shared" si="133"/>
        <v>Schwund</v>
      </c>
      <c r="N648" s="28">
        <f t="shared" si="134"/>
        <v>3.16</v>
      </c>
      <c r="O648" s="5">
        <v>6</v>
      </c>
      <c r="P648" s="4">
        <v>0</v>
      </c>
      <c r="Q648" s="28">
        <f t="shared" si="135"/>
        <v>0.79</v>
      </c>
      <c r="R648" s="50">
        <f t="shared" si="136"/>
        <v>0.94799999999999995</v>
      </c>
      <c r="S648" s="2" t="str">
        <f t="shared" si="137"/>
        <v>Normal</v>
      </c>
      <c r="T648" s="4">
        <v>0</v>
      </c>
      <c r="U648" s="4" t="str">
        <f t="shared" si="138"/>
        <v>Nein</v>
      </c>
      <c r="V648" s="4">
        <f t="shared" si="139"/>
        <v>0</v>
      </c>
      <c r="W648" s="19">
        <f t="shared" si="140"/>
        <v>0.79</v>
      </c>
      <c r="X648" s="5">
        <v>0</v>
      </c>
      <c r="Y648" s="28">
        <f t="shared" si="141"/>
        <v>0</v>
      </c>
      <c r="Z648" s="31" t="s">
        <v>172</v>
      </c>
      <c r="AA648" t="str">
        <f t="shared" si="142"/>
        <v>Normal/Gering</v>
      </c>
    </row>
    <row r="649" spans="1:27" x14ac:dyDescent="0.35">
      <c r="A649" s="32" t="s">
        <v>17</v>
      </c>
      <c r="B649" s="2" t="str">
        <f>VLOOKUP(A649,Stammdaten!$A$3:$B$7,2,FALSE)</f>
        <v>Filiale West</v>
      </c>
      <c r="C649" s="3" t="str" cm="1">
        <f t="array" ref="C649">INDEX(Stammdaten!$A$11:$A$25,INT((ROW()-5)/12)+1 - INT((ROW()-5)/180)*15)</f>
        <v>A009</v>
      </c>
      <c r="D649" s="2" t="str">
        <f>VLOOKUP(C649,Stammdaten!$A$11:$B$25,2,FALSE)</f>
        <v>Sahne 200ml</v>
      </c>
      <c r="E649" s="3" t="str">
        <f>VLOOKUP(C649,Stammdaten!$A$11:$C$25,3,FALSE)</f>
        <v>Sahne</v>
      </c>
      <c r="F649" s="19">
        <f>VLOOKUP(C649,Stammdaten!$A$11:$D$25,4,FALSE)</f>
        <v>0.79</v>
      </c>
      <c r="G649" s="4">
        <f t="shared" si="130"/>
        <v>9</v>
      </c>
      <c r="H649" s="20" t="str">
        <f>VLOOKUP(G649,Stammdaten!$A$30:$B$41,2,FALSE)</f>
        <v>September</v>
      </c>
      <c r="I649" s="4">
        <v>201</v>
      </c>
      <c r="J649" s="4">
        <v>203</v>
      </c>
      <c r="K649" s="4">
        <f t="shared" si="131"/>
        <v>2</v>
      </c>
      <c r="L649" s="27">
        <f t="shared" si="132"/>
        <v>0.99502487562189057</v>
      </c>
      <c r="M649" s="52" t="str">
        <f t="shared" si="133"/>
        <v>Überbestand</v>
      </c>
      <c r="N649" s="28">
        <f t="shared" si="134"/>
        <v>1.58</v>
      </c>
      <c r="O649" s="5">
        <v>5</v>
      </c>
      <c r="P649" s="4">
        <v>3</v>
      </c>
      <c r="Q649" s="28">
        <f t="shared" si="135"/>
        <v>0</v>
      </c>
      <c r="R649" s="50">
        <f t="shared" si="136"/>
        <v>0</v>
      </c>
      <c r="S649" s="2" t="str">
        <f t="shared" si="137"/>
        <v>Normal</v>
      </c>
      <c r="T649" s="4">
        <v>2</v>
      </c>
      <c r="U649" s="4" t="str">
        <f t="shared" si="138"/>
        <v>Nein</v>
      </c>
      <c r="V649" s="4">
        <f t="shared" si="139"/>
        <v>0</v>
      </c>
      <c r="W649" s="19">
        <f t="shared" si="140"/>
        <v>0.79</v>
      </c>
      <c r="X649" s="5">
        <v>0</v>
      </c>
      <c r="Y649" s="28">
        <f t="shared" si="141"/>
        <v>0</v>
      </c>
      <c r="Z649" s="31" t="s">
        <v>172</v>
      </c>
      <c r="AA649" t="str">
        <f t="shared" si="142"/>
        <v>Kassenfehler (Überbestand)</v>
      </c>
    </row>
    <row r="650" spans="1:27" x14ac:dyDescent="0.35">
      <c r="A650" s="32" t="s">
        <v>17</v>
      </c>
      <c r="B650" s="2" t="str">
        <f>VLOOKUP(A650,Stammdaten!$A$3:$B$7,2,FALSE)</f>
        <v>Filiale West</v>
      </c>
      <c r="C650" s="3" t="str" cm="1">
        <f t="array" ref="C650">INDEX(Stammdaten!$A$11:$A$25,INT((ROW()-5)/12)+1 - INT((ROW()-5)/180)*15)</f>
        <v>A009</v>
      </c>
      <c r="D650" s="2" t="str">
        <f>VLOOKUP(C650,Stammdaten!$A$11:$B$25,2,FALSE)</f>
        <v>Sahne 200ml</v>
      </c>
      <c r="E650" s="3" t="str">
        <f>VLOOKUP(C650,Stammdaten!$A$11:$C$25,3,FALSE)</f>
        <v>Sahne</v>
      </c>
      <c r="F650" s="19">
        <f>VLOOKUP(C650,Stammdaten!$A$11:$D$25,4,FALSE)</f>
        <v>0.79</v>
      </c>
      <c r="G650" s="4">
        <f t="shared" si="130"/>
        <v>10</v>
      </c>
      <c r="H650" s="20" t="str">
        <f>VLOOKUP(G650,Stammdaten!$A$30:$B$41,2,FALSE)</f>
        <v>Oktober</v>
      </c>
      <c r="I650" s="4">
        <v>216</v>
      </c>
      <c r="J650" s="4">
        <v>210</v>
      </c>
      <c r="K650" s="4">
        <f t="shared" si="131"/>
        <v>-6</v>
      </c>
      <c r="L650" s="27">
        <f t="shared" si="132"/>
        <v>-2.7777777777777777</v>
      </c>
      <c r="M650" s="52" t="str">
        <f t="shared" si="133"/>
        <v>Schwund</v>
      </c>
      <c r="N650" s="28">
        <f t="shared" si="134"/>
        <v>4.74</v>
      </c>
      <c r="O650" s="5">
        <v>8</v>
      </c>
      <c r="P650" s="4">
        <v>0</v>
      </c>
      <c r="Q650" s="28">
        <f t="shared" si="135"/>
        <v>1.1850000000000001</v>
      </c>
      <c r="R650" s="50">
        <f t="shared" si="136"/>
        <v>1.4219999999999999</v>
      </c>
      <c r="S650" s="2" t="str">
        <f t="shared" si="137"/>
        <v>Normal</v>
      </c>
      <c r="T650" s="4">
        <v>0</v>
      </c>
      <c r="U650" s="4" t="str">
        <f t="shared" si="138"/>
        <v>Nein</v>
      </c>
      <c r="V650" s="4">
        <f t="shared" si="139"/>
        <v>0</v>
      </c>
      <c r="W650" s="19">
        <f t="shared" si="140"/>
        <v>0.79</v>
      </c>
      <c r="X650" s="5">
        <v>0</v>
      </c>
      <c r="Y650" s="28">
        <f t="shared" si="141"/>
        <v>0</v>
      </c>
      <c r="Z650" s="31" t="s">
        <v>172</v>
      </c>
      <c r="AA650" t="str">
        <f t="shared" si="142"/>
        <v>Buchungsfehler Wareneingang</v>
      </c>
    </row>
    <row r="651" spans="1:27" x14ac:dyDescent="0.35">
      <c r="A651" s="32" t="s">
        <v>17</v>
      </c>
      <c r="B651" s="2" t="str">
        <f>VLOOKUP(A651,Stammdaten!$A$3:$B$7,2,FALSE)</f>
        <v>Filiale West</v>
      </c>
      <c r="C651" s="3" t="str" cm="1">
        <f t="array" ref="C651">INDEX(Stammdaten!$A$11:$A$25,INT((ROW()-5)/12)+1 - INT((ROW()-5)/180)*15)</f>
        <v>A009</v>
      </c>
      <c r="D651" s="2" t="str">
        <f>VLOOKUP(C651,Stammdaten!$A$11:$B$25,2,FALSE)</f>
        <v>Sahne 200ml</v>
      </c>
      <c r="E651" s="3" t="str">
        <f>VLOOKUP(C651,Stammdaten!$A$11:$C$25,3,FALSE)</f>
        <v>Sahne</v>
      </c>
      <c r="F651" s="19">
        <f>VLOOKUP(C651,Stammdaten!$A$11:$D$25,4,FALSE)</f>
        <v>0.79</v>
      </c>
      <c r="G651" s="4">
        <f t="shared" si="130"/>
        <v>11</v>
      </c>
      <c r="H651" s="20" t="str">
        <f>VLOOKUP(G651,Stammdaten!$A$30:$B$41,2,FALSE)</f>
        <v>November</v>
      </c>
      <c r="I651" s="4">
        <v>244</v>
      </c>
      <c r="J651" s="4">
        <v>244</v>
      </c>
      <c r="K651" s="4">
        <f t="shared" si="131"/>
        <v>0</v>
      </c>
      <c r="L651" s="27">
        <f t="shared" si="132"/>
        <v>0</v>
      </c>
      <c r="M651" s="52" t="str">
        <f t="shared" si="133"/>
        <v>Perfekt</v>
      </c>
      <c r="N651" s="28">
        <f t="shared" si="134"/>
        <v>0</v>
      </c>
      <c r="O651" s="5">
        <v>6</v>
      </c>
      <c r="P651" s="4">
        <v>1</v>
      </c>
      <c r="Q651" s="28">
        <f t="shared" si="135"/>
        <v>0</v>
      </c>
      <c r="R651" s="50">
        <f t="shared" si="136"/>
        <v>0</v>
      </c>
      <c r="S651" s="2" t="str">
        <f t="shared" si="137"/>
        <v>Black Friday</v>
      </c>
      <c r="T651" s="4">
        <v>0</v>
      </c>
      <c r="U651" s="4" t="str">
        <f t="shared" si="138"/>
        <v>Nein</v>
      </c>
      <c r="V651" s="4">
        <f t="shared" si="139"/>
        <v>0</v>
      </c>
      <c r="W651" s="19">
        <f t="shared" si="140"/>
        <v>0.79</v>
      </c>
      <c r="X651" s="5">
        <v>0</v>
      </c>
      <c r="Y651" s="28">
        <f t="shared" si="141"/>
        <v>0</v>
      </c>
      <c r="Z651" s="31" t="s">
        <v>172</v>
      </c>
      <c r="AA651" t="str">
        <f t="shared" si="142"/>
        <v>Normal/Gering</v>
      </c>
    </row>
    <row r="652" spans="1:27" x14ac:dyDescent="0.35">
      <c r="A652" s="32" t="s">
        <v>17</v>
      </c>
      <c r="B652" s="2" t="str">
        <f>VLOOKUP(A652,Stammdaten!$A$3:$B$7,2,FALSE)</f>
        <v>Filiale West</v>
      </c>
      <c r="C652" s="3" t="str" cm="1">
        <f t="array" ref="C652">INDEX(Stammdaten!$A$11:$A$25,INT((ROW()-5)/12)+1 - INT((ROW()-5)/180)*15)</f>
        <v>A009</v>
      </c>
      <c r="D652" s="2" t="str">
        <f>VLOOKUP(C652,Stammdaten!$A$11:$B$25,2,FALSE)</f>
        <v>Sahne 200ml</v>
      </c>
      <c r="E652" s="3" t="str">
        <f>VLOOKUP(C652,Stammdaten!$A$11:$C$25,3,FALSE)</f>
        <v>Sahne</v>
      </c>
      <c r="F652" s="19">
        <f>VLOOKUP(C652,Stammdaten!$A$11:$D$25,4,FALSE)</f>
        <v>0.79</v>
      </c>
      <c r="G652" s="4">
        <f t="shared" si="130"/>
        <v>12</v>
      </c>
      <c r="H652" s="20" t="str">
        <f>VLOOKUP(G652,Stammdaten!$A$30:$B$41,2,FALSE)</f>
        <v>Dezember</v>
      </c>
      <c r="I652" s="4">
        <v>320</v>
      </c>
      <c r="J652" s="4">
        <v>325</v>
      </c>
      <c r="K652" s="4">
        <f t="shared" si="131"/>
        <v>5</v>
      </c>
      <c r="L652" s="27">
        <f t="shared" si="132"/>
        <v>1.5625</v>
      </c>
      <c r="M652" s="52" t="str">
        <f t="shared" si="133"/>
        <v>Überbestand</v>
      </c>
      <c r="N652" s="28">
        <f t="shared" si="134"/>
        <v>3.95</v>
      </c>
      <c r="O652" s="5">
        <v>7</v>
      </c>
      <c r="P652" s="4">
        <v>1</v>
      </c>
      <c r="Q652" s="28">
        <f t="shared" si="135"/>
        <v>0</v>
      </c>
      <c r="R652" s="50">
        <f t="shared" si="136"/>
        <v>0</v>
      </c>
      <c r="S652" s="2" t="str">
        <f t="shared" si="137"/>
        <v>Weihnachten/Silvester</v>
      </c>
      <c r="T652" s="4">
        <v>5</v>
      </c>
      <c r="U652" s="4" t="str">
        <f t="shared" si="138"/>
        <v>Nein</v>
      </c>
      <c r="V652" s="4">
        <f t="shared" si="139"/>
        <v>0</v>
      </c>
      <c r="W652" s="19">
        <f t="shared" si="140"/>
        <v>0.79</v>
      </c>
      <c r="X652" s="5">
        <v>0</v>
      </c>
      <c r="Y652" s="28">
        <f t="shared" si="141"/>
        <v>0</v>
      </c>
      <c r="Z652" s="31" t="s">
        <v>172</v>
      </c>
      <c r="AA652" t="str">
        <f t="shared" si="142"/>
        <v>Kassenfehler (Überbestand)</v>
      </c>
    </row>
    <row r="653" spans="1:27" x14ac:dyDescent="0.35">
      <c r="A653" s="32" t="s">
        <v>17</v>
      </c>
      <c r="B653" s="2" t="str">
        <f>VLOOKUP(A653,Stammdaten!$A$3:$B$7,2,FALSE)</f>
        <v>Filiale West</v>
      </c>
      <c r="C653" s="3" t="str" cm="1">
        <f t="array" ref="C653">INDEX(Stammdaten!$A$11:$A$25,INT((ROW()-5)/12)+1 - INT((ROW()-5)/180)*15)</f>
        <v>A010</v>
      </c>
      <c r="D653" s="2" t="str">
        <f>VLOOKUP(C653,Stammdaten!$A$11:$B$25,2,FALSE)</f>
        <v>Schmand 200g</v>
      </c>
      <c r="E653" s="3" t="str">
        <f>VLOOKUP(C653,Stammdaten!$A$11:$C$25,3,FALSE)</f>
        <v>Sahne</v>
      </c>
      <c r="F653" s="19">
        <f>VLOOKUP(C653,Stammdaten!$A$11:$D$25,4,FALSE)</f>
        <v>0.89</v>
      </c>
      <c r="G653" s="4">
        <f t="shared" si="130"/>
        <v>1</v>
      </c>
      <c r="H653" s="20" t="str">
        <f>VLOOKUP(G653,Stammdaten!$A$30:$B$41,2,FALSE)</f>
        <v>Januar</v>
      </c>
      <c r="I653" s="4">
        <v>182</v>
      </c>
      <c r="J653" s="4">
        <v>179</v>
      </c>
      <c r="K653" s="4">
        <f t="shared" si="131"/>
        <v>-3</v>
      </c>
      <c r="L653" s="27">
        <f t="shared" si="132"/>
        <v>-1.6483516483516485</v>
      </c>
      <c r="M653" s="52" t="str">
        <f t="shared" si="133"/>
        <v>Schwund</v>
      </c>
      <c r="N653" s="28">
        <f t="shared" si="134"/>
        <v>2.67</v>
      </c>
      <c r="O653" s="5">
        <v>11</v>
      </c>
      <c r="P653" s="4">
        <v>1</v>
      </c>
      <c r="Q653" s="28">
        <f t="shared" si="135"/>
        <v>0.66749999999999998</v>
      </c>
      <c r="R653" s="50">
        <f t="shared" si="136"/>
        <v>0.80099999999999993</v>
      </c>
      <c r="S653" s="2" t="str">
        <f t="shared" si="137"/>
        <v>Normal</v>
      </c>
      <c r="T653" s="4">
        <v>0</v>
      </c>
      <c r="U653" s="4" t="str">
        <f t="shared" si="138"/>
        <v>Nein</v>
      </c>
      <c r="V653" s="4">
        <f t="shared" si="139"/>
        <v>0</v>
      </c>
      <c r="W653" s="19">
        <f t="shared" si="140"/>
        <v>0.89</v>
      </c>
      <c r="X653" s="5">
        <v>0</v>
      </c>
      <c r="Y653" s="28">
        <f t="shared" si="141"/>
        <v>0</v>
      </c>
      <c r="Z653" s="31" t="s">
        <v>172</v>
      </c>
      <c r="AA653" t="str">
        <f t="shared" si="142"/>
        <v>Normal/Gering</v>
      </c>
    </row>
    <row r="654" spans="1:27" x14ac:dyDescent="0.35">
      <c r="A654" s="32" t="s">
        <v>17</v>
      </c>
      <c r="B654" s="2" t="str">
        <f>VLOOKUP(A654,Stammdaten!$A$3:$B$7,2,FALSE)</f>
        <v>Filiale West</v>
      </c>
      <c r="C654" s="3" t="str" cm="1">
        <f t="array" ref="C654">INDEX(Stammdaten!$A$11:$A$25,INT((ROW()-5)/12)+1 - INT((ROW()-5)/180)*15)</f>
        <v>A010</v>
      </c>
      <c r="D654" s="2" t="str">
        <f>VLOOKUP(C654,Stammdaten!$A$11:$B$25,2,FALSE)</f>
        <v>Schmand 200g</v>
      </c>
      <c r="E654" s="3" t="str">
        <f>VLOOKUP(C654,Stammdaten!$A$11:$C$25,3,FALSE)</f>
        <v>Sahne</v>
      </c>
      <c r="F654" s="19">
        <f>VLOOKUP(C654,Stammdaten!$A$11:$D$25,4,FALSE)</f>
        <v>0.89</v>
      </c>
      <c r="G654" s="4">
        <f t="shared" si="130"/>
        <v>2</v>
      </c>
      <c r="H654" s="20" t="str">
        <f>VLOOKUP(G654,Stammdaten!$A$30:$B$41,2,FALSE)</f>
        <v>Februar</v>
      </c>
      <c r="I654" s="4">
        <v>173</v>
      </c>
      <c r="J654" s="4">
        <v>170</v>
      </c>
      <c r="K654" s="4">
        <f t="shared" si="131"/>
        <v>-3</v>
      </c>
      <c r="L654" s="27">
        <f t="shared" si="132"/>
        <v>-1.7341040462427744</v>
      </c>
      <c r="M654" s="52" t="str">
        <f t="shared" si="133"/>
        <v>Schwund</v>
      </c>
      <c r="N654" s="28">
        <f t="shared" si="134"/>
        <v>2.67</v>
      </c>
      <c r="O654" s="5">
        <v>4</v>
      </c>
      <c r="P654" s="4">
        <v>3</v>
      </c>
      <c r="Q654" s="28">
        <f t="shared" si="135"/>
        <v>0.66749999999999998</v>
      </c>
      <c r="R654" s="50">
        <f t="shared" si="136"/>
        <v>0.80099999999999993</v>
      </c>
      <c r="S654" s="2" t="str">
        <f t="shared" si="137"/>
        <v>Karneval</v>
      </c>
      <c r="T654" s="4">
        <v>0</v>
      </c>
      <c r="U654" s="4" t="str">
        <f t="shared" si="138"/>
        <v>Nein</v>
      </c>
      <c r="V654" s="4">
        <f t="shared" si="139"/>
        <v>0</v>
      </c>
      <c r="W654" s="19">
        <f t="shared" si="140"/>
        <v>0.89</v>
      </c>
      <c r="X654" s="5">
        <v>0</v>
      </c>
      <c r="Y654" s="28">
        <f t="shared" si="141"/>
        <v>0</v>
      </c>
      <c r="Z654" s="31" t="s">
        <v>172</v>
      </c>
      <c r="AA654" t="str">
        <f t="shared" si="142"/>
        <v>Normal/Gering</v>
      </c>
    </row>
    <row r="655" spans="1:27" x14ac:dyDescent="0.35">
      <c r="A655" s="32" t="s">
        <v>17</v>
      </c>
      <c r="B655" s="2" t="str">
        <f>VLOOKUP(A655,Stammdaten!$A$3:$B$7,2,FALSE)</f>
        <v>Filiale West</v>
      </c>
      <c r="C655" s="3" t="str" cm="1">
        <f t="array" ref="C655">INDEX(Stammdaten!$A$11:$A$25,INT((ROW()-5)/12)+1 - INT((ROW()-5)/180)*15)</f>
        <v>A010</v>
      </c>
      <c r="D655" s="2" t="str">
        <f>VLOOKUP(C655,Stammdaten!$A$11:$B$25,2,FALSE)</f>
        <v>Schmand 200g</v>
      </c>
      <c r="E655" s="3" t="str">
        <f>VLOOKUP(C655,Stammdaten!$A$11:$C$25,3,FALSE)</f>
        <v>Sahne</v>
      </c>
      <c r="F655" s="19">
        <f>VLOOKUP(C655,Stammdaten!$A$11:$D$25,4,FALSE)</f>
        <v>0.89</v>
      </c>
      <c r="G655" s="4">
        <f t="shared" si="130"/>
        <v>3</v>
      </c>
      <c r="H655" s="20" t="str">
        <f>VLOOKUP(G655,Stammdaten!$A$30:$B$41,2,FALSE)</f>
        <v>März</v>
      </c>
      <c r="I655" s="4">
        <v>200</v>
      </c>
      <c r="J655" s="4">
        <v>196</v>
      </c>
      <c r="K655" s="4">
        <f t="shared" si="131"/>
        <v>-4</v>
      </c>
      <c r="L655" s="27">
        <f t="shared" si="132"/>
        <v>-2</v>
      </c>
      <c r="M655" s="52" t="str">
        <f t="shared" si="133"/>
        <v>Schwund</v>
      </c>
      <c r="N655" s="28">
        <f t="shared" si="134"/>
        <v>3.56</v>
      </c>
      <c r="O655" s="5">
        <v>12</v>
      </c>
      <c r="P655" s="4">
        <v>2</v>
      </c>
      <c r="Q655" s="28">
        <f t="shared" si="135"/>
        <v>0.89</v>
      </c>
      <c r="R655" s="50">
        <f t="shared" si="136"/>
        <v>1.0680000000000001</v>
      </c>
      <c r="S655" s="2" t="str">
        <f t="shared" si="137"/>
        <v>Normal</v>
      </c>
      <c r="T655" s="4">
        <v>0</v>
      </c>
      <c r="U655" s="4" t="str">
        <f t="shared" si="138"/>
        <v>Nein</v>
      </c>
      <c r="V655" s="4">
        <f t="shared" si="139"/>
        <v>0</v>
      </c>
      <c r="W655" s="19">
        <f t="shared" si="140"/>
        <v>0.89</v>
      </c>
      <c r="X655" s="5">
        <v>0</v>
      </c>
      <c r="Y655" s="28">
        <f t="shared" si="141"/>
        <v>0</v>
      </c>
      <c r="Z655" s="31" t="s">
        <v>172</v>
      </c>
      <c r="AA655" t="str">
        <f t="shared" si="142"/>
        <v>Normal/Gering</v>
      </c>
    </row>
    <row r="656" spans="1:27" x14ac:dyDescent="0.35">
      <c r="A656" s="32" t="s">
        <v>17</v>
      </c>
      <c r="B656" s="2" t="str">
        <f>VLOOKUP(A656,Stammdaten!$A$3:$B$7,2,FALSE)</f>
        <v>Filiale West</v>
      </c>
      <c r="C656" s="3" t="str" cm="1">
        <f t="array" ref="C656">INDEX(Stammdaten!$A$11:$A$25,INT((ROW()-5)/12)+1 - INT((ROW()-5)/180)*15)</f>
        <v>A010</v>
      </c>
      <c r="D656" s="2" t="str">
        <f>VLOOKUP(C656,Stammdaten!$A$11:$B$25,2,FALSE)</f>
        <v>Schmand 200g</v>
      </c>
      <c r="E656" s="3" t="str">
        <f>VLOOKUP(C656,Stammdaten!$A$11:$C$25,3,FALSE)</f>
        <v>Sahne</v>
      </c>
      <c r="F656" s="19">
        <f>VLOOKUP(C656,Stammdaten!$A$11:$D$25,4,FALSE)</f>
        <v>0.89</v>
      </c>
      <c r="G656" s="4">
        <f t="shared" si="130"/>
        <v>4</v>
      </c>
      <c r="H656" s="20" t="str">
        <f>VLOOKUP(G656,Stammdaten!$A$30:$B$41,2,FALSE)</f>
        <v>April</v>
      </c>
      <c r="I656" s="4">
        <v>240</v>
      </c>
      <c r="J656" s="4">
        <v>233</v>
      </c>
      <c r="K656" s="4">
        <f t="shared" si="131"/>
        <v>-7</v>
      </c>
      <c r="L656" s="27">
        <f t="shared" si="132"/>
        <v>-2.9166666666666665</v>
      </c>
      <c r="M656" s="52" t="str">
        <f t="shared" si="133"/>
        <v>Schwund</v>
      </c>
      <c r="N656" s="28">
        <f t="shared" si="134"/>
        <v>6.23</v>
      </c>
      <c r="O656" s="5">
        <v>3</v>
      </c>
      <c r="P656" s="4">
        <v>4</v>
      </c>
      <c r="Q656" s="28">
        <f t="shared" si="135"/>
        <v>1.5575000000000001</v>
      </c>
      <c r="R656" s="50">
        <f t="shared" si="136"/>
        <v>1.869</v>
      </c>
      <c r="S656" s="2" t="str">
        <f t="shared" si="137"/>
        <v>Ostern</v>
      </c>
      <c r="T656" s="4">
        <v>0</v>
      </c>
      <c r="U656" s="4" t="str">
        <f t="shared" si="138"/>
        <v>Ja - 20% Reduzierung</v>
      </c>
      <c r="V656" s="4">
        <f t="shared" si="139"/>
        <v>20</v>
      </c>
      <c r="W656" s="19">
        <f t="shared" si="140"/>
        <v>0.71</v>
      </c>
      <c r="X656" s="5">
        <v>29</v>
      </c>
      <c r="Y656" s="28">
        <f t="shared" si="141"/>
        <v>5.16</v>
      </c>
      <c r="Z656" s="31" t="s">
        <v>167</v>
      </c>
      <c r="AA656" t="str">
        <f t="shared" si="142"/>
        <v>MHD - Prozessfehler</v>
      </c>
    </row>
    <row r="657" spans="1:27" x14ac:dyDescent="0.35">
      <c r="A657" s="32" t="s">
        <v>17</v>
      </c>
      <c r="B657" s="2" t="str">
        <f>VLOOKUP(A657,Stammdaten!$A$3:$B$7,2,FALSE)</f>
        <v>Filiale West</v>
      </c>
      <c r="C657" s="3" t="str" cm="1">
        <f t="array" ref="C657">INDEX(Stammdaten!$A$11:$A$25,INT((ROW()-5)/12)+1 - INT((ROW()-5)/180)*15)</f>
        <v>A010</v>
      </c>
      <c r="D657" s="2" t="str">
        <f>VLOOKUP(C657,Stammdaten!$A$11:$B$25,2,FALSE)</f>
        <v>Schmand 200g</v>
      </c>
      <c r="E657" s="3" t="str">
        <f>VLOOKUP(C657,Stammdaten!$A$11:$C$25,3,FALSE)</f>
        <v>Sahne</v>
      </c>
      <c r="F657" s="19">
        <f>VLOOKUP(C657,Stammdaten!$A$11:$D$25,4,FALSE)</f>
        <v>0.89</v>
      </c>
      <c r="G657" s="4">
        <f t="shared" si="130"/>
        <v>5</v>
      </c>
      <c r="H657" s="20" t="str">
        <f>VLOOKUP(G657,Stammdaten!$A$30:$B$41,2,FALSE)</f>
        <v>Mai</v>
      </c>
      <c r="I657" s="4">
        <v>196</v>
      </c>
      <c r="J657" s="4">
        <v>194</v>
      </c>
      <c r="K657" s="4">
        <f t="shared" si="131"/>
        <v>-2</v>
      </c>
      <c r="L657" s="27">
        <f t="shared" si="132"/>
        <v>-1.0204081632653061</v>
      </c>
      <c r="M657" s="52" t="str">
        <f t="shared" si="133"/>
        <v>Schwund</v>
      </c>
      <c r="N657" s="28">
        <f t="shared" si="134"/>
        <v>1.78</v>
      </c>
      <c r="O657" s="5">
        <v>8</v>
      </c>
      <c r="P657" s="4">
        <v>2</v>
      </c>
      <c r="Q657" s="28">
        <f t="shared" si="135"/>
        <v>0.44500000000000001</v>
      </c>
      <c r="R657" s="50">
        <f t="shared" si="136"/>
        <v>0.53400000000000003</v>
      </c>
      <c r="S657" s="2" t="str">
        <f t="shared" si="137"/>
        <v>Normal</v>
      </c>
      <c r="T657" s="4">
        <v>0</v>
      </c>
      <c r="U657" s="4" t="str">
        <f t="shared" si="138"/>
        <v>Nein</v>
      </c>
      <c r="V657" s="4">
        <f t="shared" si="139"/>
        <v>0</v>
      </c>
      <c r="W657" s="19">
        <f t="shared" si="140"/>
        <v>0.89</v>
      </c>
      <c r="X657" s="5">
        <v>0</v>
      </c>
      <c r="Y657" s="28">
        <f t="shared" si="141"/>
        <v>0</v>
      </c>
      <c r="Z657" s="31" t="s">
        <v>172</v>
      </c>
      <c r="AA657" t="str">
        <f t="shared" si="142"/>
        <v>Normal/Gering</v>
      </c>
    </row>
    <row r="658" spans="1:27" x14ac:dyDescent="0.35">
      <c r="A658" s="32" t="s">
        <v>17</v>
      </c>
      <c r="B658" s="2" t="str">
        <f>VLOOKUP(A658,Stammdaten!$A$3:$B$7,2,FALSE)</f>
        <v>Filiale West</v>
      </c>
      <c r="C658" s="3" t="str" cm="1">
        <f t="array" ref="C658">INDEX(Stammdaten!$A$11:$A$25,INT((ROW()-5)/12)+1 - INT((ROW()-5)/180)*15)</f>
        <v>A010</v>
      </c>
      <c r="D658" s="2" t="str">
        <f>VLOOKUP(C658,Stammdaten!$A$11:$B$25,2,FALSE)</f>
        <v>Schmand 200g</v>
      </c>
      <c r="E658" s="3" t="str">
        <f>VLOOKUP(C658,Stammdaten!$A$11:$C$25,3,FALSE)</f>
        <v>Sahne</v>
      </c>
      <c r="F658" s="19">
        <f>VLOOKUP(C658,Stammdaten!$A$11:$D$25,4,FALSE)</f>
        <v>0.89</v>
      </c>
      <c r="G658" s="4">
        <f t="shared" si="130"/>
        <v>6</v>
      </c>
      <c r="H658" s="20" t="str">
        <f>VLOOKUP(G658,Stammdaten!$A$30:$B$41,2,FALSE)</f>
        <v>Juni</v>
      </c>
      <c r="I658" s="4">
        <v>209</v>
      </c>
      <c r="J658" s="4">
        <v>203</v>
      </c>
      <c r="K658" s="4">
        <f t="shared" si="131"/>
        <v>-6</v>
      </c>
      <c r="L658" s="27">
        <f t="shared" si="132"/>
        <v>-2.8708133971291865</v>
      </c>
      <c r="M658" s="52" t="str">
        <f t="shared" si="133"/>
        <v>Schwund</v>
      </c>
      <c r="N658" s="28">
        <f t="shared" si="134"/>
        <v>5.34</v>
      </c>
      <c r="O658" s="5">
        <v>0</v>
      </c>
      <c r="P658" s="4">
        <v>3</v>
      </c>
      <c r="Q658" s="28">
        <f t="shared" si="135"/>
        <v>1.335</v>
      </c>
      <c r="R658" s="50">
        <f t="shared" si="136"/>
        <v>1.6019999999999999</v>
      </c>
      <c r="S658" s="2" t="str">
        <f t="shared" si="137"/>
        <v>Normal</v>
      </c>
      <c r="T658" s="4">
        <v>0</v>
      </c>
      <c r="U658" s="4" t="str">
        <f t="shared" si="138"/>
        <v>Abschreibung</v>
      </c>
      <c r="V658" s="4">
        <f t="shared" si="139"/>
        <v>100</v>
      </c>
      <c r="W658" s="19">
        <f t="shared" si="140"/>
        <v>0</v>
      </c>
      <c r="X658" s="5">
        <v>6</v>
      </c>
      <c r="Y658" s="28">
        <f t="shared" si="141"/>
        <v>5.34</v>
      </c>
      <c r="Z658" s="31" t="s">
        <v>173</v>
      </c>
      <c r="AA658" t="str">
        <f t="shared" si="142"/>
        <v>Verderb - Abgelaufen</v>
      </c>
    </row>
    <row r="659" spans="1:27" x14ac:dyDescent="0.35">
      <c r="A659" s="32" t="s">
        <v>17</v>
      </c>
      <c r="B659" s="2" t="str">
        <f>VLOOKUP(A659,Stammdaten!$A$3:$B$7,2,FALSE)</f>
        <v>Filiale West</v>
      </c>
      <c r="C659" s="3" t="str" cm="1">
        <f t="array" ref="C659">INDEX(Stammdaten!$A$11:$A$25,INT((ROW()-5)/12)+1 - INT((ROW()-5)/180)*15)</f>
        <v>A010</v>
      </c>
      <c r="D659" s="2" t="str">
        <f>VLOOKUP(C659,Stammdaten!$A$11:$B$25,2,FALSE)</f>
        <v>Schmand 200g</v>
      </c>
      <c r="E659" s="3" t="str">
        <f>VLOOKUP(C659,Stammdaten!$A$11:$C$25,3,FALSE)</f>
        <v>Sahne</v>
      </c>
      <c r="F659" s="19">
        <f>VLOOKUP(C659,Stammdaten!$A$11:$D$25,4,FALSE)</f>
        <v>0.89</v>
      </c>
      <c r="G659" s="4">
        <f t="shared" si="130"/>
        <v>7</v>
      </c>
      <c r="H659" s="20" t="str">
        <f>VLOOKUP(G659,Stammdaten!$A$30:$B$41,2,FALSE)</f>
        <v>Juli</v>
      </c>
      <c r="I659" s="4">
        <v>233</v>
      </c>
      <c r="J659" s="4">
        <v>228</v>
      </c>
      <c r="K659" s="4">
        <f t="shared" si="131"/>
        <v>-5</v>
      </c>
      <c r="L659" s="27">
        <f t="shared" si="132"/>
        <v>-2.1459227467811157</v>
      </c>
      <c r="M659" s="52" t="str">
        <f t="shared" si="133"/>
        <v>Schwund</v>
      </c>
      <c r="N659" s="28">
        <f t="shared" si="134"/>
        <v>4.45</v>
      </c>
      <c r="O659" s="5">
        <v>0</v>
      </c>
      <c r="P659" s="4">
        <v>4</v>
      </c>
      <c r="Q659" s="28">
        <f t="shared" si="135"/>
        <v>1.1125</v>
      </c>
      <c r="R659" s="50">
        <f t="shared" si="136"/>
        <v>1.335</v>
      </c>
      <c r="S659" s="2" t="str">
        <f t="shared" si="137"/>
        <v>Normal</v>
      </c>
      <c r="T659" s="4">
        <v>0</v>
      </c>
      <c r="U659" s="4" t="str">
        <f t="shared" si="138"/>
        <v>Abschreibung</v>
      </c>
      <c r="V659" s="4">
        <f t="shared" si="139"/>
        <v>100</v>
      </c>
      <c r="W659" s="19">
        <f t="shared" si="140"/>
        <v>0</v>
      </c>
      <c r="X659" s="5">
        <v>5</v>
      </c>
      <c r="Y659" s="28">
        <f t="shared" si="141"/>
        <v>4.45</v>
      </c>
      <c r="Z659" s="31" t="s">
        <v>173</v>
      </c>
      <c r="AA659" t="str">
        <f t="shared" si="142"/>
        <v>Verderb - Abgelaufen</v>
      </c>
    </row>
    <row r="660" spans="1:27" x14ac:dyDescent="0.35">
      <c r="A660" s="32" t="s">
        <v>17</v>
      </c>
      <c r="B660" s="2" t="str">
        <f>VLOOKUP(A660,Stammdaten!$A$3:$B$7,2,FALSE)</f>
        <v>Filiale West</v>
      </c>
      <c r="C660" s="3" t="str" cm="1">
        <f t="array" ref="C660">INDEX(Stammdaten!$A$11:$A$25,INT((ROW()-5)/12)+1 - INT((ROW()-5)/180)*15)</f>
        <v>A010</v>
      </c>
      <c r="D660" s="2" t="str">
        <f>VLOOKUP(C660,Stammdaten!$A$11:$B$25,2,FALSE)</f>
        <v>Schmand 200g</v>
      </c>
      <c r="E660" s="3" t="str">
        <f>VLOOKUP(C660,Stammdaten!$A$11:$C$25,3,FALSE)</f>
        <v>Sahne</v>
      </c>
      <c r="F660" s="19">
        <f>VLOOKUP(C660,Stammdaten!$A$11:$D$25,4,FALSE)</f>
        <v>0.89</v>
      </c>
      <c r="G660" s="4">
        <f t="shared" si="130"/>
        <v>8</v>
      </c>
      <c r="H660" s="20" t="str">
        <f>VLOOKUP(G660,Stammdaten!$A$30:$B$41,2,FALSE)</f>
        <v>August</v>
      </c>
      <c r="I660" s="4">
        <v>232</v>
      </c>
      <c r="J660" s="4">
        <v>229</v>
      </c>
      <c r="K660" s="4">
        <f t="shared" si="131"/>
        <v>-3</v>
      </c>
      <c r="L660" s="27">
        <f t="shared" si="132"/>
        <v>-1.2931034482758621</v>
      </c>
      <c r="M660" s="52" t="str">
        <f t="shared" si="133"/>
        <v>Schwund</v>
      </c>
      <c r="N660" s="28">
        <f t="shared" si="134"/>
        <v>2.67</v>
      </c>
      <c r="O660" s="5">
        <v>1</v>
      </c>
      <c r="P660" s="4">
        <v>3</v>
      </c>
      <c r="Q660" s="28">
        <f t="shared" si="135"/>
        <v>0.66749999999999998</v>
      </c>
      <c r="R660" s="50">
        <f t="shared" si="136"/>
        <v>0.80099999999999993</v>
      </c>
      <c r="S660" s="2" t="str">
        <f t="shared" si="137"/>
        <v>Normal</v>
      </c>
      <c r="T660" s="4">
        <v>0</v>
      </c>
      <c r="U660" s="4" t="str">
        <f t="shared" si="138"/>
        <v>Ja - 20% Reduzierung</v>
      </c>
      <c r="V660" s="4">
        <f t="shared" si="139"/>
        <v>20</v>
      </c>
      <c r="W660" s="19">
        <f t="shared" si="140"/>
        <v>0.71</v>
      </c>
      <c r="X660" s="5">
        <v>26</v>
      </c>
      <c r="Y660" s="28">
        <f t="shared" si="141"/>
        <v>4.63</v>
      </c>
      <c r="Z660" s="31" t="s">
        <v>173</v>
      </c>
      <c r="AA660" t="str">
        <f t="shared" si="142"/>
        <v>Normal/Gering</v>
      </c>
    </row>
    <row r="661" spans="1:27" x14ac:dyDescent="0.35">
      <c r="A661" s="32" t="s">
        <v>17</v>
      </c>
      <c r="B661" s="2" t="str">
        <f>VLOOKUP(A661,Stammdaten!$A$3:$B$7,2,FALSE)</f>
        <v>Filiale West</v>
      </c>
      <c r="C661" s="3" t="str" cm="1">
        <f t="array" ref="C661">INDEX(Stammdaten!$A$11:$A$25,INT((ROW()-5)/12)+1 - INT((ROW()-5)/180)*15)</f>
        <v>A010</v>
      </c>
      <c r="D661" s="2" t="str">
        <f>VLOOKUP(C661,Stammdaten!$A$11:$B$25,2,FALSE)</f>
        <v>Schmand 200g</v>
      </c>
      <c r="E661" s="3" t="str">
        <f>VLOOKUP(C661,Stammdaten!$A$11:$C$25,3,FALSE)</f>
        <v>Sahne</v>
      </c>
      <c r="F661" s="19">
        <f>VLOOKUP(C661,Stammdaten!$A$11:$D$25,4,FALSE)</f>
        <v>0.89</v>
      </c>
      <c r="G661" s="4">
        <f t="shared" si="130"/>
        <v>9</v>
      </c>
      <c r="H661" s="20" t="str">
        <f>VLOOKUP(G661,Stammdaten!$A$30:$B$41,2,FALSE)</f>
        <v>September</v>
      </c>
      <c r="I661" s="4">
        <v>188</v>
      </c>
      <c r="J661" s="4">
        <v>184</v>
      </c>
      <c r="K661" s="4">
        <f t="shared" si="131"/>
        <v>-4</v>
      </c>
      <c r="L661" s="27">
        <f t="shared" si="132"/>
        <v>-2.1276595744680851</v>
      </c>
      <c r="M661" s="52" t="str">
        <f t="shared" si="133"/>
        <v>Schwund</v>
      </c>
      <c r="N661" s="28">
        <f t="shared" si="134"/>
        <v>3.56</v>
      </c>
      <c r="O661" s="5">
        <v>5</v>
      </c>
      <c r="P661" s="4">
        <v>0</v>
      </c>
      <c r="Q661" s="28">
        <f t="shared" si="135"/>
        <v>0.89</v>
      </c>
      <c r="R661" s="50">
        <f t="shared" si="136"/>
        <v>1.0680000000000001</v>
      </c>
      <c r="S661" s="2" t="str">
        <f t="shared" si="137"/>
        <v>Normal</v>
      </c>
      <c r="T661" s="4">
        <v>0</v>
      </c>
      <c r="U661" s="4" t="str">
        <f t="shared" si="138"/>
        <v>Nein</v>
      </c>
      <c r="V661" s="4">
        <f t="shared" si="139"/>
        <v>0</v>
      </c>
      <c r="W661" s="19">
        <f t="shared" si="140"/>
        <v>0.89</v>
      </c>
      <c r="X661" s="5">
        <v>0</v>
      </c>
      <c r="Y661" s="28">
        <f t="shared" si="141"/>
        <v>0</v>
      </c>
      <c r="Z661" s="31" t="s">
        <v>172</v>
      </c>
      <c r="AA661" t="str">
        <f t="shared" si="142"/>
        <v>Buchungsfehler Wareneingang</v>
      </c>
    </row>
    <row r="662" spans="1:27" x14ac:dyDescent="0.35">
      <c r="A662" s="32" t="s">
        <v>17</v>
      </c>
      <c r="B662" s="2" t="str">
        <f>VLOOKUP(A662,Stammdaten!$A$3:$B$7,2,FALSE)</f>
        <v>Filiale West</v>
      </c>
      <c r="C662" s="3" t="str" cm="1">
        <f t="array" ref="C662">INDEX(Stammdaten!$A$11:$A$25,INT((ROW()-5)/12)+1 - INT((ROW()-5)/180)*15)</f>
        <v>A010</v>
      </c>
      <c r="D662" s="2" t="str">
        <f>VLOOKUP(C662,Stammdaten!$A$11:$B$25,2,FALSE)</f>
        <v>Schmand 200g</v>
      </c>
      <c r="E662" s="3" t="str">
        <f>VLOOKUP(C662,Stammdaten!$A$11:$C$25,3,FALSE)</f>
        <v>Sahne</v>
      </c>
      <c r="F662" s="19">
        <f>VLOOKUP(C662,Stammdaten!$A$11:$D$25,4,FALSE)</f>
        <v>0.89</v>
      </c>
      <c r="G662" s="4">
        <f t="shared" si="130"/>
        <v>10</v>
      </c>
      <c r="H662" s="20" t="str">
        <f>VLOOKUP(G662,Stammdaten!$A$30:$B$41,2,FALSE)</f>
        <v>Oktober</v>
      </c>
      <c r="I662" s="4">
        <v>198</v>
      </c>
      <c r="J662" s="4">
        <v>196</v>
      </c>
      <c r="K662" s="4">
        <f t="shared" si="131"/>
        <v>-2</v>
      </c>
      <c r="L662" s="27">
        <f t="shared" si="132"/>
        <v>-1.0101010101010102</v>
      </c>
      <c r="M662" s="52" t="str">
        <f t="shared" si="133"/>
        <v>Schwund</v>
      </c>
      <c r="N662" s="28">
        <f t="shared" si="134"/>
        <v>1.78</v>
      </c>
      <c r="O662" s="5">
        <v>13</v>
      </c>
      <c r="P662" s="4">
        <v>1</v>
      </c>
      <c r="Q662" s="28">
        <f t="shared" si="135"/>
        <v>0.44500000000000001</v>
      </c>
      <c r="R662" s="50">
        <f t="shared" si="136"/>
        <v>0.53400000000000003</v>
      </c>
      <c r="S662" s="2" t="str">
        <f t="shared" si="137"/>
        <v>Normal</v>
      </c>
      <c r="T662" s="4">
        <v>0</v>
      </c>
      <c r="U662" s="4" t="str">
        <f t="shared" si="138"/>
        <v>Nein</v>
      </c>
      <c r="V662" s="4">
        <f t="shared" si="139"/>
        <v>0</v>
      </c>
      <c r="W662" s="19">
        <f t="shared" si="140"/>
        <v>0.89</v>
      </c>
      <c r="X662" s="5">
        <v>0</v>
      </c>
      <c r="Y662" s="28">
        <f t="shared" si="141"/>
        <v>0</v>
      </c>
      <c r="Z662" s="31" t="s">
        <v>172</v>
      </c>
      <c r="AA662" t="str">
        <f t="shared" si="142"/>
        <v>Normal/Gering</v>
      </c>
    </row>
    <row r="663" spans="1:27" x14ac:dyDescent="0.35">
      <c r="A663" s="32" t="s">
        <v>17</v>
      </c>
      <c r="B663" s="2" t="str">
        <f>VLOOKUP(A663,Stammdaten!$A$3:$B$7,2,FALSE)</f>
        <v>Filiale West</v>
      </c>
      <c r="C663" s="3" t="str" cm="1">
        <f t="array" ref="C663">INDEX(Stammdaten!$A$11:$A$25,INT((ROW()-5)/12)+1 - INT((ROW()-5)/180)*15)</f>
        <v>A010</v>
      </c>
      <c r="D663" s="2" t="str">
        <f>VLOOKUP(C663,Stammdaten!$A$11:$B$25,2,FALSE)</f>
        <v>Schmand 200g</v>
      </c>
      <c r="E663" s="3" t="str">
        <f>VLOOKUP(C663,Stammdaten!$A$11:$C$25,3,FALSE)</f>
        <v>Sahne</v>
      </c>
      <c r="F663" s="19">
        <f>VLOOKUP(C663,Stammdaten!$A$11:$D$25,4,FALSE)</f>
        <v>0.89</v>
      </c>
      <c r="G663" s="4">
        <f t="shared" si="130"/>
        <v>11</v>
      </c>
      <c r="H663" s="20" t="str">
        <f>VLOOKUP(G663,Stammdaten!$A$30:$B$41,2,FALSE)</f>
        <v>November</v>
      </c>
      <c r="I663" s="4">
        <v>229</v>
      </c>
      <c r="J663" s="4">
        <v>225</v>
      </c>
      <c r="K663" s="4">
        <f t="shared" si="131"/>
        <v>-4</v>
      </c>
      <c r="L663" s="27">
        <f t="shared" si="132"/>
        <v>-1.7467248908296942</v>
      </c>
      <c r="M663" s="52" t="str">
        <f t="shared" si="133"/>
        <v>Schwund</v>
      </c>
      <c r="N663" s="28">
        <f t="shared" si="134"/>
        <v>3.56</v>
      </c>
      <c r="O663" s="5">
        <v>2</v>
      </c>
      <c r="P663" s="4">
        <v>5</v>
      </c>
      <c r="Q663" s="28">
        <f t="shared" si="135"/>
        <v>0.89</v>
      </c>
      <c r="R663" s="50">
        <f t="shared" si="136"/>
        <v>1.0680000000000001</v>
      </c>
      <c r="S663" s="2" t="str">
        <f t="shared" si="137"/>
        <v>Black Friday</v>
      </c>
      <c r="T663" s="4">
        <v>0</v>
      </c>
      <c r="U663" s="4" t="str">
        <f t="shared" si="138"/>
        <v>Ja - 20% Reduzierung</v>
      </c>
      <c r="V663" s="4">
        <f t="shared" si="139"/>
        <v>20</v>
      </c>
      <c r="W663" s="19">
        <f t="shared" si="140"/>
        <v>0.71</v>
      </c>
      <c r="X663" s="5">
        <v>27</v>
      </c>
      <c r="Y663" s="28">
        <f t="shared" si="141"/>
        <v>4.8099999999999996</v>
      </c>
      <c r="Z663" s="31" t="s">
        <v>173</v>
      </c>
      <c r="AA663" t="str">
        <f t="shared" si="142"/>
        <v>Normal/Gering</v>
      </c>
    </row>
    <row r="664" spans="1:27" x14ac:dyDescent="0.35">
      <c r="A664" s="32" t="s">
        <v>17</v>
      </c>
      <c r="B664" s="2" t="str">
        <f>VLOOKUP(A664,Stammdaten!$A$3:$B$7,2,FALSE)</f>
        <v>Filiale West</v>
      </c>
      <c r="C664" s="3" t="str" cm="1">
        <f t="array" ref="C664">INDEX(Stammdaten!$A$11:$A$25,INT((ROW()-5)/12)+1 - INT((ROW()-5)/180)*15)</f>
        <v>A010</v>
      </c>
      <c r="D664" s="2" t="str">
        <f>VLOOKUP(C664,Stammdaten!$A$11:$B$25,2,FALSE)</f>
        <v>Schmand 200g</v>
      </c>
      <c r="E664" s="3" t="str">
        <f>VLOOKUP(C664,Stammdaten!$A$11:$C$25,3,FALSE)</f>
        <v>Sahne</v>
      </c>
      <c r="F664" s="19">
        <f>VLOOKUP(C664,Stammdaten!$A$11:$D$25,4,FALSE)</f>
        <v>0.89</v>
      </c>
      <c r="G664" s="4">
        <f t="shared" si="130"/>
        <v>12</v>
      </c>
      <c r="H664" s="20" t="str">
        <f>VLOOKUP(G664,Stammdaten!$A$30:$B$41,2,FALSE)</f>
        <v>Dezember</v>
      </c>
      <c r="I664" s="4">
        <v>283</v>
      </c>
      <c r="J664" s="4">
        <v>279</v>
      </c>
      <c r="K664" s="4">
        <f t="shared" si="131"/>
        <v>-4</v>
      </c>
      <c r="L664" s="27">
        <f t="shared" si="132"/>
        <v>-1.4134275618374559</v>
      </c>
      <c r="M664" s="52" t="str">
        <f t="shared" si="133"/>
        <v>Schwund</v>
      </c>
      <c r="N664" s="28">
        <f t="shared" si="134"/>
        <v>3.56</v>
      </c>
      <c r="O664" s="5">
        <v>1</v>
      </c>
      <c r="P664" s="4">
        <v>1</v>
      </c>
      <c r="Q664" s="28">
        <f t="shared" si="135"/>
        <v>0.89</v>
      </c>
      <c r="R664" s="50">
        <f t="shared" si="136"/>
        <v>1.0680000000000001</v>
      </c>
      <c r="S664" s="2" t="str">
        <f t="shared" si="137"/>
        <v>Weihnachten/Silvester</v>
      </c>
      <c r="T664" s="4">
        <v>0</v>
      </c>
      <c r="U664" s="4" t="str">
        <f t="shared" si="138"/>
        <v>Ja - 20% Reduzierung</v>
      </c>
      <c r="V664" s="4">
        <f t="shared" si="139"/>
        <v>20</v>
      </c>
      <c r="W664" s="19">
        <f t="shared" si="140"/>
        <v>0.71</v>
      </c>
      <c r="X664" s="5">
        <v>25</v>
      </c>
      <c r="Y664" s="28">
        <f t="shared" si="141"/>
        <v>4.45</v>
      </c>
      <c r="Z664" s="31" t="s">
        <v>173</v>
      </c>
      <c r="AA664" t="str">
        <f t="shared" si="142"/>
        <v>Normal/Gering</v>
      </c>
    </row>
    <row r="665" spans="1:27" x14ac:dyDescent="0.35">
      <c r="A665" s="32" t="s">
        <v>17</v>
      </c>
      <c r="B665" s="2" t="str">
        <f>VLOOKUP(A665,Stammdaten!$A$3:$B$7,2,FALSE)</f>
        <v>Filiale West</v>
      </c>
      <c r="C665" s="3" t="str" cm="1">
        <f t="array" ref="C665">INDEX(Stammdaten!$A$11:$A$25,INT((ROW()-5)/12)+1 - INT((ROW()-5)/180)*15)</f>
        <v>A011</v>
      </c>
      <c r="D665" s="2" t="str">
        <f>VLOOKUP(C665,Stammdaten!$A$11:$B$25,2,FALSE)</f>
        <v>Mozzarella 125g</v>
      </c>
      <c r="E665" s="3" t="str">
        <f>VLOOKUP(C665,Stammdaten!$A$11:$C$25,3,FALSE)</f>
        <v>Käse</v>
      </c>
      <c r="F665" s="19">
        <f>VLOOKUP(C665,Stammdaten!$A$11:$D$25,4,FALSE)</f>
        <v>1.19</v>
      </c>
      <c r="G665" s="4">
        <f t="shared" si="130"/>
        <v>1</v>
      </c>
      <c r="H665" s="20" t="str">
        <f>VLOOKUP(G665,Stammdaten!$A$30:$B$41,2,FALSE)</f>
        <v>Januar</v>
      </c>
      <c r="I665" s="4">
        <v>285</v>
      </c>
      <c r="J665" s="4">
        <v>278</v>
      </c>
      <c r="K665" s="4">
        <f t="shared" si="131"/>
        <v>-7</v>
      </c>
      <c r="L665" s="27">
        <f t="shared" si="132"/>
        <v>-2.4561403508771931</v>
      </c>
      <c r="M665" s="52" t="str">
        <f t="shared" si="133"/>
        <v>Schwund</v>
      </c>
      <c r="N665" s="28">
        <f t="shared" si="134"/>
        <v>8.33</v>
      </c>
      <c r="O665" s="5">
        <v>8</v>
      </c>
      <c r="P665" s="4">
        <v>3</v>
      </c>
      <c r="Q665" s="28">
        <f t="shared" si="135"/>
        <v>2.0825</v>
      </c>
      <c r="R665" s="50">
        <f t="shared" si="136"/>
        <v>2.4990000000000001</v>
      </c>
      <c r="S665" s="2" t="str">
        <f t="shared" si="137"/>
        <v>Normal</v>
      </c>
      <c r="T665" s="4">
        <v>0</v>
      </c>
      <c r="U665" s="4" t="str">
        <f t="shared" si="138"/>
        <v>Nein</v>
      </c>
      <c r="V665" s="4">
        <f t="shared" si="139"/>
        <v>0</v>
      </c>
      <c r="W665" s="19">
        <f t="shared" si="140"/>
        <v>1.19</v>
      </c>
      <c r="X665" s="5">
        <v>0</v>
      </c>
      <c r="Y665" s="28">
        <f t="shared" si="141"/>
        <v>0</v>
      </c>
      <c r="Z665" s="31" t="s">
        <v>172</v>
      </c>
      <c r="AA665" t="str">
        <f t="shared" si="142"/>
        <v>Prozessfehler</v>
      </c>
    </row>
    <row r="666" spans="1:27" x14ac:dyDescent="0.35">
      <c r="A666" s="32" t="s">
        <v>17</v>
      </c>
      <c r="B666" s="2" t="str">
        <f>VLOOKUP(A666,Stammdaten!$A$3:$B$7,2,FALSE)</f>
        <v>Filiale West</v>
      </c>
      <c r="C666" s="3" t="str" cm="1">
        <f t="array" ref="C666">INDEX(Stammdaten!$A$11:$A$25,INT((ROW()-5)/12)+1 - INT((ROW()-5)/180)*15)</f>
        <v>A011</v>
      </c>
      <c r="D666" s="2" t="str">
        <f>VLOOKUP(C666,Stammdaten!$A$11:$B$25,2,FALSE)</f>
        <v>Mozzarella 125g</v>
      </c>
      <c r="E666" s="3" t="str">
        <f>VLOOKUP(C666,Stammdaten!$A$11:$C$25,3,FALSE)</f>
        <v>Käse</v>
      </c>
      <c r="F666" s="19">
        <f>VLOOKUP(C666,Stammdaten!$A$11:$D$25,4,FALSE)</f>
        <v>1.19</v>
      </c>
      <c r="G666" s="4">
        <f t="shared" si="130"/>
        <v>2</v>
      </c>
      <c r="H666" s="20" t="str">
        <f>VLOOKUP(G666,Stammdaten!$A$30:$B$41,2,FALSE)</f>
        <v>Februar</v>
      </c>
      <c r="I666" s="4">
        <v>272</v>
      </c>
      <c r="J666" s="4">
        <v>263</v>
      </c>
      <c r="K666" s="4">
        <f t="shared" si="131"/>
        <v>-9</v>
      </c>
      <c r="L666" s="27">
        <f t="shared" si="132"/>
        <v>-3.3088235294117649</v>
      </c>
      <c r="M666" s="52" t="str">
        <f t="shared" si="133"/>
        <v>Schwund</v>
      </c>
      <c r="N666" s="28">
        <f t="shared" si="134"/>
        <v>10.709999999999999</v>
      </c>
      <c r="O666" s="5">
        <v>5</v>
      </c>
      <c r="P666" s="4">
        <v>3</v>
      </c>
      <c r="Q666" s="28">
        <f t="shared" si="135"/>
        <v>2.6774999999999998</v>
      </c>
      <c r="R666" s="50">
        <f t="shared" si="136"/>
        <v>3.2129999999999996</v>
      </c>
      <c r="S666" s="2" t="str">
        <f t="shared" si="137"/>
        <v>Karneval</v>
      </c>
      <c r="T666" s="4">
        <v>0</v>
      </c>
      <c r="U666" s="4" t="str">
        <f t="shared" si="138"/>
        <v>Nein</v>
      </c>
      <c r="V666" s="4">
        <f t="shared" si="139"/>
        <v>0</v>
      </c>
      <c r="W666" s="19">
        <f t="shared" si="140"/>
        <v>1.19</v>
      </c>
      <c r="X666" s="5">
        <v>0</v>
      </c>
      <c r="Y666" s="28">
        <f t="shared" si="141"/>
        <v>0</v>
      </c>
      <c r="Z666" s="31" t="s">
        <v>172</v>
      </c>
      <c r="AA666" t="str">
        <f t="shared" si="142"/>
        <v>Prozessfehler</v>
      </c>
    </row>
    <row r="667" spans="1:27" x14ac:dyDescent="0.35">
      <c r="A667" s="32" t="s">
        <v>17</v>
      </c>
      <c r="B667" s="2" t="str">
        <f>VLOOKUP(A667,Stammdaten!$A$3:$B$7,2,FALSE)</f>
        <v>Filiale West</v>
      </c>
      <c r="C667" s="3" t="str" cm="1">
        <f t="array" ref="C667">INDEX(Stammdaten!$A$11:$A$25,INT((ROW()-5)/12)+1 - INT((ROW()-5)/180)*15)</f>
        <v>A011</v>
      </c>
      <c r="D667" s="2" t="str">
        <f>VLOOKUP(C667,Stammdaten!$A$11:$B$25,2,FALSE)</f>
        <v>Mozzarella 125g</v>
      </c>
      <c r="E667" s="3" t="str">
        <f>VLOOKUP(C667,Stammdaten!$A$11:$C$25,3,FALSE)</f>
        <v>Käse</v>
      </c>
      <c r="F667" s="19">
        <f>VLOOKUP(C667,Stammdaten!$A$11:$D$25,4,FALSE)</f>
        <v>1.19</v>
      </c>
      <c r="G667" s="4">
        <f t="shared" si="130"/>
        <v>3</v>
      </c>
      <c r="H667" s="20" t="str">
        <f>VLOOKUP(G667,Stammdaten!$A$30:$B$41,2,FALSE)</f>
        <v>März</v>
      </c>
      <c r="I667" s="4">
        <v>364</v>
      </c>
      <c r="J667" s="4">
        <v>354</v>
      </c>
      <c r="K667" s="4">
        <f t="shared" si="131"/>
        <v>-10</v>
      </c>
      <c r="L667" s="27">
        <f t="shared" si="132"/>
        <v>-2.7472527472527473</v>
      </c>
      <c r="M667" s="52" t="str">
        <f t="shared" si="133"/>
        <v>Schwund</v>
      </c>
      <c r="N667" s="28">
        <f t="shared" si="134"/>
        <v>11.899999999999999</v>
      </c>
      <c r="O667" s="5">
        <v>8</v>
      </c>
      <c r="P667" s="4">
        <v>4</v>
      </c>
      <c r="Q667" s="28">
        <f t="shared" si="135"/>
        <v>2.9749999999999996</v>
      </c>
      <c r="R667" s="50">
        <f t="shared" si="136"/>
        <v>3.5699999999999994</v>
      </c>
      <c r="S667" s="2" t="str">
        <f t="shared" si="137"/>
        <v>Normal</v>
      </c>
      <c r="T667" s="4">
        <v>0</v>
      </c>
      <c r="U667" s="4" t="str">
        <f t="shared" si="138"/>
        <v>Nein</v>
      </c>
      <c r="V667" s="4">
        <f t="shared" si="139"/>
        <v>0</v>
      </c>
      <c r="W667" s="19">
        <f t="shared" si="140"/>
        <v>1.19</v>
      </c>
      <c r="X667" s="5">
        <v>0</v>
      </c>
      <c r="Y667" s="28">
        <f t="shared" si="141"/>
        <v>0</v>
      </c>
      <c r="Z667" s="31" t="s">
        <v>172</v>
      </c>
      <c r="AA667" t="str">
        <f t="shared" si="142"/>
        <v>Prozessfehler</v>
      </c>
    </row>
    <row r="668" spans="1:27" x14ac:dyDescent="0.35">
      <c r="A668" s="32" t="s">
        <v>17</v>
      </c>
      <c r="B668" s="2" t="str">
        <f>VLOOKUP(A668,Stammdaten!$A$3:$B$7,2,FALSE)</f>
        <v>Filiale West</v>
      </c>
      <c r="C668" s="3" t="str" cm="1">
        <f t="array" ref="C668">INDEX(Stammdaten!$A$11:$A$25,INT((ROW()-5)/12)+1 - INT((ROW()-5)/180)*15)</f>
        <v>A011</v>
      </c>
      <c r="D668" s="2" t="str">
        <f>VLOOKUP(C668,Stammdaten!$A$11:$B$25,2,FALSE)</f>
        <v>Mozzarella 125g</v>
      </c>
      <c r="E668" s="3" t="str">
        <f>VLOOKUP(C668,Stammdaten!$A$11:$C$25,3,FALSE)</f>
        <v>Käse</v>
      </c>
      <c r="F668" s="19">
        <f>VLOOKUP(C668,Stammdaten!$A$11:$D$25,4,FALSE)</f>
        <v>1.19</v>
      </c>
      <c r="G668" s="4">
        <f t="shared" si="130"/>
        <v>4</v>
      </c>
      <c r="H668" s="20" t="str">
        <f>VLOOKUP(G668,Stammdaten!$A$30:$B$41,2,FALSE)</f>
        <v>April</v>
      </c>
      <c r="I668" s="4">
        <v>421</v>
      </c>
      <c r="J668" s="4">
        <v>398</v>
      </c>
      <c r="K668" s="4">
        <f t="shared" si="131"/>
        <v>-23</v>
      </c>
      <c r="L668" s="27">
        <f t="shared" si="132"/>
        <v>-5.4631828978622332</v>
      </c>
      <c r="M668" s="52" t="str">
        <f t="shared" si="133"/>
        <v>Schwund</v>
      </c>
      <c r="N668" s="28">
        <f t="shared" si="134"/>
        <v>27.369999999999997</v>
      </c>
      <c r="O668" s="5">
        <v>1</v>
      </c>
      <c r="P668" s="4">
        <v>1</v>
      </c>
      <c r="Q668" s="28">
        <f t="shared" si="135"/>
        <v>6.8424999999999994</v>
      </c>
      <c r="R668" s="50">
        <f t="shared" si="136"/>
        <v>8.2109999999999985</v>
      </c>
      <c r="S668" s="2" t="str">
        <f t="shared" si="137"/>
        <v>Ostern</v>
      </c>
      <c r="T668" s="4">
        <v>0</v>
      </c>
      <c r="U668" s="4" t="str">
        <f t="shared" si="138"/>
        <v>Ja - 20% Reduzierung</v>
      </c>
      <c r="V668" s="4">
        <f t="shared" si="139"/>
        <v>20</v>
      </c>
      <c r="W668" s="19">
        <f t="shared" si="140"/>
        <v>0.95</v>
      </c>
      <c r="X668" s="5">
        <v>21</v>
      </c>
      <c r="Y668" s="28">
        <f t="shared" si="141"/>
        <v>5</v>
      </c>
      <c r="Z668" s="31" t="s">
        <v>173</v>
      </c>
      <c r="AA668" t="str">
        <f t="shared" si="142"/>
        <v>Buchungsfehler Wareneingang</v>
      </c>
    </row>
    <row r="669" spans="1:27" x14ac:dyDescent="0.35">
      <c r="A669" s="32" t="s">
        <v>17</v>
      </c>
      <c r="B669" s="2" t="str">
        <f>VLOOKUP(A669,Stammdaten!$A$3:$B$7,2,FALSE)</f>
        <v>Filiale West</v>
      </c>
      <c r="C669" s="3" t="str" cm="1">
        <f t="array" ref="C669">INDEX(Stammdaten!$A$11:$A$25,INT((ROW()-5)/12)+1 - INT((ROW()-5)/180)*15)</f>
        <v>A011</v>
      </c>
      <c r="D669" s="2" t="str">
        <f>VLOOKUP(C669,Stammdaten!$A$11:$B$25,2,FALSE)</f>
        <v>Mozzarella 125g</v>
      </c>
      <c r="E669" s="3" t="str">
        <f>VLOOKUP(C669,Stammdaten!$A$11:$C$25,3,FALSE)</f>
        <v>Käse</v>
      </c>
      <c r="F669" s="19">
        <f>VLOOKUP(C669,Stammdaten!$A$11:$D$25,4,FALSE)</f>
        <v>1.19</v>
      </c>
      <c r="G669" s="4">
        <f t="shared" si="130"/>
        <v>5</v>
      </c>
      <c r="H669" s="20" t="str">
        <f>VLOOKUP(G669,Stammdaten!$A$30:$B$41,2,FALSE)</f>
        <v>Mai</v>
      </c>
      <c r="I669" s="4">
        <v>333</v>
      </c>
      <c r="J669" s="4">
        <v>323</v>
      </c>
      <c r="K669" s="4">
        <f t="shared" si="131"/>
        <v>-10</v>
      </c>
      <c r="L669" s="27">
        <f t="shared" si="132"/>
        <v>-3.0030030030030028</v>
      </c>
      <c r="M669" s="52" t="str">
        <f t="shared" si="133"/>
        <v>Schwund</v>
      </c>
      <c r="N669" s="28">
        <f t="shared" si="134"/>
        <v>11.899999999999999</v>
      </c>
      <c r="O669" s="5">
        <v>6</v>
      </c>
      <c r="P669" s="4">
        <v>2</v>
      </c>
      <c r="Q669" s="28">
        <f t="shared" si="135"/>
        <v>2.9749999999999996</v>
      </c>
      <c r="R669" s="50">
        <f t="shared" si="136"/>
        <v>3.5699999999999994</v>
      </c>
      <c r="S669" s="2" t="str">
        <f t="shared" si="137"/>
        <v>Normal</v>
      </c>
      <c r="T669" s="4">
        <v>0</v>
      </c>
      <c r="U669" s="4" t="str">
        <f t="shared" si="138"/>
        <v>Nein</v>
      </c>
      <c r="V669" s="4">
        <f t="shared" si="139"/>
        <v>0</v>
      </c>
      <c r="W669" s="19">
        <f t="shared" si="140"/>
        <v>1.19</v>
      </c>
      <c r="X669" s="5">
        <v>0</v>
      </c>
      <c r="Y669" s="28">
        <f t="shared" si="141"/>
        <v>0</v>
      </c>
      <c r="Z669" s="31" t="s">
        <v>172</v>
      </c>
      <c r="AA669" t="str">
        <f t="shared" si="142"/>
        <v>Prozessfehler</v>
      </c>
    </row>
    <row r="670" spans="1:27" x14ac:dyDescent="0.35">
      <c r="A670" s="32" t="s">
        <v>17</v>
      </c>
      <c r="B670" s="2" t="str">
        <f>VLOOKUP(A670,Stammdaten!$A$3:$B$7,2,FALSE)</f>
        <v>Filiale West</v>
      </c>
      <c r="C670" s="3" t="str" cm="1">
        <f t="array" ref="C670">INDEX(Stammdaten!$A$11:$A$25,INT((ROW()-5)/12)+1 - INT((ROW()-5)/180)*15)</f>
        <v>A011</v>
      </c>
      <c r="D670" s="2" t="str">
        <f>VLOOKUP(C670,Stammdaten!$A$11:$B$25,2,FALSE)</f>
        <v>Mozzarella 125g</v>
      </c>
      <c r="E670" s="3" t="str">
        <f>VLOOKUP(C670,Stammdaten!$A$11:$C$25,3,FALSE)</f>
        <v>Käse</v>
      </c>
      <c r="F670" s="19">
        <f>VLOOKUP(C670,Stammdaten!$A$11:$D$25,4,FALSE)</f>
        <v>1.19</v>
      </c>
      <c r="G670" s="4">
        <f t="shared" si="130"/>
        <v>6</v>
      </c>
      <c r="H670" s="20" t="str">
        <f>VLOOKUP(G670,Stammdaten!$A$30:$B$41,2,FALSE)</f>
        <v>Juni</v>
      </c>
      <c r="I670" s="4">
        <v>363</v>
      </c>
      <c r="J670" s="4">
        <v>351</v>
      </c>
      <c r="K670" s="4">
        <f t="shared" si="131"/>
        <v>-12</v>
      </c>
      <c r="L670" s="27">
        <f t="shared" si="132"/>
        <v>-3.3057851239669422</v>
      </c>
      <c r="M670" s="52" t="str">
        <f t="shared" si="133"/>
        <v>Schwund</v>
      </c>
      <c r="N670" s="28">
        <f t="shared" si="134"/>
        <v>14.28</v>
      </c>
      <c r="O670" s="5">
        <v>0</v>
      </c>
      <c r="P670" s="4">
        <v>2</v>
      </c>
      <c r="Q670" s="28">
        <f t="shared" si="135"/>
        <v>3.57</v>
      </c>
      <c r="R670" s="50">
        <f t="shared" si="136"/>
        <v>4.2839999999999998</v>
      </c>
      <c r="S670" s="2" t="str">
        <f t="shared" si="137"/>
        <v>Normal</v>
      </c>
      <c r="T670" s="4">
        <v>0</v>
      </c>
      <c r="U670" s="4" t="str">
        <f t="shared" si="138"/>
        <v>Abschreibung</v>
      </c>
      <c r="V670" s="4">
        <f t="shared" si="139"/>
        <v>100</v>
      </c>
      <c r="W670" s="19">
        <f t="shared" si="140"/>
        <v>0</v>
      </c>
      <c r="X670" s="5">
        <v>7</v>
      </c>
      <c r="Y670" s="28">
        <f t="shared" si="141"/>
        <v>8.33</v>
      </c>
      <c r="Z670" s="31" t="s">
        <v>173</v>
      </c>
      <c r="AA670" t="str">
        <f t="shared" si="142"/>
        <v>Verderb - Abgelaufen</v>
      </c>
    </row>
    <row r="671" spans="1:27" x14ac:dyDescent="0.35">
      <c r="A671" s="32" t="s">
        <v>17</v>
      </c>
      <c r="B671" s="2" t="str">
        <f>VLOOKUP(A671,Stammdaten!$A$3:$B$7,2,FALSE)</f>
        <v>Filiale West</v>
      </c>
      <c r="C671" s="3" t="str" cm="1">
        <f t="array" ref="C671">INDEX(Stammdaten!$A$11:$A$25,INT((ROW()-5)/12)+1 - INT((ROW()-5)/180)*15)</f>
        <v>A011</v>
      </c>
      <c r="D671" s="2" t="str">
        <f>VLOOKUP(C671,Stammdaten!$A$11:$B$25,2,FALSE)</f>
        <v>Mozzarella 125g</v>
      </c>
      <c r="E671" s="3" t="str">
        <f>VLOOKUP(C671,Stammdaten!$A$11:$C$25,3,FALSE)</f>
        <v>Käse</v>
      </c>
      <c r="F671" s="19">
        <f>VLOOKUP(C671,Stammdaten!$A$11:$D$25,4,FALSE)</f>
        <v>1.19</v>
      </c>
      <c r="G671" s="4">
        <f t="shared" si="130"/>
        <v>7</v>
      </c>
      <c r="H671" s="20" t="str">
        <f>VLOOKUP(G671,Stammdaten!$A$30:$B$41,2,FALSE)</f>
        <v>Juli</v>
      </c>
      <c r="I671" s="4">
        <v>376</v>
      </c>
      <c r="J671" s="4">
        <v>357</v>
      </c>
      <c r="K671" s="4">
        <f t="shared" si="131"/>
        <v>-19</v>
      </c>
      <c r="L671" s="27">
        <f t="shared" si="132"/>
        <v>-5.0531914893617014</v>
      </c>
      <c r="M671" s="52" t="str">
        <f t="shared" si="133"/>
        <v>Schwund</v>
      </c>
      <c r="N671" s="28">
        <f t="shared" si="134"/>
        <v>22.61</v>
      </c>
      <c r="O671" s="5">
        <v>1</v>
      </c>
      <c r="P671" s="4">
        <v>1</v>
      </c>
      <c r="Q671" s="28">
        <f t="shared" si="135"/>
        <v>5.6524999999999999</v>
      </c>
      <c r="R671" s="50">
        <f t="shared" si="136"/>
        <v>6.7829999999999995</v>
      </c>
      <c r="S671" s="2" t="str">
        <f t="shared" si="137"/>
        <v>Normal</v>
      </c>
      <c r="T671" s="4">
        <v>0</v>
      </c>
      <c r="U671" s="4" t="str">
        <f t="shared" si="138"/>
        <v>Ja - 20% Reduzierung</v>
      </c>
      <c r="V671" s="4">
        <f t="shared" si="139"/>
        <v>20</v>
      </c>
      <c r="W671" s="19">
        <f t="shared" si="140"/>
        <v>0.95</v>
      </c>
      <c r="X671" s="5">
        <v>23</v>
      </c>
      <c r="Y671" s="28">
        <f t="shared" si="141"/>
        <v>5.47</v>
      </c>
      <c r="Z671" s="31" t="s">
        <v>173</v>
      </c>
      <c r="AA671" t="str">
        <f t="shared" si="142"/>
        <v>Buchungsfehler Wareneingang</v>
      </c>
    </row>
    <row r="672" spans="1:27" x14ac:dyDescent="0.35">
      <c r="A672" s="32" t="s">
        <v>17</v>
      </c>
      <c r="B672" s="2" t="str">
        <f>VLOOKUP(A672,Stammdaten!$A$3:$B$7,2,FALSE)</f>
        <v>Filiale West</v>
      </c>
      <c r="C672" s="3" t="str" cm="1">
        <f t="array" ref="C672">INDEX(Stammdaten!$A$11:$A$25,INT((ROW()-5)/12)+1 - INT((ROW()-5)/180)*15)</f>
        <v>A011</v>
      </c>
      <c r="D672" s="2" t="str">
        <f>VLOOKUP(C672,Stammdaten!$A$11:$B$25,2,FALSE)</f>
        <v>Mozzarella 125g</v>
      </c>
      <c r="E672" s="3" t="str">
        <f>VLOOKUP(C672,Stammdaten!$A$11:$C$25,3,FALSE)</f>
        <v>Käse</v>
      </c>
      <c r="F672" s="19">
        <f>VLOOKUP(C672,Stammdaten!$A$11:$D$25,4,FALSE)</f>
        <v>1.19</v>
      </c>
      <c r="G672" s="4">
        <f t="shared" si="130"/>
        <v>8</v>
      </c>
      <c r="H672" s="20" t="str">
        <f>VLOOKUP(G672,Stammdaten!$A$30:$B$41,2,FALSE)</f>
        <v>August</v>
      </c>
      <c r="I672" s="4">
        <v>398</v>
      </c>
      <c r="J672" s="4">
        <v>378</v>
      </c>
      <c r="K672" s="4">
        <f t="shared" si="131"/>
        <v>-20</v>
      </c>
      <c r="L672" s="27">
        <f t="shared" si="132"/>
        <v>-5.025125628140704</v>
      </c>
      <c r="M672" s="52" t="str">
        <f t="shared" si="133"/>
        <v>Schwund</v>
      </c>
      <c r="N672" s="28">
        <f t="shared" si="134"/>
        <v>23.799999999999997</v>
      </c>
      <c r="O672" s="5">
        <v>7</v>
      </c>
      <c r="P672" s="4">
        <v>3</v>
      </c>
      <c r="Q672" s="28">
        <f t="shared" si="135"/>
        <v>5.9499999999999993</v>
      </c>
      <c r="R672" s="50">
        <f t="shared" si="136"/>
        <v>7.1399999999999988</v>
      </c>
      <c r="S672" s="2" t="str">
        <f t="shared" si="137"/>
        <v>Normal</v>
      </c>
      <c r="T672" s="4">
        <v>0</v>
      </c>
      <c r="U672" s="4" t="str">
        <f t="shared" si="138"/>
        <v>Nein</v>
      </c>
      <c r="V672" s="4">
        <f t="shared" si="139"/>
        <v>0</v>
      </c>
      <c r="W672" s="19">
        <f t="shared" si="140"/>
        <v>1.19</v>
      </c>
      <c r="X672" s="5">
        <v>0</v>
      </c>
      <c r="Y672" s="28">
        <f t="shared" si="141"/>
        <v>0</v>
      </c>
      <c r="Z672" s="31" t="s">
        <v>172</v>
      </c>
      <c r="AA672" t="str">
        <f t="shared" si="142"/>
        <v>Prozessfehler</v>
      </c>
    </row>
    <row r="673" spans="1:27" x14ac:dyDescent="0.35">
      <c r="A673" s="32" t="s">
        <v>17</v>
      </c>
      <c r="B673" s="2" t="str">
        <f>VLOOKUP(A673,Stammdaten!$A$3:$B$7,2,FALSE)</f>
        <v>Filiale West</v>
      </c>
      <c r="C673" s="3" t="str" cm="1">
        <f t="array" ref="C673">INDEX(Stammdaten!$A$11:$A$25,INT((ROW()-5)/12)+1 - INT((ROW()-5)/180)*15)</f>
        <v>A011</v>
      </c>
      <c r="D673" s="2" t="str">
        <f>VLOOKUP(C673,Stammdaten!$A$11:$B$25,2,FALSE)</f>
        <v>Mozzarella 125g</v>
      </c>
      <c r="E673" s="3" t="str">
        <f>VLOOKUP(C673,Stammdaten!$A$11:$C$25,3,FALSE)</f>
        <v>Käse</v>
      </c>
      <c r="F673" s="19">
        <f>VLOOKUP(C673,Stammdaten!$A$11:$D$25,4,FALSE)</f>
        <v>1.19</v>
      </c>
      <c r="G673" s="4">
        <f t="shared" si="130"/>
        <v>9</v>
      </c>
      <c r="H673" s="20" t="str">
        <f>VLOOKUP(G673,Stammdaten!$A$30:$B$41,2,FALSE)</f>
        <v>September</v>
      </c>
      <c r="I673" s="4">
        <v>304</v>
      </c>
      <c r="J673" s="4">
        <v>291</v>
      </c>
      <c r="K673" s="4">
        <f t="shared" si="131"/>
        <v>-13</v>
      </c>
      <c r="L673" s="27">
        <f t="shared" si="132"/>
        <v>-4.2763157894736841</v>
      </c>
      <c r="M673" s="52" t="str">
        <f t="shared" si="133"/>
        <v>Schwund</v>
      </c>
      <c r="N673" s="28">
        <f t="shared" si="134"/>
        <v>15.469999999999999</v>
      </c>
      <c r="O673" s="5">
        <v>7</v>
      </c>
      <c r="P673" s="4">
        <v>4</v>
      </c>
      <c r="Q673" s="28">
        <f t="shared" si="135"/>
        <v>3.8674999999999997</v>
      </c>
      <c r="R673" s="50">
        <f t="shared" si="136"/>
        <v>4.6409999999999991</v>
      </c>
      <c r="S673" s="2" t="str">
        <f t="shared" si="137"/>
        <v>Normal</v>
      </c>
      <c r="T673" s="4">
        <v>0</v>
      </c>
      <c r="U673" s="4" t="str">
        <f t="shared" si="138"/>
        <v>Nein</v>
      </c>
      <c r="V673" s="4">
        <f t="shared" si="139"/>
        <v>0</v>
      </c>
      <c r="W673" s="19">
        <f t="shared" si="140"/>
        <v>1.19</v>
      </c>
      <c r="X673" s="5">
        <v>0</v>
      </c>
      <c r="Y673" s="28">
        <f t="shared" si="141"/>
        <v>0</v>
      </c>
      <c r="Z673" s="31" t="s">
        <v>172</v>
      </c>
      <c r="AA673" t="str">
        <f t="shared" si="142"/>
        <v>Prozessfehler</v>
      </c>
    </row>
    <row r="674" spans="1:27" x14ac:dyDescent="0.35">
      <c r="A674" s="32" t="s">
        <v>17</v>
      </c>
      <c r="B674" s="2" t="str">
        <f>VLOOKUP(A674,Stammdaten!$A$3:$B$7,2,FALSE)</f>
        <v>Filiale West</v>
      </c>
      <c r="C674" s="3" t="str" cm="1">
        <f t="array" ref="C674">INDEX(Stammdaten!$A$11:$A$25,INT((ROW()-5)/12)+1 - INT((ROW()-5)/180)*15)</f>
        <v>A011</v>
      </c>
      <c r="D674" s="2" t="str">
        <f>VLOOKUP(C674,Stammdaten!$A$11:$B$25,2,FALSE)</f>
        <v>Mozzarella 125g</v>
      </c>
      <c r="E674" s="3" t="str">
        <f>VLOOKUP(C674,Stammdaten!$A$11:$C$25,3,FALSE)</f>
        <v>Käse</v>
      </c>
      <c r="F674" s="19">
        <f>VLOOKUP(C674,Stammdaten!$A$11:$D$25,4,FALSE)</f>
        <v>1.19</v>
      </c>
      <c r="G674" s="4">
        <f t="shared" si="130"/>
        <v>10</v>
      </c>
      <c r="H674" s="20" t="str">
        <f>VLOOKUP(G674,Stammdaten!$A$30:$B$41,2,FALSE)</f>
        <v>Oktober</v>
      </c>
      <c r="I674" s="4">
        <v>317</v>
      </c>
      <c r="J674" s="4">
        <v>322</v>
      </c>
      <c r="K674" s="4">
        <f t="shared" si="131"/>
        <v>5</v>
      </c>
      <c r="L674" s="27">
        <f t="shared" si="132"/>
        <v>1.5772870662460567</v>
      </c>
      <c r="M674" s="52" t="str">
        <f t="shared" si="133"/>
        <v>Überbestand</v>
      </c>
      <c r="N674" s="28">
        <f t="shared" si="134"/>
        <v>5.9499999999999993</v>
      </c>
      <c r="O674" s="5">
        <v>9</v>
      </c>
      <c r="P674" s="4">
        <v>3</v>
      </c>
      <c r="Q674" s="28">
        <f t="shared" si="135"/>
        <v>0</v>
      </c>
      <c r="R674" s="50">
        <f t="shared" si="136"/>
        <v>0</v>
      </c>
      <c r="S674" s="2" t="str">
        <f t="shared" si="137"/>
        <v>Normal</v>
      </c>
      <c r="T674" s="4">
        <v>5</v>
      </c>
      <c r="U674" s="4" t="str">
        <f t="shared" si="138"/>
        <v>Nein</v>
      </c>
      <c r="V674" s="4">
        <f t="shared" si="139"/>
        <v>0</v>
      </c>
      <c r="W674" s="19">
        <f t="shared" si="140"/>
        <v>1.19</v>
      </c>
      <c r="X674" s="5">
        <v>0</v>
      </c>
      <c r="Y674" s="28">
        <f t="shared" si="141"/>
        <v>0</v>
      </c>
      <c r="Z674" s="31" t="s">
        <v>172</v>
      </c>
      <c r="AA674" t="str">
        <f t="shared" si="142"/>
        <v>Kassenfehler (Überbestand)</v>
      </c>
    </row>
    <row r="675" spans="1:27" x14ac:dyDescent="0.35">
      <c r="A675" s="32" t="s">
        <v>17</v>
      </c>
      <c r="B675" s="2" t="str">
        <f>VLOOKUP(A675,Stammdaten!$A$3:$B$7,2,FALSE)</f>
        <v>Filiale West</v>
      </c>
      <c r="C675" s="3" t="str" cm="1">
        <f t="array" ref="C675">INDEX(Stammdaten!$A$11:$A$25,INT((ROW()-5)/12)+1 - INT((ROW()-5)/180)*15)</f>
        <v>A011</v>
      </c>
      <c r="D675" s="2" t="str">
        <f>VLOOKUP(C675,Stammdaten!$A$11:$B$25,2,FALSE)</f>
        <v>Mozzarella 125g</v>
      </c>
      <c r="E675" s="3" t="str">
        <f>VLOOKUP(C675,Stammdaten!$A$11:$C$25,3,FALSE)</f>
        <v>Käse</v>
      </c>
      <c r="F675" s="19">
        <f>VLOOKUP(C675,Stammdaten!$A$11:$D$25,4,FALSE)</f>
        <v>1.19</v>
      </c>
      <c r="G675" s="4">
        <f t="shared" si="130"/>
        <v>11</v>
      </c>
      <c r="H675" s="20" t="str">
        <f>VLOOKUP(G675,Stammdaten!$A$30:$B$41,2,FALSE)</f>
        <v>November</v>
      </c>
      <c r="I675" s="4">
        <v>378</v>
      </c>
      <c r="J675" s="4">
        <v>361</v>
      </c>
      <c r="K675" s="4">
        <f t="shared" si="131"/>
        <v>-17</v>
      </c>
      <c r="L675" s="27">
        <f t="shared" si="132"/>
        <v>-4.4973544973544968</v>
      </c>
      <c r="M675" s="52" t="str">
        <f t="shared" si="133"/>
        <v>Schwund</v>
      </c>
      <c r="N675" s="28">
        <f t="shared" si="134"/>
        <v>20.23</v>
      </c>
      <c r="O675" s="5">
        <v>7</v>
      </c>
      <c r="P675" s="4">
        <v>1</v>
      </c>
      <c r="Q675" s="28">
        <f t="shared" si="135"/>
        <v>5.0575000000000001</v>
      </c>
      <c r="R675" s="50">
        <f t="shared" si="136"/>
        <v>6.069</v>
      </c>
      <c r="S675" s="2" t="str">
        <f t="shared" si="137"/>
        <v>Black Friday</v>
      </c>
      <c r="T675" s="4">
        <v>0</v>
      </c>
      <c r="U675" s="4" t="str">
        <f t="shared" si="138"/>
        <v>Nein</v>
      </c>
      <c r="V675" s="4">
        <f t="shared" si="139"/>
        <v>0</v>
      </c>
      <c r="W675" s="19">
        <f t="shared" si="140"/>
        <v>1.19</v>
      </c>
      <c r="X675" s="5">
        <v>0</v>
      </c>
      <c r="Y675" s="28">
        <f t="shared" si="141"/>
        <v>0</v>
      </c>
      <c r="Z675" s="31" t="s">
        <v>172</v>
      </c>
      <c r="AA675" t="str">
        <f t="shared" si="142"/>
        <v>Buchungsfehler Wareneingang</v>
      </c>
    </row>
    <row r="676" spans="1:27" x14ac:dyDescent="0.35">
      <c r="A676" s="32" t="s">
        <v>17</v>
      </c>
      <c r="B676" s="2" t="str">
        <f>VLOOKUP(A676,Stammdaten!$A$3:$B$7,2,FALSE)</f>
        <v>Filiale West</v>
      </c>
      <c r="C676" s="3" t="str" cm="1">
        <f t="array" ref="C676">INDEX(Stammdaten!$A$11:$A$25,INT((ROW()-5)/12)+1 - INT((ROW()-5)/180)*15)</f>
        <v>A011</v>
      </c>
      <c r="D676" s="2" t="str">
        <f>VLOOKUP(C676,Stammdaten!$A$11:$B$25,2,FALSE)</f>
        <v>Mozzarella 125g</v>
      </c>
      <c r="E676" s="3" t="str">
        <f>VLOOKUP(C676,Stammdaten!$A$11:$C$25,3,FALSE)</f>
        <v>Käse</v>
      </c>
      <c r="F676" s="19">
        <f>VLOOKUP(C676,Stammdaten!$A$11:$D$25,4,FALSE)</f>
        <v>1.19</v>
      </c>
      <c r="G676" s="4">
        <f t="shared" si="130"/>
        <v>12</v>
      </c>
      <c r="H676" s="20" t="str">
        <f>VLOOKUP(G676,Stammdaten!$A$30:$B$41,2,FALSE)</f>
        <v>Dezember</v>
      </c>
      <c r="I676" s="4">
        <v>444</v>
      </c>
      <c r="J676" s="4">
        <v>418</v>
      </c>
      <c r="K676" s="4">
        <f t="shared" si="131"/>
        <v>-26</v>
      </c>
      <c r="L676" s="27">
        <f t="shared" si="132"/>
        <v>-5.8558558558558556</v>
      </c>
      <c r="M676" s="52" t="str">
        <f t="shared" si="133"/>
        <v>Schwund</v>
      </c>
      <c r="N676" s="28">
        <f t="shared" si="134"/>
        <v>30.939999999999998</v>
      </c>
      <c r="O676" s="5">
        <v>0</v>
      </c>
      <c r="P676" s="4">
        <v>2</v>
      </c>
      <c r="Q676" s="28">
        <f t="shared" si="135"/>
        <v>7.7349999999999994</v>
      </c>
      <c r="R676" s="50">
        <f t="shared" si="136"/>
        <v>9.2819999999999983</v>
      </c>
      <c r="S676" s="2" t="str">
        <f t="shared" si="137"/>
        <v>Weihnachten/Silvester</v>
      </c>
      <c r="T676" s="4">
        <v>0</v>
      </c>
      <c r="U676" s="4" t="str">
        <f t="shared" si="138"/>
        <v>Abschreibung</v>
      </c>
      <c r="V676" s="4">
        <f t="shared" si="139"/>
        <v>100</v>
      </c>
      <c r="W676" s="19">
        <f t="shared" si="140"/>
        <v>0</v>
      </c>
      <c r="X676" s="5">
        <v>4</v>
      </c>
      <c r="Y676" s="28">
        <f t="shared" si="141"/>
        <v>4.76</v>
      </c>
      <c r="Z676" s="31" t="s">
        <v>173</v>
      </c>
      <c r="AA676" t="str">
        <f t="shared" si="142"/>
        <v>Verderb - Abgelaufen</v>
      </c>
    </row>
    <row r="677" spans="1:27" x14ac:dyDescent="0.35">
      <c r="A677" s="32" t="s">
        <v>17</v>
      </c>
      <c r="B677" s="2" t="str">
        <f>VLOOKUP(A677,Stammdaten!$A$3:$B$7,2,FALSE)</f>
        <v>Filiale West</v>
      </c>
      <c r="C677" s="3" t="str" cm="1">
        <f t="array" ref="C677">INDEX(Stammdaten!$A$11:$A$25,INT((ROW()-5)/12)+1 - INT((ROW()-5)/180)*15)</f>
        <v>A012</v>
      </c>
      <c r="D677" s="2" t="str">
        <f>VLOOKUP(C677,Stammdaten!$A$11:$B$25,2,FALSE)</f>
        <v>Quark 500g</v>
      </c>
      <c r="E677" s="3" t="str">
        <f>VLOOKUP(C677,Stammdaten!$A$11:$C$25,3,FALSE)</f>
        <v>Quark</v>
      </c>
      <c r="F677" s="19">
        <f>VLOOKUP(C677,Stammdaten!$A$11:$D$25,4,FALSE)</f>
        <v>1.39</v>
      </c>
      <c r="G677" s="4">
        <f t="shared" si="130"/>
        <v>1</v>
      </c>
      <c r="H677" s="20" t="str">
        <f>VLOOKUP(G677,Stammdaten!$A$30:$B$41,2,FALSE)</f>
        <v>Januar</v>
      </c>
      <c r="I677" s="4">
        <v>388</v>
      </c>
      <c r="J677" s="4">
        <v>381</v>
      </c>
      <c r="K677" s="4">
        <f t="shared" si="131"/>
        <v>-7</v>
      </c>
      <c r="L677" s="27">
        <f t="shared" si="132"/>
        <v>-1.804123711340206</v>
      </c>
      <c r="M677" s="52" t="str">
        <f t="shared" si="133"/>
        <v>Schwund</v>
      </c>
      <c r="N677" s="28">
        <f t="shared" si="134"/>
        <v>9.7299999999999986</v>
      </c>
      <c r="O677" s="5">
        <v>5</v>
      </c>
      <c r="P677" s="4">
        <v>0</v>
      </c>
      <c r="Q677" s="28">
        <f t="shared" si="135"/>
        <v>2.4324999999999997</v>
      </c>
      <c r="R677" s="50">
        <f t="shared" si="136"/>
        <v>2.9189999999999996</v>
      </c>
      <c r="S677" s="2" t="str">
        <f t="shared" si="137"/>
        <v>Normal</v>
      </c>
      <c r="T677" s="4">
        <v>0</v>
      </c>
      <c r="U677" s="4" t="str">
        <f t="shared" si="138"/>
        <v>Nein</v>
      </c>
      <c r="V677" s="4">
        <f t="shared" si="139"/>
        <v>0</v>
      </c>
      <c r="W677" s="19">
        <f t="shared" si="140"/>
        <v>1.39</v>
      </c>
      <c r="X677" s="5">
        <v>0</v>
      </c>
      <c r="Y677" s="28">
        <f t="shared" si="141"/>
        <v>0</v>
      </c>
      <c r="Z677" s="31" t="s">
        <v>172</v>
      </c>
      <c r="AA677" t="str">
        <f t="shared" si="142"/>
        <v>Normal/Gering</v>
      </c>
    </row>
    <row r="678" spans="1:27" x14ac:dyDescent="0.35">
      <c r="A678" s="32" t="s">
        <v>17</v>
      </c>
      <c r="B678" s="2" t="str">
        <f>VLOOKUP(A678,Stammdaten!$A$3:$B$7,2,FALSE)</f>
        <v>Filiale West</v>
      </c>
      <c r="C678" s="3" t="str" cm="1">
        <f t="array" ref="C678">INDEX(Stammdaten!$A$11:$A$25,INT((ROW()-5)/12)+1 - INT((ROW()-5)/180)*15)</f>
        <v>A012</v>
      </c>
      <c r="D678" s="2" t="str">
        <f>VLOOKUP(C678,Stammdaten!$A$11:$B$25,2,FALSE)</f>
        <v>Quark 500g</v>
      </c>
      <c r="E678" s="3" t="str">
        <f>VLOOKUP(C678,Stammdaten!$A$11:$C$25,3,FALSE)</f>
        <v>Quark</v>
      </c>
      <c r="F678" s="19">
        <f>VLOOKUP(C678,Stammdaten!$A$11:$D$25,4,FALSE)</f>
        <v>1.39</v>
      </c>
      <c r="G678" s="4">
        <f t="shared" si="130"/>
        <v>2</v>
      </c>
      <c r="H678" s="20" t="str">
        <f>VLOOKUP(G678,Stammdaten!$A$30:$B$41,2,FALSE)</f>
        <v>Februar</v>
      </c>
      <c r="I678" s="4">
        <v>393</v>
      </c>
      <c r="J678" s="4">
        <v>383</v>
      </c>
      <c r="K678" s="4">
        <f t="shared" si="131"/>
        <v>-10</v>
      </c>
      <c r="L678" s="27">
        <f t="shared" si="132"/>
        <v>-2.5445292620865136</v>
      </c>
      <c r="M678" s="52" t="str">
        <f t="shared" si="133"/>
        <v>Schwund</v>
      </c>
      <c r="N678" s="28">
        <f t="shared" si="134"/>
        <v>13.899999999999999</v>
      </c>
      <c r="O678" s="5">
        <v>5</v>
      </c>
      <c r="P678" s="4">
        <v>0</v>
      </c>
      <c r="Q678" s="28">
        <f t="shared" si="135"/>
        <v>3.4749999999999996</v>
      </c>
      <c r="R678" s="50">
        <f t="shared" si="136"/>
        <v>4.169999999999999</v>
      </c>
      <c r="S678" s="2" t="str">
        <f t="shared" si="137"/>
        <v>Karneval</v>
      </c>
      <c r="T678" s="4">
        <v>0</v>
      </c>
      <c r="U678" s="4" t="str">
        <f t="shared" si="138"/>
        <v>Nein</v>
      </c>
      <c r="V678" s="4">
        <f t="shared" si="139"/>
        <v>0</v>
      </c>
      <c r="W678" s="19">
        <f t="shared" si="140"/>
        <v>1.39</v>
      </c>
      <c r="X678" s="5">
        <v>0</v>
      </c>
      <c r="Y678" s="28">
        <f t="shared" si="141"/>
        <v>0</v>
      </c>
      <c r="Z678" s="31" t="s">
        <v>172</v>
      </c>
      <c r="AA678" t="str">
        <f t="shared" si="142"/>
        <v>Buchungsfehler Wareneingang</v>
      </c>
    </row>
    <row r="679" spans="1:27" x14ac:dyDescent="0.35">
      <c r="A679" s="32" t="s">
        <v>17</v>
      </c>
      <c r="B679" s="2" t="str">
        <f>VLOOKUP(A679,Stammdaten!$A$3:$B$7,2,FALSE)</f>
        <v>Filiale West</v>
      </c>
      <c r="C679" s="3" t="str" cm="1">
        <f t="array" ref="C679">INDEX(Stammdaten!$A$11:$A$25,INT((ROW()-5)/12)+1 - INT((ROW()-5)/180)*15)</f>
        <v>A012</v>
      </c>
      <c r="D679" s="2" t="str">
        <f>VLOOKUP(C679,Stammdaten!$A$11:$B$25,2,FALSE)</f>
        <v>Quark 500g</v>
      </c>
      <c r="E679" s="3" t="str">
        <f>VLOOKUP(C679,Stammdaten!$A$11:$C$25,3,FALSE)</f>
        <v>Quark</v>
      </c>
      <c r="F679" s="19">
        <f>VLOOKUP(C679,Stammdaten!$A$11:$D$25,4,FALSE)</f>
        <v>1.39</v>
      </c>
      <c r="G679" s="4">
        <f t="shared" si="130"/>
        <v>3</v>
      </c>
      <c r="H679" s="20" t="str">
        <f>VLOOKUP(G679,Stammdaten!$A$30:$B$41,2,FALSE)</f>
        <v>März</v>
      </c>
      <c r="I679" s="4">
        <v>453</v>
      </c>
      <c r="J679" s="4">
        <v>439</v>
      </c>
      <c r="K679" s="4">
        <f t="shared" si="131"/>
        <v>-14</v>
      </c>
      <c r="L679" s="27">
        <f t="shared" si="132"/>
        <v>-3.0905077262693159</v>
      </c>
      <c r="M679" s="52" t="str">
        <f t="shared" si="133"/>
        <v>Schwund</v>
      </c>
      <c r="N679" s="28">
        <f t="shared" si="134"/>
        <v>19.459999999999997</v>
      </c>
      <c r="O679" s="5">
        <v>8</v>
      </c>
      <c r="P679" s="4">
        <v>5</v>
      </c>
      <c r="Q679" s="28">
        <f t="shared" si="135"/>
        <v>4.8649999999999993</v>
      </c>
      <c r="R679" s="50">
        <f t="shared" si="136"/>
        <v>5.8379999999999992</v>
      </c>
      <c r="S679" s="2" t="str">
        <f t="shared" si="137"/>
        <v>Normal</v>
      </c>
      <c r="T679" s="4">
        <v>0</v>
      </c>
      <c r="U679" s="4" t="str">
        <f t="shared" si="138"/>
        <v>Nein</v>
      </c>
      <c r="V679" s="4">
        <f t="shared" si="139"/>
        <v>0</v>
      </c>
      <c r="W679" s="19">
        <f t="shared" si="140"/>
        <v>1.39</v>
      </c>
      <c r="X679" s="5">
        <v>0</v>
      </c>
      <c r="Y679" s="28">
        <f t="shared" si="141"/>
        <v>0</v>
      </c>
      <c r="Z679" s="31" t="s">
        <v>172</v>
      </c>
      <c r="AA679" t="str">
        <f t="shared" si="142"/>
        <v>Prozessfehler</v>
      </c>
    </row>
    <row r="680" spans="1:27" x14ac:dyDescent="0.35">
      <c r="A680" s="32" t="s">
        <v>17</v>
      </c>
      <c r="B680" s="2" t="str">
        <f>VLOOKUP(A680,Stammdaten!$A$3:$B$7,2,FALSE)</f>
        <v>Filiale West</v>
      </c>
      <c r="C680" s="3" t="str" cm="1">
        <f t="array" ref="C680">INDEX(Stammdaten!$A$11:$A$25,INT((ROW()-5)/12)+1 - INT((ROW()-5)/180)*15)</f>
        <v>A012</v>
      </c>
      <c r="D680" s="2" t="str">
        <f>VLOOKUP(C680,Stammdaten!$A$11:$B$25,2,FALSE)</f>
        <v>Quark 500g</v>
      </c>
      <c r="E680" s="3" t="str">
        <f>VLOOKUP(C680,Stammdaten!$A$11:$C$25,3,FALSE)</f>
        <v>Quark</v>
      </c>
      <c r="F680" s="19">
        <f>VLOOKUP(C680,Stammdaten!$A$11:$D$25,4,FALSE)</f>
        <v>1.39</v>
      </c>
      <c r="G680" s="4">
        <f t="shared" si="130"/>
        <v>4</v>
      </c>
      <c r="H680" s="20" t="str">
        <f>VLOOKUP(G680,Stammdaten!$A$30:$B$41,2,FALSE)</f>
        <v>April</v>
      </c>
      <c r="I680" s="4">
        <v>534</v>
      </c>
      <c r="J680" s="4">
        <v>517</v>
      </c>
      <c r="K680" s="4">
        <f t="shared" si="131"/>
        <v>-17</v>
      </c>
      <c r="L680" s="27">
        <f t="shared" si="132"/>
        <v>-3.1835205992509366</v>
      </c>
      <c r="M680" s="52" t="str">
        <f t="shared" si="133"/>
        <v>Schwund</v>
      </c>
      <c r="N680" s="28">
        <f t="shared" si="134"/>
        <v>23.63</v>
      </c>
      <c r="O680" s="5">
        <v>14</v>
      </c>
      <c r="P680" s="4">
        <v>2</v>
      </c>
      <c r="Q680" s="28">
        <f t="shared" si="135"/>
        <v>5.9074999999999998</v>
      </c>
      <c r="R680" s="50">
        <f t="shared" si="136"/>
        <v>7.0889999999999995</v>
      </c>
      <c r="S680" s="2" t="str">
        <f t="shared" si="137"/>
        <v>Ostern</v>
      </c>
      <c r="T680" s="4">
        <v>0</v>
      </c>
      <c r="U680" s="4" t="str">
        <f t="shared" si="138"/>
        <v>Nein</v>
      </c>
      <c r="V680" s="4">
        <f t="shared" si="139"/>
        <v>0</v>
      </c>
      <c r="W680" s="19">
        <f t="shared" si="140"/>
        <v>1.39</v>
      </c>
      <c r="X680" s="5">
        <v>0</v>
      </c>
      <c r="Y680" s="28">
        <f t="shared" si="141"/>
        <v>0</v>
      </c>
      <c r="Z680" s="31" t="s">
        <v>172</v>
      </c>
      <c r="AA680" t="str">
        <f t="shared" si="142"/>
        <v>Prozessfehler</v>
      </c>
    </row>
    <row r="681" spans="1:27" x14ac:dyDescent="0.35">
      <c r="A681" s="32" t="s">
        <v>17</v>
      </c>
      <c r="B681" s="2" t="str">
        <f>VLOOKUP(A681,Stammdaten!$A$3:$B$7,2,FALSE)</f>
        <v>Filiale West</v>
      </c>
      <c r="C681" s="3" t="str" cm="1">
        <f t="array" ref="C681">INDEX(Stammdaten!$A$11:$A$25,INT((ROW()-5)/12)+1 - INT((ROW()-5)/180)*15)</f>
        <v>A012</v>
      </c>
      <c r="D681" s="2" t="str">
        <f>VLOOKUP(C681,Stammdaten!$A$11:$B$25,2,FALSE)</f>
        <v>Quark 500g</v>
      </c>
      <c r="E681" s="3" t="str">
        <f>VLOOKUP(C681,Stammdaten!$A$11:$C$25,3,FALSE)</f>
        <v>Quark</v>
      </c>
      <c r="F681" s="19">
        <f>VLOOKUP(C681,Stammdaten!$A$11:$D$25,4,FALSE)</f>
        <v>1.39</v>
      </c>
      <c r="G681" s="4">
        <f t="shared" si="130"/>
        <v>5</v>
      </c>
      <c r="H681" s="20" t="str">
        <f>VLOOKUP(G681,Stammdaten!$A$30:$B$41,2,FALSE)</f>
        <v>Mai</v>
      </c>
      <c r="I681" s="4">
        <v>453</v>
      </c>
      <c r="J681" s="4">
        <v>442</v>
      </c>
      <c r="K681" s="4">
        <f t="shared" si="131"/>
        <v>-11</v>
      </c>
      <c r="L681" s="27">
        <f t="shared" si="132"/>
        <v>-2.4282560706401766</v>
      </c>
      <c r="M681" s="52" t="str">
        <f t="shared" si="133"/>
        <v>Schwund</v>
      </c>
      <c r="N681" s="28">
        <f t="shared" si="134"/>
        <v>15.29</v>
      </c>
      <c r="O681" s="5">
        <v>14</v>
      </c>
      <c r="P681" s="4">
        <v>0</v>
      </c>
      <c r="Q681" s="28">
        <f t="shared" si="135"/>
        <v>3.8224999999999998</v>
      </c>
      <c r="R681" s="50">
        <f t="shared" si="136"/>
        <v>4.5869999999999997</v>
      </c>
      <c r="S681" s="2" t="str">
        <f t="shared" si="137"/>
        <v>Normal</v>
      </c>
      <c r="T681" s="4">
        <v>0</v>
      </c>
      <c r="U681" s="4" t="str">
        <f t="shared" si="138"/>
        <v>Nein</v>
      </c>
      <c r="V681" s="4">
        <f t="shared" si="139"/>
        <v>0</v>
      </c>
      <c r="W681" s="19">
        <f t="shared" si="140"/>
        <v>1.39</v>
      </c>
      <c r="X681" s="5">
        <v>0</v>
      </c>
      <c r="Y681" s="28">
        <f t="shared" si="141"/>
        <v>0</v>
      </c>
      <c r="Z681" s="31" t="s">
        <v>172</v>
      </c>
      <c r="AA681" t="str">
        <f t="shared" si="142"/>
        <v>Buchungsfehler Wareneingang</v>
      </c>
    </row>
    <row r="682" spans="1:27" x14ac:dyDescent="0.35">
      <c r="A682" s="32" t="s">
        <v>17</v>
      </c>
      <c r="B682" s="2" t="str">
        <f>VLOOKUP(A682,Stammdaten!$A$3:$B$7,2,FALSE)</f>
        <v>Filiale West</v>
      </c>
      <c r="C682" s="3" t="str" cm="1">
        <f t="array" ref="C682">INDEX(Stammdaten!$A$11:$A$25,INT((ROW()-5)/12)+1 - INT((ROW()-5)/180)*15)</f>
        <v>A012</v>
      </c>
      <c r="D682" s="2" t="str">
        <f>VLOOKUP(C682,Stammdaten!$A$11:$B$25,2,FALSE)</f>
        <v>Quark 500g</v>
      </c>
      <c r="E682" s="3" t="str">
        <f>VLOOKUP(C682,Stammdaten!$A$11:$C$25,3,FALSE)</f>
        <v>Quark</v>
      </c>
      <c r="F682" s="19">
        <f>VLOOKUP(C682,Stammdaten!$A$11:$D$25,4,FALSE)</f>
        <v>1.39</v>
      </c>
      <c r="G682" s="4">
        <f t="shared" si="130"/>
        <v>6</v>
      </c>
      <c r="H682" s="20" t="str">
        <f>VLOOKUP(G682,Stammdaten!$A$30:$B$41,2,FALSE)</f>
        <v>Juni</v>
      </c>
      <c r="I682" s="4">
        <v>479</v>
      </c>
      <c r="J682" s="4">
        <v>466</v>
      </c>
      <c r="K682" s="4">
        <f t="shared" si="131"/>
        <v>-13</v>
      </c>
      <c r="L682" s="27">
        <f t="shared" si="132"/>
        <v>-2.7139874739039667</v>
      </c>
      <c r="M682" s="52" t="str">
        <f t="shared" si="133"/>
        <v>Schwund</v>
      </c>
      <c r="N682" s="28">
        <f t="shared" si="134"/>
        <v>18.07</v>
      </c>
      <c r="O682" s="5">
        <v>10</v>
      </c>
      <c r="P682" s="4">
        <v>5</v>
      </c>
      <c r="Q682" s="28">
        <f t="shared" si="135"/>
        <v>4.5175000000000001</v>
      </c>
      <c r="R682" s="50">
        <f t="shared" si="136"/>
        <v>5.4210000000000003</v>
      </c>
      <c r="S682" s="2" t="str">
        <f t="shared" si="137"/>
        <v>Normal</v>
      </c>
      <c r="T682" s="4">
        <v>0</v>
      </c>
      <c r="U682" s="4" t="str">
        <f t="shared" si="138"/>
        <v>Nein</v>
      </c>
      <c r="V682" s="4">
        <f t="shared" si="139"/>
        <v>0</v>
      </c>
      <c r="W682" s="19">
        <f t="shared" si="140"/>
        <v>1.39</v>
      </c>
      <c r="X682" s="5">
        <v>0</v>
      </c>
      <c r="Y682" s="28">
        <f t="shared" si="141"/>
        <v>0</v>
      </c>
      <c r="Z682" s="31" t="s">
        <v>172</v>
      </c>
      <c r="AA682" t="str">
        <f t="shared" si="142"/>
        <v>Prozessfehler</v>
      </c>
    </row>
    <row r="683" spans="1:27" x14ac:dyDescent="0.35">
      <c r="A683" s="32" t="s">
        <v>17</v>
      </c>
      <c r="B683" s="2" t="str">
        <f>VLOOKUP(A683,Stammdaten!$A$3:$B$7,2,FALSE)</f>
        <v>Filiale West</v>
      </c>
      <c r="C683" s="3" t="str" cm="1">
        <f t="array" ref="C683">INDEX(Stammdaten!$A$11:$A$25,INT((ROW()-5)/12)+1 - INT((ROW()-5)/180)*15)</f>
        <v>A012</v>
      </c>
      <c r="D683" s="2" t="str">
        <f>VLOOKUP(C683,Stammdaten!$A$11:$B$25,2,FALSE)</f>
        <v>Quark 500g</v>
      </c>
      <c r="E683" s="3" t="str">
        <f>VLOOKUP(C683,Stammdaten!$A$11:$C$25,3,FALSE)</f>
        <v>Quark</v>
      </c>
      <c r="F683" s="19">
        <f>VLOOKUP(C683,Stammdaten!$A$11:$D$25,4,FALSE)</f>
        <v>1.39</v>
      </c>
      <c r="G683" s="4">
        <f t="shared" si="130"/>
        <v>7</v>
      </c>
      <c r="H683" s="20" t="str">
        <f>VLOOKUP(G683,Stammdaten!$A$30:$B$41,2,FALSE)</f>
        <v>Juli</v>
      </c>
      <c r="I683" s="4">
        <v>512</v>
      </c>
      <c r="J683" s="4">
        <v>491</v>
      </c>
      <c r="K683" s="4">
        <f t="shared" si="131"/>
        <v>-21</v>
      </c>
      <c r="L683" s="27">
        <f t="shared" si="132"/>
        <v>-4.1015625</v>
      </c>
      <c r="M683" s="52" t="str">
        <f t="shared" si="133"/>
        <v>Schwund</v>
      </c>
      <c r="N683" s="28">
        <f t="shared" si="134"/>
        <v>29.189999999999998</v>
      </c>
      <c r="O683" s="5">
        <v>10</v>
      </c>
      <c r="P683" s="4">
        <v>5</v>
      </c>
      <c r="Q683" s="28">
        <f t="shared" si="135"/>
        <v>7.2974999999999994</v>
      </c>
      <c r="R683" s="50">
        <f t="shared" si="136"/>
        <v>8.7569999999999997</v>
      </c>
      <c r="S683" s="2" t="str">
        <f t="shared" si="137"/>
        <v>Normal</v>
      </c>
      <c r="T683" s="4">
        <v>0</v>
      </c>
      <c r="U683" s="4" t="str">
        <f t="shared" si="138"/>
        <v>Nein</v>
      </c>
      <c r="V683" s="4">
        <f t="shared" si="139"/>
        <v>0</v>
      </c>
      <c r="W683" s="19">
        <f t="shared" si="140"/>
        <v>1.39</v>
      </c>
      <c r="X683" s="5">
        <v>0</v>
      </c>
      <c r="Y683" s="28">
        <f t="shared" si="141"/>
        <v>0</v>
      </c>
      <c r="Z683" s="31" t="s">
        <v>172</v>
      </c>
      <c r="AA683" t="str">
        <f t="shared" si="142"/>
        <v>Prozessfehler</v>
      </c>
    </row>
    <row r="684" spans="1:27" x14ac:dyDescent="0.35">
      <c r="A684" s="32" t="s">
        <v>17</v>
      </c>
      <c r="B684" s="2" t="str">
        <f>VLOOKUP(A684,Stammdaten!$A$3:$B$7,2,FALSE)</f>
        <v>Filiale West</v>
      </c>
      <c r="C684" s="3" t="str" cm="1">
        <f t="array" ref="C684">INDEX(Stammdaten!$A$11:$A$25,INT((ROW()-5)/12)+1 - INT((ROW()-5)/180)*15)</f>
        <v>A012</v>
      </c>
      <c r="D684" s="2" t="str">
        <f>VLOOKUP(C684,Stammdaten!$A$11:$B$25,2,FALSE)</f>
        <v>Quark 500g</v>
      </c>
      <c r="E684" s="3" t="str">
        <f>VLOOKUP(C684,Stammdaten!$A$11:$C$25,3,FALSE)</f>
        <v>Quark</v>
      </c>
      <c r="F684" s="19">
        <f>VLOOKUP(C684,Stammdaten!$A$11:$D$25,4,FALSE)</f>
        <v>1.39</v>
      </c>
      <c r="G684" s="4">
        <f t="shared" si="130"/>
        <v>8</v>
      </c>
      <c r="H684" s="20" t="str">
        <f>VLOOKUP(G684,Stammdaten!$A$30:$B$41,2,FALSE)</f>
        <v>August</v>
      </c>
      <c r="I684" s="4">
        <v>501</v>
      </c>
      <c r="J684" s="4">
        <v>478</v>
      </c>
      <c r="K684" s="4">
        <f t="shared" si="131"/>
        <v>-23</v>
      </c>
      <c r="L684" s="27">
        <f t="shared" si="132"/>
        <v>-4.5908183632734527</v>
      </c>
      <c r="M684" s="52" t="str">
        <f t="shared" si="133"/>
        <v>Schwund</v>
      </c>
      <c r="N684" s="28">
        <f t="shared" si="134"/>
        <v>31.97</v>
      </c>
      <c r="O684" s="5">
        <v>5</v>
      </c>
      <c r="P684" s="4">
        <v>0</v>
      </c>
      <c r="Q684" s="28">
        <f t="shared" si="135"/>
        <v>7.9924999999999997</v>
      </c>
      <c r="R684" s="50">
        <f t="shared" si="136"/>
        <v>9.5909999999999993</v>
      </c>
      <c r="S684" s="2" t="str">
        <f t="shared" si="137"/>
        <v>Normal</v>
      </c>
      <c r="T684" s="4">
        <v>0</v>
      </c>
      <c r="U684" s="4" t="str">
        <f t="shared" si="138"/>
        <v>Nein</v>
      </c>
      <c r="V684" s="4">
        <f t="shared" si="139"/>
        <v>0</v>
      </c>
      <c r="W684" s="19">
        <f t="shared" si="140"/>
        <v>1.39</v>
      </c>
      <c r="X684" s="5">
        <v>0</v>
      </c>
      <c r="Y684" s="28">
        <f t="shared" si="141"/>
        <v>0</v>
      </c>
      <c r="Z684" s="31" t="s">
        <v>172</v>
      </c>
      <c r="AA684" t="str">
        <f t="shared" si="142"/>
        <v>Buchungsfehler Wareneingang</v>
      </c>
    </row>
    <row r="685" spans="1:27" x14ac:dyDescent="0.35">
      <c r="A685" s="32" t="s">
        <v>17</v>
      </c>
      <c r="B685" s="2" t="str">
        <f>VLOOKUP(A685,Stammdaten!$A$3:$B$7,2,FALSE)</f>
        <v>Filiale West</v>
      </c>
      <c r="C685" s="3" t="str" cm="1">
        <f t="array" ref="C685">INDEX(Stammdaten!$A$11:$A$25,INT((ROW()-5)/12)+1 - INT((ROW()-5)/180)*15)</f>
        <v>A012</v>
      </c>
      <c r="D685" s="2" t="str">
        <f>VLOOKUP(C685,Stammdaten!$A$11:$B$25,2,FALSE)</f>
        <v>Quark 500g</v>
      </c>
      <c r="E685" s="3" t="str">
        <f>VLOOKUP(C685,Stammdaten!$A$11:$C$25,3,FALSE)</f>
        <v>Quark</v>
      </c>
      <c r="F685" s="19">
        <f>VLOOKUP(C685,Stammdaten!$A$11:$D$25,4,FALSE)</f>
        <v>1.39</v>
      </c>
      <c r="G685" s="4">
        <f t="shared" si="130"/>
        <v>9</v>
      </c>
      <c r="H685" s="20" t="str">
        <f>VLOOKUP(G685,Stammdaten!$A$30:$B$41,2,FALSE)</f>
        <v>September</v>
      </c>
      <c r="I685" s="4">
        <v>401</v>
      </c>
      <c r="J685" s="4">
        <v>387</v>
      </c>
      <c r="K685" s="4">
        <f t="shared" si="131"/>
        <v>-14</v>
      </c>
      <c r="L685" s="27">
        <f t="shared" si="132"/>
        <v>-3.4912718204488775</v>
      </c>
      <c r="M685" s="52" t="str">
        <f t="shared" si="133"/>
        <v>Schwund</v>
      </c>
      <c r="N685" s="28">
        <f t="shared" si="134"/>
        <v>19.459999999999997</v>
      </c>
      <c r="O685" s="5">
        <v>11</v>
      </c>
      <c r="P685" s="4">
        <v>3</v>
      </c>
      <c r="Q685" s="28">
        <f t="shared" si="135"/>
        <v>4.8649999999999993</v>
      </c>
      <c r="R685" s="50">
        <f t="shared" si="136"/>
        <v>5.8379999999999992</v>
      </c>
      <c r="S685" s="2" t="str">
        <f t="shared" si="137"/>
        <v>Normal</v>
      </c>
      <c r="T685" s="4">
        <v>0</v>
      </c>
      <c r="U685" s="4" t="str">
        <f t="shared" si="138"/>
        <v>Nein</v>
      </c>
      <c r="V685" s="4">
        <f t="shared" si="139"/>
        <v>0</v>
      </c>
      <c r="W685" s="19">
        <f t="shared" si="140"/>
        <v>1.39</v>
      </c>
      <c r="X685" s="5">
        <v>0</v>
      </c>
      <c r="Y685" s="28">
        <f t="shared" si="141"/>
        <v>0</v>
      </c>
      <c r="Z685" s="31" t="s">
        <v>172</v>
      </c>
      <c r="AA685" t="str">
        <f t="shared" si="142"/>
        <v>Prozessfehler</v>
      </c>
    </row>
    <row r="686" spans="1:27" x14ac:dyDescent="0.35">
      <c r="A686" s="32" t="s">
        <v>17</v>
      </c>
      <c r="B686" s="2" t="str">
        <f>VLOOKUP(A686,Stammdaten!$A$3:$B$7,2,FALSE)</f>
        <v>Filiale West</v>
      </c>
      <c r="C686" s="3" t="str" cm="1">
        <f t="array" ref="C686">INDEX(Stammdaten!$A$11:$A$25,INT((ROW()-5)/12)+1 - INT((ROW()-5)/180)*15)</f>
        <v>A012</v>
      </c>
      <c r="D686" s="2" t="str">
        <f>VLOOKUP(C686,Stammdaten!$A$11:$B$25,2,FALSE)</f>
        <v>Quark 500g</v>
      </c>
      <c r="E686" s="3" t="str">
        <f>VLOOKUP(C686,Stammdaten!$A$11:$C$25,3,FALSE)</f>
        <v>Quark</v>
      </c>
      <c r="F686" s="19">
        <f>VLOOKUP(C686,Stammdaten!$A$11:$D$25,4,FALSE)</f>
        <v>1.39</v>
      </c>
      <c r="G686" s="4">
        <f t="shared" si="130"/>
        <v>10</v>
      </c>
      <c r="H686" s="20" t="str">
        <f>VLOOKUP(G686,Stammdaten!$A$30:$B$41,2,FALSE)</f>
        <v>Oktober</v>
      </c>
      <c r="I686" s="4">
        <v>449</v>
      </c>
      <c r="J686" s="4">
        <v>437</v>
      </c>
      <c r="K686" s="4">
        <f t="shared" si="131"/>
        <v>-12</v>
      </c>
      <c r="L686" s="27">
        <f t="shared" si="132"/>
        <v>-2.6726057906458798</v>
      </c>
      <c r="M686" s="52" t="str">
        <f t="shared" si="133"/>
        <v>Schwund</v>
      </c>
      <c r="N686" s="28">
        <f t="shared" si="134"/>
        <v>16.68</v>
      </c>
      <c r="O686" s="5">
        <v>5</v>
      </c>
      <c r="P686" s="4">
        <v>4</v>
      </c>
      <c r="Q686" s="28">
        <f t="shared" si="135"/>
        <v>4.17</v>
      </c>
      <c r="R686" s="50">
        <f t="shared" si="136"/>
        <v>5.0039999999999996</v>
      </c>
      <c r="S686" s="2" t="str">
        <f t="shared" si="137"/>
        <v>Normal</v>
      </c>
      <c r="T686" s="4">
        <v>0</v>
      </c>
      <c r="U686" s="4" t="str">
        <f t="shared" si="138"/>
        <v>Nein</v>
      </c>
      <c r="V686" s="4">
        <f t="shared" si="139"/>
        <v>0</v>
      </c>
      <c r="W686" s="19">
        <f t="shared" si="140"/>
        <v>1.39</v>
      </c>
      <c r="X686" s="5">
        <v>0</v>
      </c>
      <c r="Y686" s="28">
        <f t="shared" si="141"/>
        <v>0</v>
      </c>
      <c r="Z686" s="31" t="s">
        <v>172</v>
      </c>
      <c r="AA686" t="str">
        <f t="shared" si="142"/>
        <v>Prozessfehler</v>
      </c>
    </row>
    <row r="687" spans="1:27" x14ac:dyDescent="0.35">
      <c r="A687" s="32" t="s">
        <v>17</v>
      </c>
      <c r="B687" s="2" t="str">
        <f>VLOOKUP(A687,Stammdaten!$A$3:$B$7,2,FALSE)</f>
        <v>Filiale West</v>
      </c>
      <c r="C687" s="3" t="str" cm="1">
        <f t="array" ref="C687">INDEX(Stammdaten!$A$11:$A$25,INT((ROW()-5)/12)+1 - INT((ROW()-5)/180)*15)</f>
        <v>A012</v>
      </c>
      <c r="D687" s="2" t="str">
        <f>VLOOKUP(C687,Stammdaten!$A$11:$B$25,2,FALSE)</f>
        <v>Quark 500g</v>
      </c>
      <c r="E687" s="3" t="str">
        <f>VLOOKUP(C687,Stammdaten!$A$11:$C$25,3,FALSE)</f>
        <v>Quark</v>
      </c>
      <c r="F687" s="19">
        <f>VLOOKUP(C687,Stammdaten!$A$11:$D$25,4,FALSE)</f>
        <v>1.39</v>
      </c>
      <c r="G687" s="4">
        <f t="shared" si="130"/>
        <v>11</v>
      </c>
      <c r="H687" s="20" t="str">
        <f>VLOOKUP(G687,Stammdaten!$A$30:$B$41,2,FALSE)</f>
        <v>November</v>
      </c>
      <c r="I687" s="4">
        <v>484</v>
      </c>
      <c r="J687" s="4">
        <v>463</v>
      </c>
      <c r="K687" s="4">
        <f t="shared" si="131"/>
        <v>-21</v>
      </c>
      <c r="L687" s="27">
        <f t="shared" si="132"/>
        <v>-4.338842975206612</v>
      </c>
      <c r="M687" s="52" t="str">
        <f t="shared" si="133"/>
        <v>Schwund</v>
      </c>
      <c r="N687" s="28">
        <f t="shared" si="134"/>
        <v>29.189999999999998</v>
      </c>
      <c r="O687" s="5">
        <v>6</v>
      </c>
      <c r="P687" s="4">
        <v>0</v>
      </c>
      <c r="Q687" s="28">
        <f t="shared" si="135"/>
        <v>7.2974999999999994</v>
      </c>
      <c r="R687" s="50">
        <f t="shared" si="136"/>
        <v>8.7569999999999997</v>
      </c>
      <c r="S687" s="2" t="str">
        <f t="shared" si="137"/>
        <v>Black Friday</v>
      </c>
      <c r="T687" s="4">
        <v>0</v>
      </c>
      <c r="U687" s="4" t="str">
        <f t="shared" si="138"/>
        <v>Nein</v>
      </c>
      <c r="V687" s="4">
        <f t="shared" si="139"/>
        <v>0</v>
      </c>
      <c r="W687" s="19">
        <f t="shared" si="140"/>
        <v>1.39</v>
      </c>
      <c r="X687" s="5">
        <v>0</v>
      </c>
      <c r="Y687" s="28">
        <f t="shared" si="141"/>
        <v>0</v>
      </c>
      <c r="Z687" s="31" t="s">
        <v>172</v>
      </c>
      <c r="AA687" t="str">
        <f t="shared" si="142"/>
        <v>Buchungsfehler Wareneingang</v>
      </c>
    </row>
    <row r="688" spans="1:27" x14ac:dyDescent="0.35">
      <c r="A688" s="32" t="s">
        <v>17</v>
      </c>
      <c r="B688" s="2" t="str">
        <f>VLOOKUP(A688,Stammdaten!$A$3:$B$7,2,FALSE)</f>
        <v>Filiale West</v>
      </c>
      <c r="C688" s="3" t="str" cm="1">
        <f t="array" ref="C688">INDEX(Stammdaten!$A$11:$A$25,INT((ROW()-5)/12)+1 - INT((ROW()-5)/180)*15)</f>
        <v>A012</v>
      </c>
      <c r="D688" s="2" t="str">
        <f>VLOOKUP(C688,Stammdaten!$A$11:$B$25,2,FALSE)</f>
        <v>Quark 500g</v>
      </c>
      <c r="E688" s="3" t="str">
        <f>VLOOKUP(C688,Stammdaten!$A$11:$C$25,3,FALSE)</f>
        <v>Quark</v>
      </c>
      <c r="F688" s="19">
        <f>VLOOKUP(C688,Stammdaten!$A$11:$D$25,4,FALSE)</f>
        <v>1.39</v>
      </c>
      <c r="G688" s="4">
        <f t="shared" si="130"/>
        <v>12</v>
      </c>
      <c r="H688" s="20" t="str">
        <f>VLOOKUP(G688,Stammdaten!$A$30:$B$41,2,FALSE)</f>
        <v>Dezember</v>
      </c>
      <c r="I688" s="4">
        <v>622</v>
      </c>
      <c r="J688" s="4">
        <v>600</v>
      </c>
      <c r="K688" s="4">
        <f t="shared" si="131"/>
        <v>-22</v>
      </c>
      <c r="L688" s="27">
        <f t="shared" si="132"/>
        <v>-3.536977491961415</v>
      </c>
      <c r="M688" s="52" t="str">
        <f t="shared" si="133"/>
        <v>Schwund</v>
      </c>
      <c r="N688" s="28">
        <f t="shared" si="134"/>
        <v>30.58</v>
      </c>
      <c r="O688" s="5">
        <v>10</v>
      </c>
      <c r="P688" s="4">
        <v>5</v>
      </c>
      <c r="Q688" s="28">
        <f t="shared" si="135"/>
        <v>7.6449999999999996</v>
      </c>
      <c r="R688" s="50">
        <f t="shared" si="136"/>
        <v>9.1739999999999995</v>
      </c>
      <c r="S688" s="2" t="str">
        <f t="shared" si="137"/>
        <v>Weihnachten/Silvester</v>
      </c>
      <c r="T688" s="4">
        <v>0</v>
      </c>
      <c r="U688" s="4" t="str">
        <f t="shared" si="138"/>
        <v>Nein</v>
      </c>
      <c r="V688" s="4">
        <f t="shared" si="139"/>
        <v>0</v>
      </c>
      <c r="W688" s="19">
        <f t="shared" si="140"/>
        <v>1.39</v>
      </c>
      <c r="X688" s="5">
        <v>0</v>
      </c>
      <c r="Y688" s="28">
        <f t="shared" si="141"/>
        <v>0</v>
      </c>
      <c r="Z688" s="31" t="s">
        <v>172</v>
      </c>
      <c r="AA688" t="str">
        <f t="shared" si="142"/>
        <v>Prozessfehler</v>
      </c>
    </row>
    <row r="689" spans="1:27" x14ac:dyDescent="0.35">
      <c r="A689" s="32" t="s">
        <v>17</v>
      </c>
      <c r="B689" s="2" t="str">
        <f>VLOOKUP(A689,Stammdaten!$A$3:$B$7,2,FALSE)</f>
        <v>Filiale West</v>
      </c>
      <c r="C689" s="3" t="str" cm="1">
        <f t="array" ref="C689">INDEX(Stammdaten!$A$11:$A$25,INT((ROW()-5)/12)+1 - INT((ROW()-5)/180)*15)</f>
        <v>A013</v>
      </c>
      <c r="D689" s="2" t="str">
        <f>VLOOKUP(C689,Stammdaten!$A$11:$B$25,2,FALSE)</f>
        <v>Skyr 450g</v>
      </c>
      <c r="E689" s="3" t="str">
        <f>VLOOKUP(C689,Stammdaten!$A$11:$C$25,3,FALSE)</f>
        <v>Joghurt</v>
      </c>
      <c r="F689" s="19">
        <f>VLOOKUP(C689,Stammdaten!$A$11:$D$25,4,FALSE)</f>
        <v>1.99</v>
      </c>
      <c r="G689" s="4">
        <f t="shared" si="130"/>
        <v>1</v>
      </c>
      <c r="H689" s="20" t="str">
        <f>VLOOKUP(G689,Stammdaten!$A$30:$B$41,2,FALSE)</f>
        <v>Januar</v>
      </c>
      <c r="I689" s="4">
        <v>248</v>
      </c>
      <c r="J689" s="4">
        <v>250</v>
      </c>
      <c r="K689" s="4">
        <f t="shared" si="131"/>
        <v>2</v>
      </c>
      <c r="L689" s="27">
        <f t="shared" si="132"/>
        <v>0.80645161290322576</v>
      </c>
      <c r="M689" s="52" t="str">
        <f t="shared" si="133"/>
        <v>Überbestand</v>
      </c>
      <c r="N689" s="28">
        <f t="shared" si="134"/>
        <v>3.98</v>
      </c>
      <c r="O689" s="5">
        <v>3</v>
      </c>
      <c r="P689" s="4">
        <v>3</v>
      </c>
      <c r="Q689" s="28">
        <f t="shared" si="135"/>
        <v>0</v>
      </c>
      <c r="R689" s="50">
        <f t="shared" si="136"/>
        <v>0</v>
      </c>
      <c r="S689" s="2" t="str">
        <f t="shared" si="137"/>
        <v>Normal</v>
      </c>
      <c r="T689" s="4">
        <v>2</v>
      </c>
      <c r="U689" s="4" t="str">
        <f t="shared" si="138"/>
        <v>Ja - 20% Reduzierung</v>
      </c>
      <c r="V689" s="4">
        <f t="shared" si="139"/>
        <v>20</v>
      </c>
      <c r="W689" s="19">
        <f t="shared" si="140"/>
        <v>1.59</v>
      </c>
      <c r="X689" s="5">
        <v>12</v>
      </c>
      <c r="Y689" s="28">
        <f t="shared" si="141"/>
        <v>4.78</v>
      </c>
      <c r="Z689" s="31" t="s">
        <v>173</v>
      </c>
      <c r="AA689" t="str">
        <f t="shared" si="142"/>
        <v>Kassenfehler (Überbestand)</v>
      </c>
    </row>
    <row r="690" spans="1:27" x14ac:dyDescent="0.35">
      <c r="A690" s="32" t="s">
        <v>17</v>
      </c>
      <c r="B690" s="2" t="str">
        <f>VLOOKUP(A690,Stammdaten!$A$3:$B$7,2,FALSE)</f>
        <v>Filiale West</v>
      </c>
      <c r="C690" s="3" t="str" cm="1">
        <f t="array" ref="C690">INDEX(Stammdaten!$A$11:$A$25,INT((ROW()-5)/12)+1 - INT((ROW()-5)/180)*15)</f>
        <v>A013</v>
      </c>
      <c r="D690" s="2" t="str">
        <f>VLOOKUP(C690,Stammdaten!$A$11:$B$25,2,FALSE)</f>
        <v>Skyr 450g</v>
      </c>
      <c r="E690" s="3" t="str">
        <f>VLOOKUP(C690,Stammdaten!$A$11:$C$25,3,FALSE)</f>
        <v>Joghurt</v>
      </c>
      <c r="F690" s="19">
        <f>VLOOKUP(C690,Stammdaten!$A$11:$D$25,4,FALSE)</f>
        <v>1.99</v>
      </c>
      <c r="G690" s="4">
        <f t="shared" si="130"/>
        <v>2</v>
      </c>
      <c r="H690" s="20" t="str">
        <f>VLOOKUP(G690,Stammdaten!$A$30:$B$41,2,FALSE)</f>
        <v>Februar</v>
      </c>
      <c r="I690" s="4">
        <v>224</v>
      </c>
      <c r="J690" s="4">
        <v>224</v>
      </c>
      <c r="K690" s="4">
        <f t="shared" si="131"/>
        <v>0</v>
      </c>
      <c r="L690" s="27">
        <f t="shared" si="132"/>
        <v>0</v>
      </c>
      <c r="M690" s="52" t="str">
        <f t="shared" si="133"/>
        <v>Perfekt</v>
      </c>
      <c r="N690" s="28">
        <f t="shared" si="134"/>
        <v>0</v>
      </c>
      <c r="O690" s="5">
        <v>16</v>
      </c>
      <c r="P690" s="4">
        <v>6</v>
      </c>
      <c r="Q690" s="28">
        <f t="shared" si="135"/>
        <v>0</v>
      </c>
      <c r="R690" s="50">
        <f t="shared" si="136"/>
        <v>0</v>
      </c>
      <c r="S690" s="2" t="str">
        <f t="shared" si="137"/>
        <v>Karneval</v>
      </c>
      <c r="T690" s="4">
        <v>0</v>
      </c>
      <c r="U690" s="4" t="str">
        <f t="shared" si="138"/>
        <v>Nein</v>
      </c>
      <c r="V690" s="4">
        <f t="shared" si="139"/>
        <v>0</v>
      </c>
      <c r="W690" s="19">
        <f t="shared" si="140"/>
        <v>1.99</v>
      </c>
      <c r="X690" s="5">
        <v>0</v>
      </c>
      <c r="Y690" s="28">
        <f t="shared" si="141"/>
        <v>0</v>
      </c>
      <c r="Z690" s="31" t="s">
        <v>172</v>
      </c>
      <c r="AA690" t="str">
        <f t="shared" si="142"/>
        <v>Normal/Gering</v>
      </c>
    </row>
    <row r="691" spans="1:27" x14ac:dyDescent="0.35">
      <c r="A691" s="32" t="s">
        <v>17</v>
      </c>
      <c r="B691" s="2" t="str">
        <f>VLOOKUP(A691,Stammdaten!$A$3:$B$7,2,FALSE)</f>
        <v>Filiale West</v>
      </c>
      <c r="C691" s="3" t="str" cm="1">
        <f t="array" ref="C691">INDEX(Stammdaten!$A$11:$A$25,INT((ROW()-5)/12)+1 - INT((ROW()-5)/180)*15)</f>
        <v>A013</v>
      </c>
      <c r="D691" s="2" t="str">
        <f>VLOOKUP(C691,Stammdaten!$A$11:$B$25,2,FALSE)</f>
        <v>Skyr 450g</v>
      </c>
      <c r="E691" s="3" t="str">
        <f>VLOOKUP(C691,Stammdaten!$A$11:$C$25,3,FALSE)</f>
        <v>Joghurt</v>
      </c>
      <c r="F691" s="19">
        <f>VLOOKUP(C691,Stammdaten!$A$11:$D$25,4,FALSE)</f>
        <v>1.99</v>
      </c>
      <c r="G691" s="4">
        <f t="shared" si="130"/>
        <v>3</v>
      </c>
      <c r="H691" s="20" t="str">
        <f>VLOOKUP(G691,Stammdaten!$A$30:$B$41,2,FALSE)</f>
        <v>März</v>
      </c>
      <c r="I691" s="4">
        <v>297</v>
      </c>
      <c r="J691" s="4">
        <v>292</v>
      </c>
      <c r="K691" s="4">
        <f t="shared" si="131"/>
        <v>-5</v>
      </c>
      <c r="L691" s="27">
        <f t="shared" si="132"/>
        <v>-1.6835016835016834</v>
      </c>
      <c r="M691" s="52" t="str">
        <f t="shared" si="133"/>
        <v>Schwund</v>
      </c>
      <c r="N691" s="28">
        <f t="shared" si="134"/>
        <v>9.9499999999999993</v>
      </c>
      <c r="O691" s="5">
        <v>18</v>
      </c>
      <c r="P691" s="4">
        <v>2</v>
      </c>
      <c r="Q691" s="28">
        <f t="shared" si="135"/>
        <v>2.4874999999999998</v>
      </c>
      <c r="R691" s="50">
        <f t="shared" si="136"/>
        <v>2.9849999999999999</v>
      </c>
      <c r="S691" s="2" t="str">
        <f t="shared" si="137"/>
        <v>Normal</v>
      </c>
      <c r="T691" s="4">
        <v>0</v>
      </c>
      <c r="U691" s="4" t="str">
        <f t="shared" si="138"/>
        <v>Nein</v>
      </c>
      <c r="V691" s="4">
        <f t="shared" si="139"/>
        <v>0</v>
      </c>
      <c r="W691" s="19">
        <f t="shared" si="140"/>
        <v>1.99</v>
      </c>
      <c r="X691" s="5">
        <v>0</v>
      </c>
      <c r="Y691" s="28">
        <f t="shared" si="141"/>
        <v>0</v>
      </c>
      <c r="Z691" s="31" t="s">
        <v>172</v>
      </c>
      <c r="AA691" t="str">
        <f t="shared" si="142"/>
        <v>Normal/Gering</v>
      </c>
    </row>
    <row r="692" spans="1:27" x14ac:dyDescent="0.35">
      <c r="A692" s="32" t="s">
        <v>17</v>
      </c>
      <c r="B692" s="2" t="str">
        <f>VLOOKUP(A692,Stammdaten!$A$3:$B$7,2,FALSE)</f>
        <v>Filiale West</v>
      </c>
      <c r="C692" s="3" t="str" cm="1">
        <f t="array" ref="C692">INDEX(Stammdaten!$A$11:$A$25,INT((ROW()-5)/12)+1 - INT((ROW()-5)/180)*15)</f>
        <v>A013</v>
      </c>
      <c r="D692" s="2" t="str">
        <f>VLOOKUP(C692,Stammdaten!$A$11:$B$25,2,FALSE)</f>
        <v>Skyr 450g</v>
      </c>
      <c r="E692" s="3" t="str">
        <f>VLOOKUP(C692,Stammdaten!$A$11:$C$25,3,FALSE)</f>
        <v>Joghurt</v>
      </c>
      <c r="F692" s="19">
        <f>VLOOKUP(C692,Stammdaten!$A$11:$D$25,4,FALSE)</f>
        <v>1.99</v>
      </c>
      <c r="G692" s="4">
        <f t="shared" si="130"/>
        <v>4</v>
      </c>
      <c r="H692" s="20" t="str">
        <f>VLOOKUP(G692,Stammdaten!$A$30:$B$41,2,FALSE)</f>
        <v>April</v>
      </c>
      <c r="I692" s="4">
        <v>333</v>
      </c>
      <c r="J692" s="4">
        <v>333</v>
      </c>
      <c r="K692" s="4">
        <f t="shared" si="131"/>
        <v>0</v>
      </c>
      <c r="L692" s="27">
        <f t="shared" si="132"/>
        <v>0</v>
      </c>
      <c r="M692" s="52" t="str">
        <f t="shared" si="133"/>
        <v>Perfekt</v>
      </c>
      <c r="N692" s="28">
        <f t="shared" si="134"/>
        <v>0</v>
      </c>
      <c r="O692" s="5">
        <v>0</v>
      </c>
      <c r="P692" s="4">
        <v>1</v>
      </c>
      <c r="Q692" s="28">
        <f t="shared" si="135"/>
        <v>0</v>
      </c>
      <c r="R692" s="50">
        <f t="shared" si="136"/>
        <v>0</v>
      </c>
      <c r="S692" s="2" t="str">
        <f t="shared" si="137"/>
        <v>Ostern</v>
      </c>
      <c r="T692" s="4">
        <v>0</v>
      </c>
      <c r="U692" s="4" t="str">
        <f t="shared" si="138"/>
        <v>Abschreibung</v>
      </c>
      <c r="V692" s="4">
        <f t="shared" si="139"/>
        <v>100</v>
      </c>
      <c r="W692" s="19">
        <f t="shared" si="140"/>
        <v>0</v>
      </c>
      <c r="X692" s="5">
        <v>3</v>
      </c>
      <c r="Y692" s="28">
        <f t="shared" si="141"/>
        <v>5.97</v>
      </c>
      <c r="Z692" s="31" t="s">
        <v>173</v>
      </c>
      <c r="AA692" t="str">
        <f t="shared" si="142"/>
        <v>Verderb - Abgelaufen</v>
      </c>
    </row>
    <row r="693" spans="1:27" x14ac:dyDescent="0.35">
      <c r="A693" s="32" t="s">
        <v>17</v>
      </c>
      <c r="B693" s="2" t="str">
        <f>VLOOKUP(A693,Stammdaten!$A$3:$B$7,2,FALSE)</f>
        <v>Filiale West</v>
      </c>
      <c r="C693" s="3" t="str" cm="1">
        <f t="array" ref="C693">INDEX(Stammdaten!$A$11:$A$25,INT((ROW()-5)/12)+1 - INT((ROW()-5)/180)*15)</f>
        <v>A013</v>
      </c>
      <c r="D693" s="2" t="str">
        <f>VLOOKUP(C693,Stammdaten!$A$11:$B$25,2,FALSE)</f>
        <v>Skyr 450g</v>
      </c>
      <c r="E693" s="3" t="str">
        <f>VLOOKUP(C693,Stammdaten!$A$11:$C$25,3,FALSE)</f>
        <v>Joghurt</v>
      </c>
      <c r="F693" s="19">
        <f>VLOOKUP(C693,Stammdaten!$A$11:$D$25,4,FALSE)</f>
        <v>1.99</v>
      </c>
      <c r="G693" s="4">
        <f t="shared" si="130"/>
        <v>5</v>
      </c>
      <c r="H693" s="20" t="str">
        <f>VLOOKUP(G693,Stammdaten!$A$30:$B$41,2,FALSE)</f>
        <v>Mai</v>
      </c>
      <c r="I693" s="4">
        <v>272</v>
      </c>
      <c r="J693" s="4">
        <v>274</v>
      </c>
      <c r="K693" s="4">
        <f t="shared" si="131"/>
        <v>2</v>
      </c>
      <c r="L693" s="27">
        <f t="shared" si="132"/>
        <v>0.73529411764705876</v>
      </c>
      <c r="M693" s="52" t="str">
        <f t="shared" si="133"/>
        <v>Überbestand</v>
      </c>
      <c r="N693" s="28">
        <f t="shared" si="134"/>
        <v>3.98</v>
      </c>
      <c r="O693" s="5">
        <v>3</v>
      </c>
      <c r="P693" s="4">
        <v>7</v>
      </c>
      <c r="Q693" s="28">
        <f t="shared" si="135"/>
        <v>0</v>
      </c>
      <c r="R693" s="50">
        <f t="shared" si="136"/>
        <v>0</v>
      </c>
      <c r="S693" s="2" t="str">
        <f t="shared" si="137"/>
        <v>Normal</v>
      </c>
      <c r="T693" s="4">
        <v>2</v>
      </c>
      <c r="U693" s="4" t="str">
        <f t="shared" si="138"/>
        <v>Ja - 20% Reduzierung</v>
      </c>
      <c r="V693" s="4">
        <f t="shared" si="139"/>
        <v>20</v>
      </c>
      <c r="W693" s="19">
        <f t="shared" si="140"/>
        <v>1.59</v>
      </c>
      <c r="X693" s="5">
        <v>14</v>
      </c>
      <c r="Y693" s="28">
        <f t="shared" si="141"/>
        <v>5.57</v>
      </c>
      <c r="Z693" s="31" t="s">
        <v>173</v>
      </c>
      <c r="AA693" t="str">
        <f t="shared" si="142"/>
        <v>Kassenfehler (Überbestand)</v>
      </c>
    </row>
    <row r="694" spans="1:27" x14ac:dyDescent="0.35">
      <c r="A694" s="32" t="s">
        <v>17</v>
      </c>
      <c r="B694" s="2" t="str">
        <f>VLOOKUP(A694,Stammdaten!$A$3:$B$7,2,FALSE)</f>
        <v>Filiale West</v>
      </c>
      <c r="C694" s="3" t="str" cm="1">
        <f t="array" ref="C694">INDEX(Stammdaten!$A$11:$A$25,INT((ROW()-5)/12)+1 - INT((ROW()-5)/180)*15)</f>
        <v>A013</v>
      </c>
      <c r="D694" s="2" t="str">
        <f>VLOOKUP(C694,Stammdaten!$A$11:$B$25,2,FALSE)</f>
        <v>Skyr 450g</v>
      </c>
      <c r="E694" s="3" t="str">
        <f>VLOOKUP(C694,Stammdaten!$A$11:$C$25,3,FALSE)</f>
        <v>Joghurt</v>
      </c>
      <c r="F694" s="19">
        <f>VLOOKUP(C694,Stammdaten!$A$11:$D$25,4,FALSE)</f>
        <v>1.99</v>
      </c>
      <c r="G694" s="4">
        <f t="shared" si="130"/>
        <v>6</v>
      </c>
      <c r="H694" s="20" t="str">
        <f>VLOOKUP(G694,Stammdaten!$A$30:$B$41,2,FALSE)</f>
        <v>Juni</v>
      </c>
      <c r="I694" s="4">
        <v>296</v>
      </c>
      <c r="J694" s="4">
        <v>285</v>
      </c>
      <c r="K694" s="4">
        <f t="shared" si="131"/>
        <v>-11</v>
      </c>
      <c r="L694" s="27">
        <f t="shared" si="132"/>
        <v>-3.7162162162162162</v>
      </c>
      <c r="M694" s="52" t="str">
        <f t="shared" si="133"/>
        <v>Schwund</v>
      </c>
      <c r="N694" s="28">
        <f t="shared" si="134"/>
        <v>21.89</v>
      </c>
      <c r="O694" s="5">
        <v>1</v>
      </c>
      <c r="P694" s="4">
        <v>7</v>
      </c>
      <c r="Q694" s="28">
        <f t="shared" si="135"/>
        <v>5.4725000000000001</v>
      </c>
      <c r="R694" s="50">
        <f t="shared" si="136"/>
        <v>6.5670000000000002</v>
      </c>
      <c r="S694" s="2" t="str">
        <f t="shared" si="137"/>
        <v>Normal</v>
      </c>
      <c r="T694" s="4">
        <v>0</v>
      </c>
      <c r="U694" s="4" t="str">
        <f t="shared" si="138"/>
        <v>Ja - 20% Reduzierung</v>
      </c>
      <c r="V694" s="4">
        <f t="shared" si="139"/>
        <v>20</v>
      </c>
      <c r="W694" s="19">
        <f t="shared" si="140"/>
        <v>1.59</v>
      </c>
      <c r="X694" s="5">
        <v>27</v>
      </c>
      <c r="Y694" s="28">
        <f t="shared" si="141"/>
        <v>10.75</v>
      </c>
      <c r="Z694" s="31" t="s">
        <v>173</v>
      </c>
      <c r="AA694" t="str">
        <f t="shared" si="142"/>
        <v>Prozessfehler</v>
      </c>
    </row>
    <row r="695" spans="1:27" x14ac:dyDescent="0.35">
      <c r="A695" s="32" t="s">
        <v>17</v>
      </c>
      <c r="B695" s="2" t="str">
        <f>VLOOKUP(A695,Stammdaten!$A$3:$B$7,2,FALSE)</f>
        <v>Filiale West</v>
      </c>
      <c r="C695" s="3" t="str" cm="1">
        <f t="array" ref="C695">INDEX(Stammdaten!$A$11:$A$25,INT((ROW()-5)/12)+1 - INT((ROW()-5)/180)*15)</f>
        <v>A013</v>
      </c>
      <c r="D695" s="2" t="str">
        <f>VLOOKUP(C695,Stammdaten!$A$11:$B$25,2,FALSE)</f>
        <v>Skyr 450g</v>
      </c>
      <c r="E695" s="3" t="str">
        <f>VLOOKUP(C695,Stammdaten!$A$11:$C$25,3,FALSE)</f>
        <v>Joghurt</v>
      </c>
      <c r="F695" s="19">
        <f>VLOOKUP(C695,Stammdaten!$A$11:$D$25,4,FALSE)</f>
        <v>1.99</v>
      </c>
      <c r="G695" s="4">
        <f t="shared" si="130"/>
        <v>7</v>
      </c>
      <c r="H695" s="20" t="str">
        <f>VLOOKUP(G695,Stammdaten!$A$30:$B$41,2,FALSE)</f>
        <v>Juli</v>
      </c>
      <c r="I695" s="4">
        <v>314</v>
      </c>
      <c r="J695" s="4">
        <v>317</v>
      </c>
      <c r="K695" s="4">
        <f t="shared" si="131"/>
        <v>3</v>
      </c>
      <c r="L695" s="27">
        <f t="shared" si="132"/>
        <v>0.95541401273885351</v>
      </c>
      <c r="M695" s="52" t="str">
        <f t="shared" si="133"/>
        <v>Überbestand</v>
      </c>
      <c r="N695" s="28">
        <f t="shared" si="134"/>
        <v>5.97</v>
      </c>
      <c r="O695" s="5">
        <v>9</v>
      </c>
      <c r="P695" s="4">
        <v>5</v>
      </c>
      <c r="Q695" s="28">
        <f t="shared" si="135"/>
        <v>0</v>
      </c>
      <c r="R695" s="50">
        <f t="shared" si="136"/>
        <v>0</v>
      </c>
      <c r="S695" s="2" t="str">
        <f t="shared" si="137"/>
        <v>Normal</v>
      </c>
      <c r="T695" s="4">
        <v>3</v>
      </c>
      <c r="U695" s="4" t="str">
        <f t="shared" si="138"/>
        <v>Nein</v>
      </c>
      <c r="V695" s="4">
        <f t="shared" si="139"/>
        <v>0</v>
      </c>
      <c r="W695" s="19">
        <f t="shared" si="140"/>
        <v>1.99</v>
      </c>
      <c r="X695" s="5">
        <v>0</v>
      </c>
      <c r="Y695" s="28">
        <f t="shared" si="141"/>
        <v>0</v>
      </c>
      <c r="Z695" s="31" t="s">
        <v>172</v>
      </c>
      <c r="AA695" t="str">
        <f t="shared" si="142"/>
        <v>Kassenfehler (Überbestand)</v>
      </c>
    </row>
    <row r="696" spans="1:27" x14ac:dyDescent="0.35">
      <c r="A696" s="32" t="s">
        <v>17</v>
      </c>
      <c r="B696" s="2" t="str">
        <f>VLOOKUP(A696,Stammdaten!$A$3:$B$7,2,FALSE)</f>
        <v>Filiale West</v>
      </c>
      <c r="C696" s="3" t="str" cm="1">
        <f t="array" ref="C696">INDEX(Stammdaten!$A$11:$A$25,INT((ROW()-5)/12)+1 - INT((ROW()-5)/180)*15)</f>
        <v>A013</v>
      </c>
      <c r="D696" s="2" t="str">
        <f>VLOOKUP(C696,Stammdaten!$A$11:$B$25,2,FALSE)</f>
        <v>Skyr 450g</v>
      </c>
      <c r="E696" s="3" t="str">
        <f>VLOOKUP(C696,Stammdaten!$A$11:$C$25,3,FALSE)</f>
        <v>Joghurt</v>
      </c>
      <c r="F696" s="19">
        <f>VLOOKUP(C696,Stammdaten!$A$11:$D$25,4,FALSE)</f>
        <v>1.99</v>
      </c>
      <c r="G696" s="4">
        <f t="shared" si="130"/>
        <v>8</v>
      </c>
      <c r="H696" s="20" t="str">
        <f>VLOOKUP(G696,Stammdaten!$A$30:$B$41,2,FALSE)</f>
        <v>August</v>
      </c>
      <c r="I696" s="4">
        <v>316</v>
      </c>
      <c r="J696" s="4">
        <v>310</v>
      </c>
      <c r="K696" s="4">
        <f t="shared" si="131"/>
        <v>-6</v>
      </c>
      <c r="L696" s="27">
        <f t="shared" si="132"/>
        <v>-1.89873417721519</v>
      </c>
      <c r="M696" s="52" t="str">
        <f t="shared" si="133"/>
        <v>Schwund</v>
      </c>
      <c r="N696" s="28">
        <f t="shared" si="134"/>
        <v>11.94</v>
      </c>
      <c r="O696" s="5">
        <v>2</v>
      </c>
      <c r="P696" s="4">
        <v>0</v>
      </c>
      <c r="Q696" s="28">
        <f t="shared" si="135"/>
        <v>2.9849999999999999</v>
      </c>
      <c r="R696" s="50">
        <f t="shared" si="136"/>
        <v>3.5819999999999999</v>
      </c>
      <c r="S696" s="2" t="str">
        <f t="shared" si="137"/>
        <v>Normal</v>
      </c>
      <c r="T696" s="4">
        <v>0</v>
      </c>
      <c r="U696" s="4" t="str">
        <f t="shared" si="138"/>
        <v>Ja - 20% Reduzierung</v>
      </c>
      <c r="V696" s="4">
        <f t="shared" si="139"/>
        <v>20</v>
      </c>
      <c r="W696" s="19">
        <f t="shared" si="140"/>
        <v>1.59</v>
      </c>
      <c r="X696" s="5">
        <v>25</v>
      </c>
      <c r="Y696" s="28">
        <f t="shared" si="141"/>
        <v>9.9499999999999993</v>
      </c>
      <c r="Z696" s="31" t="s">
        <v>226</v>
      </c>
      <c r="AA696" t="str">
        <f t="shared" si="142"/>
        <v>MHD - Prozessfehler</v>
      </c>
    </row>
    <row r="697" spans="1:27" x14ac:dyDescent="0.35">
      <c r="A697" s="32" t="s">
        <v>17</v>
      </c>
      <c r="B697" s="2" t="str">
        <f>VLOOKUP(A697,Stammdaten!$A$3:$B$7,2,FALSE)</f>
        <v>Filiale West</v>
      </c>
      <c r="C697" s="3" t="str" cm="1">
        <f t="array" ref="C697">INDEX(Stammdaten!$A$11:$A$25,INT((ROW()-5)/12)+1 - INT((ROW()-5)/180)*15)</f>
        <v>A013</v>
      </c>
      <c r="D697" s="2" t="str">
        <f>VLOOKUP(C697,Stammdaten!$A$11:$B$25,2,FALSE)</f>
        <v>Skyr 450g</v>
      </c>
      <c r="E697" s="3" t="str">
        <f>VLOOKUP(C697,Stammdaten!$A$11:$C$25,3,FALSE)</f>
        <v>Joghurt</v>
      </c>
      <c r="F697" s="19">
        <f>VLOOKUP(C697,Stammdaten!$A$11:$D$25,4,FALSE)</f>
        <v>1.99</v>
      </c>
      <c r="G697" s="4">
        <f t="shared" si="130"/>
        <v>9</v>
      </c>
      <c r="H697" s="20" t="str">
        <f>VLOOKUP(G697,Stammdaten!$A$30:$B$41,2,FALSE)</f>
        <v>September</v>
      </c>
      <c r="I697" s="4">
        <v>256</v>
      </c>
      <c r="J697" s="4">
        <v>252</v>
      </c>
      <c r="K697" s="4">
        <f t="shared" si="131"/>
        <v>-4</v>
      </c>
      <c r="L697" s="27">
        <f t="shared" si="132"/>
        <v>-1.5625</v>
      </c>
      <c r="M697" s="52" t="str">
        <f t="shared" si="133"/>
        <v>Schwund</v>
      </c>
      <c r="N697" s="28">
        <f t="shared" si="134"/>
        <v>7.96</v>
      </c>
      <c r="O697" s="5">
        <v>17</v>
      </c>
      <c r="P697" s="4">
        <v>5</v>
      </c>
      <c r="Q697" s="28">
        <f t="shared" si="135"/>
        <v>1.99</v>
      </c>
      <c r="R697" s="50">
        <f t="shared" si="136"/>
        <v>2.3879999999999999</v>
      </c>
      <c r="S697" s="2" t="str">
        <f t="shared" si="137"/>
        <v>Normal</v>
      </c>
      <c r="T697" s="4">
        <v>0</v>
      </c>
      <c r="U697" s="4" t="str">
        <f t="shared" si="138"/>
        <v>Nein</v>
      </c>
      <c r="V697" s="4">
        <f t="shared" si="139"/>
        <v>0</v>
      </c>
      <c r="W697" s="19">
        <f t="shared" si="140"/>
        <v>1.99</v>
      </c>
      <c r="X697" s="5">
        <v>0</v>
      </c>
      <c r="Y697" s="28">
        <f t="shared" si="141"/>
        <v>0</v>
      </c>
      <c r="Z697" s="31" t="s">
        <v>172</v>
      </c>
      <c r="AA697" t="str">
        <f t="shared" si="142"/>
        <v>Normal/Gering</v>
      </c>
    </row>
    <row r="698" spans="1:27" x14ac:dyDescent="0.35">
      <c r="A698" s="32" t="s">
        <v>17</v>
      </c>
      <c r="B698" s="2" t="str">
        <f>VLOOKUP(A698,Stammdaten!$A$3:$B$7,2,FALSE)</f>
        <v>Filiale West</v>
      </c>
      <c r="C698" s="3" t="str" cm="1">
        <f t="array" ref="C698">INDEX(Stammdaten!$A$11:$A$25,INT((ROW()-5)/12)+1 - INT((ROW()-5)/180)*15)</f>
        <v>A013</v>
      </c>
      <c r="D698" s="2" t="str">
        <f>VLOOKUP(C698,Stammdaten!$A$11:$B$25,2,FALSE)</f>
        <v>Skyr 450g</v>
      </c>
      <c r="E698" s="3" t="str">
        <f>VLOOKUP(C698,Stammdaten!$A$11:$C$25,3,FALSE)</f>
        <v>Joghurt</v>
      </c>
      <c r="F698" s="19">
        <f>VLOOKUP(C698,Stammdaten!$A$11:$D$25,4,FALSE)</f>
        <v>1.99</v>
      </c>
      <c r="G698" s="4">
        <f t="shared" si="130"/>
        <v>10</v>
      </c>
      <c r="H698" s="20" t="str">
        <f>VLOOKUP(G698,Stammdaten!$A$30:$B$41,2,FALSE)</f>
        <v>Oktober</v>
      </c>
      <c r="I698" s="4">
        <v>278</v>
      </c>
      <c r="J698" s="4">
        <v>270</v>
      </c>
      <c r="K698" s="4">
        <f t="shared" si="131"/>
        <v>-8</v>
      </c>
      <c r="L698" s="27">
        <f t="shared" si="132"/>
        <v>-2.877697841726619</v>
      </c>
      <c r="M698" s="52" t="str">
        <f t="shared" si="133"/>
        <v>Schwund</v>
      </c>
      <c r="N698" s="28">
        <f t="shared" si="134"/>
        <v>15.92</v>
      </c>
      <c r="O698" s="5">
        <v>20</v>
      </c>
      <c r="P698" s="4">
        <v>3</v>
      </c>
      <c r="Q698" s="28">
        <f t="shared" si="135"/>
        <v>3.98</v>
      </c>
      <c r="R698" s="50">
        <f t="shared" si="136"/>
        <v>4.7759999999999998</v>
      </c>
      <c r="S698" s="2" t="str">
        <f t="shared" si="137"/>
        <v>Normal</v>
      </c>
      <c r="T698" s="4">
        <v>0</v>
      </c>
      <c r="U698" s="4" t="str">
        <f t="shared" si="138"/>
        <v>Nein</v>
      </c>
      <c r="V698" s="4">
        <f t="shared" si="139"/>
        <v>0</v>
      </c>
      <c r="W698" s="19">
        <f t="shared" si="140"/>
        <v>1.99</v>
      </c>
      <c r="X698" s="5">
        <v>0</v>
      </c>
      <c r="Y698" s="28">
        <f t="shared" si="141"/>
        <v>0</v>
      </c>
      <c r="Z698" s="31" t="s">
        <v>172</v>
      </c>
      <c r="AA698" t="str">
        <f t="shared" si="142"/>
        <v>Prozessfehler</v>
      </c>
    </row>
    <row r="699" spans="1:27" x14ac:dyDescent="0.35">
      <c r="A699" s="32" t="s">
        <v>17</v>
      </c>
      <c r="B699" s="2" t="str">
        <f>VLOOKUP(A699,Stammdaten!$A$3:$B$7,2,FALSE)</f>
        <v>Filiale West</v>
      </c>
      <c r="C699" s="3" t="str" cm="1">
        <f t="array" ref="C699">INDEX(Stammdaten!$A$11:$A$25,INT((ROW()-5)/12)+1 - INT((ROW()-5)/180)*15)</f>
        <v>A013</v>
      </c>
      <c r="D699" s="2" t="str">
        <f>VLOOKUP(C699,Stammdaten!$A$11:$B$25,2,FALSE)</f>
        <v>Skyr 450g</v>
      </c>
      <c r="E699" s="3" t="str">
        <f>VLOOKUP(C699,Stammdaten!$A$11:$C$25,3,FALSE)</f>
        <v>Joghurt</v>
      </c>
      <c r="F699" s="19">
        <f>VLOOKUP(C699,Stammdaten!$A$11:$D$25,4,FALSE)</f>
        <v>1.99</v>
      </c>
      <c r="G699" s="4">
        <f t="shared" si="130"/>
        <v>11</v>
      </c>
      <c r="H699" s="20" t="str">
        <f>VLOOKUP(G699,Stammdaten!$A$30:$B$41,2,FALSE)</f>
        <v>November</v>
      </c>
      <c r="I699" s="4">
        <v>312</v>
      </c>
      <c r="J699" s="4">
        <v>312</v>
      </c>
      <c r="K699" s="4">
        <f t="shared" si="131"/>
        <v>0</v>
      </c>
      <c r="L699" s="27">
        <f t="shared" si="132"/>
        <v>0</v>
      </c>
      <c r="M699" s="52" t="str">
        <f t="shared" si="133"/>
        <v>Perfekt</v>
      </c>
      <c r="N699" s="28">
        <f t="shared" si="134"/>
        <v>0</v>
      </c>
      <c r="O699" s="5">
        <v>10</v>
      </c>
      <c r="P699" s="4">
        <v>4</v>
      </c>
      <c r="Q699" s="28">
        <f t="shared" si="135"/>
        <v>0</v>
      </c>
      <c r="R699" s="50">
        <f t="shared" si="136"/>
        <v>0</v>
      </c>
      <c r="S699" s="2" t="str">
        <f t="shared" si="137"/>
        <v>Black Friday</v>
      </c>
      <c r="T699" s="4">
        <v>0</v>
      </c>
      <c r="U699" s="4" t="str">
        <f t="shared" si="138"/>
        <v>Nein</v>
      </c>
      <c r="V699" s="4">
        <f t="shared" si="139"/>
        <v>0</v>
      </c>
      <c r="W699" s="19">
        <f t="shared" si="140"/>
        <v>1.99</v>
      </c>
      <c r="X699" s="5">
        <v>0</v>
      </c>
      <c r="Y699" s="28">
        <f t="shared" si="141"/>
        <v>0</v>
      </c>
      <c r="Z699" s="31" t="s">
        <v>172</v>
      </c>
      <c r="AA699" t="str">
        <f t="shared" si="142"/>
        <v>Normal/Gering</v>
      </c>
    </row>
    <row r="700" spans="1:27" x14ac:dyDescent="0.35">
      <c r="A700" s="32" t="s">
        <v>17</v>
      </c>
      <c r="B700" s="2" t="str">
        <f>VLOOKUP(A700,Stammdaten!$A$3:$B$7,2,FALSE)</f>
        <v>Filiale West</v>
      </c>
      <c r="C700" s="3" t="str" cm="1">
        <f t="array" ref="C700">INDEX(Stammdaten!$A$11:$A$25,INT((ROW()-5)/12)+1 - INT((ROW()-5)/180)*15)</f>
        <v>A013</v>
      </c>
      <c r="D700" s="2" t="str">
        <f>VLOOKUP(C700,Stammdaten!$A$11:$B$25,2,FALSE)</f>
        <v>Skyr 450g</v>
      </c>
      <c r="E700" s="3" t="str">
        <f>VLOOKUP(C700,Stammdaten!$A$11:$C$25,3,FALSE)</f>
        <v>Joghurt</v>
      </c>
      <c r="F700" s="19">
        <f>VLOOKUP(C700,Stammdaten!$A$11:$D$25,4,FALSE)</f>
        <v>1.99</v>
      </c>
      <c r="G700" s="4">
        <f t="shared" si="130"/>
        <v>12</v>
      </c>
      <c r="H700" s="20" t="str">
        <f>VLOOKUP(G700,Stammdaten!$A$30:$B$41,2,FALSE)</f>
        <v>Dezember</v>
      </c>
      <c r="I700" s="4">
        <v>381</v>
      </c>
      <c r="J700" s="4">
        <v>365</v>
      </c>
      <c r="K700" s="4">
        <f t="shared" si="131"/>
        <v>-16</v>
      </c>
      <c r="L700" s="27">
        <f t="shared" si="132"/>
        <v>-4.1994750656167978</v>
      </c>
      <c r="M700" s="52" t="str">
        <f t="shared" si="133"/>
        <v>Schwund</v>
      </c>
      <c r="N700" s="28">
        <f t="shared" si="134"/>
        <v>31.84</v>
      </c>
      <c r="O700" s="5">
        <v>2</v>
      </c>
      <c r="P700" s="4">
        <v>0</v>
      </c>
      <c r="Q700" s="28">
        <f t="shared" si="135"/>
        <v>7.96</v>
      </c>
      <c r="R700" s="50">
        <f t="shared" si="136"/>
        <v>9.5519999999999996</v>
      </c>
      <c r="S700" s="2" t="str">
        <f t="shared" si="137"/>
        <v>Weihnachten/Silvester</v>
      </c>
      <c r="T700" s="4">
        <v>0</v>
      </c>
      <c r="U700" s="4" t="str">
        <f t="shared" si="138"/>
        <v>Ja - 20% Reduzierung</v>
      </c>
      <c r="V700" s="4">
        <f t="shared" si="139"/>
        <v>20</v>
      </c>
      <c r="W700" s="19">
        <f t="shared" si="140"/>
        <v>1.59</v>
      </c>
      <c r="X700" s="5">
        <v>19</v>
      </c>
      <c r="Y700" s="28">
        <f t="shared" si="141"/>
        <v>7.56</v>
      </c>
      <c r="Z700" s="31" t="s">
        <v>173</v>
      </c>
      <c r="AA700" t="str">
        <f t="shared" si="142"/>
        <v>Buchungsfehler Wareneingang</v>
      </c>
    </row>
    <row r="701" spans="1:27" x14ac:dyDescent="0.35">
      <c r="A701" s="32" t="s">
        <v>17</v>
      </c>
      <c r="B701" s="2" t="str">
        <f>VLOOKUP(A701,Stammdaten!$A$3:$B$7,2,FALSE)</f>
        <v>Filiale West</v>
      </c>
      <c r="C701" s="3" t="str" cm="1">
        <f t="array" ref="C701">INDEX(Stammdaten!$A$11:$A$25,INT((ROW()-5)/12)+1 - INT((ROW()-5)/180)*15)</f>
        <v>A014</v>
      </c>
      <c r="D701" s="2" t="str">
        <f>VLOOKUP(C701,Stammdaten!$A$11:$B$25,2,FALSE)</f>
        <v>Kefir 500ml</v>
      </c>
      <c r="E701" s="3" t="str">
        <f>VLOOKUP(C701,Stammdaten!$A$11:$C$25,3,FALSE)</f>
        <v>Milch</v>
      </c>
      <c r="F701" s="19">
        <f>VLOOKUP(C701,Stammdaten!$A$11:$D$25,4,FALSE)</f>
        <v>1.39</v>
      </c>
      <c r="G701" s="4">
        <f t="shared" si="130"/>
        <v>1</v>
      </c>
      <c r="H701" s="20" t="str">
        <f>VLOOKUP(G701,Stammdaten!$A$30:$B$41,2,FALSE)</f>
        <v>Januar</v>
      </c>
      <c r="I701" s="4">
        <v>153</v>
      </c>
      <c r="J701" s="4">
        <v>149</v>
      </c>
      <c r="K701" s="4">
        <f t="shared" si="131"/>
        <v>-4</v>
      </c>
      <c r="L701" s="27">
        <f t="shared" si="132"/>
        <v>-2.6143790849673203</v>
      </c>
      <c r="M701" s="52" t="str">
        <f t="shared" si="133"/>
        <v>Schwund</v>
      </c>
      <c r="N701" s="28">
        <f t="shared" si="134"/>
        <v>5.56</v>
      </c>
      <c r="O701" s="5">
        <v>10</v>
      </c>
      <c r="P701" s="4">
        <v>2</v>
      </c>
      <c r="Q701" s="28">
        <f t="shared" si="135"/>
        <v>1.39</v>
      </c>
      <c r="R701" s="50">
        <f t="shared" si="136"/>
        <v>1.6679999999999999</v>
      </c>
      <c r="S701" s="2" t="str">
        <f t="shared" si="137"/>
        <v>Normal</v>
      </c>
      <c r="T701" s="4">
        <v>0</v>
      </c>
      <c r="U701" s="4" t="str">
        <f t="shared" si="138"/>
        <v>Nein</v>
      </c>
      <c r="V701" s="4">
        <f t="shared" si="139"/>
        <v>0</v>
      </c>
      <c r="W701" s="19">
        <f t="shared" si="140"/>
        <v>1.39</v>
      </c>
      <c r="X701" s="5">
        <v>0</v>
      </c>
      <c r="Y701" s="28">
        <f t="shared" si="141"/>
        <v>0</v>
      </c>
      <c r="Z701" s="31" t="s">
        <v>172</v>
      </c>
      <c r="AA701" t="str">
        <f t="shared" si="142"/>
        <v>Prozessfehler</v>
      </c>
    </row>
    <row r="702" spans="1:27" x14ac:dyDescent="0.35">
      <c r="A702" s="32" t="s">
        <v>17</v>
      </c>
      <c r="B702" s="2" t="str">
        <f>VLOOKUP(A702,Stammdaten!$A$3:$B$7,2,FALSE)</f>
        <v>Filiale West</v>
      </c>
      <c r="C702" s="3" t="str" cm="1">
        <f t="array" ref="C702">INDEX(Stammdaten!$A$11:$A$25,INT((ROW()-5)/12)+1 - INT((ROW()-5)/180)*15)</f>
        <v>A014</v>
      </c>
      <c r="D702" s="2" t="str">
        <f>VLOOKUP(C702,Stammdaten!$A$11:$B$25,2,FALSE)</f>
        <v>Kefir 500ml</v>
      </c>
      <c r="E702" s="3" t="str">
        <f>VLOOKUP(C702,Stammdaten!$A$11:$C$25,3,FALSE)</f>
        <v>Milch</v>
      </c>
      <c r="F702" s="19">
        <f>VLOOKUP(C702,Stammdaten!$A$11:$D$25,4,FALSE)</f>
        <v>1.39</v>
      </c>
      <c r="G702" s="4">
        <f t="shared" si="130"/>
        <v>2</v>
      </c>
      <c r="H702" s="20" t="str">
        <f>VLOOKUP(G702,Stammdaten!$A$30:$B$41,2,FALSE)</f>
        <v>Februar</v>
      </c>
      <c r="I702" s="4">
        <v>144</v>
      </c>
      <c r="J702" s="4">
        <v>144</v>
      </c>
      <c r="K702" s="4">
        <f t="shared" si="131"/>
        <v>0</v>
      </c>
      <c r="L702" s="27">
        <f t="shared" si="132"/>
        <v>0</v>
      </c>
      <c r="M702" s="52" t="str">
        <f t="shared" si="133"/>
        <v>Perfekt</v>
      </c>
      <c r="N702" s="28">
        <f t="shared" si="134"/>
        <v>0</v>
      </c>
      <c r="O702" s="5">
        <v>0</v>
      </c>
      <c r="P702" s="4">
        <v>0</v>
      </c>
      <c r="Q702" s="28">
        <f t="shared" si="135"/>
        <v>0</v>
      </c>
      <c r="R702" s="50">
        <f t="shared" si="136"/>
        <v>0</v>
      </c>
      <c r="S702" s="2" t="str">
        <f t="shared" si="137"/>
        <v>Karneval</v>
      </c>
      <c r="T702" s="4">
        <v>0</v>
      </c>
      <c r="U702" s="4" t="str">
        <f t="shared" si="138"/>
        <v>Abschreibung</v>
      </c>
      <c r="V702" s="4">
        <f t="shared" si="139"/>
        <v>100</v>
      </c>
      <c r="W702" s="19">
        <f t="shared" si="140"/>
        <v>0</v>
      </c>
      <c r="X702" s="5">
        <v>4</v>
      </c>
      <c r="Y702" s="28">
        <f t="shared" si="141"/>
        <v>5.56</v>
      </c>
      <c r="Z702" s="31" t="s">
        <v>173</v>
      </c>
      <c r="AA702" t="str">
        <f t="shared" si="142"/>
        <v>Verderb - Abgelaufen</v>
      </c>
    </row>
    <row r="703" spans="1:27" x14ac:dyDescent="0.35">
      <c r="A703" s="32" t="s">
        <v>17</v>
      </c>
      <c r="B703" s="2" t="str">
        <f>VLOOKUP(A703,Stammdaten!$A$3:$B$7,2,FALSE)</f>
        <v>Filiale West</v>
      </c>
      <c r="C703" s="3" t="str" cm="1">
        <f t="array" ref="C703">INDEX(Stammdaten!$A$11:$A$25,INT((ROW()-5)/12)+1 - INT((ROW()-5)/180)*15)</f>
        <v>A014</v>
      </c>
      <c r="D703" s="2" t="str">
        <f>VLOOKUP(C703,Stammdaten!$A$11:$B$25,2,FALSE)</f>
        <v>Kefir 500ml</v>
      </c>
      <c r="E703" s="3" t="str">
        <f>VLOOKUP(C703,Stammdaten!$A$11:$C$25,3,FALSE)</f>
        <v>Milch</v>
      </c>
      <c r="F703" s="19">
        <f>VLOOKUP(C703,Stammdaten!$A$11:$D$25,4,FALSE)</f>
        <v>1.39</v>
      </c>
      <c r="G703" s="4">
        <f t="shared" si="130"/>
        <v>3</v>
      </c>
      <c r="H703" s="20" t="str">
        <f>VLOOKUP(G703,Stammdaten!$A$30:$B$41,2,FALSE)</f>
        <v>März</v>
      </c>
      <c r="I703" s="4">
        <v>178</v>
      </c>
      <c r="J703" s="4">
        <v>170</v>
      </c>
      <c r="K703" s="4">
        <f t="shared" si="131"/>
        <v>-8</v>
      </c>
      <c r="L703" s="27">
        <f t="shared" si="132"/>
        <v>-4.4943820224719104</v>
      </c>
      <c r="M703" s="52" t="str">
        <f t="shared" si="133"/>
        <v>Schwund</v>
      </c>
      <c r="N703" s="28">
        <f t="shared" si="134"/>
        <v>11.12</v>
      </c>
      <c r="O703" s="5">
        <v>2</v>
      </c>
      <c r="P703" s="4">
        <v>3</v>
      </c>
      <c r="Q703" s="28">
        <f t="shared" si="135"/>
        <v>2.78</v>
      </c>
      <c r="R703" s="50">
        <f t="shared" si="136"/>
        <v>3.3359999999999999</v>
      </c>
      <c r="S703" s="2" t="str">
        <f t="shared" si="137"/>
        <v>Normal</v>
      </c>
      <c r="T703" s="4">
        <v>0</v>
      </c>
      <c r="U703" s="4" t="str">
        <f t="shared" si="138"/>
        <v>Ja - 20% Reduzierung</v>
      </c>
      <c r="V703" s="4">
        <f t="shared" si="139"/>
        <v>20</v>
      </c>
      <c r="W703" s="19">
        <f t="shared" si="140"/>
        <v>1.1100000000000001</v>
      </c>
      <c r="X703" s="5">
        <v>11</v>
      </c>
      <c r="Y703" s="28">
        <f t="shared" si="141"/>
        <v>3.06</v>
      </c>
      <c r="Z703" s="31" t="s">
        <v>173</v>
      </c>
      <c r="AA703" t="str">
        <f t="shared" si="142"/>
        <v>Prozessfehler</v>
      </c>
    </row>
    <row r="704" spans="1:27" x14ac:dyDescent="0.35">
      <c r="A704" s="32" t="s">
        <v>17</v>
      </c>
      <c r="B704" s="2" t="str">
        <f>VLOOKUP(A704,Stammdaten!$A$3:$B$7,2,FALSE)</f>
        <v>Filiale West</v>
      </c>
      <c r="C704" s="3" t="str" cm="1">
        <f t="array" ref="C704">INDEX(Stammdaten!$A$11:$A$25,INT((ROW()-5)/12)+1 - INT((ROW()-5)/180)*15)</f>
        <v>A014</v>
      </c>
      <c r="D704" s="2" t="str">
        <f>VLOOKUP(C704,Stammdaten!$A$11:$B$25,2,FALSE)</f>
        <v>Kefir 500ml</v>
      </c>
      <c r="E704" s="3" t="str">
        <f>VLOOKUP(C704,Stammdaten!$A$11:$C$25,3,FALSE)</f>
        <v>Milch</v>
      </c>
      <c r="F704" s="19">
        <f>VLOOKUP(C704,Stammdaten!$A$11:$D$25,4,FALSE)</f>
        <v>1.39</v>
      </c>
      <c r="G704" s="4">
        <f t="shared" si="130"/>
        <v>4</v>
      </c>
      <c r="H704" s="20" t="str">
        <f>VLOOKUP(G704,Stammdaten!$A$30:$B$41,2,FALSE)</f>
        <v>April</v>
      </c>
      <c r="I704" s="4">
        <v>202</v>
      </c>
      <c r="J704" s="4">
        <v>196</v>
      </c>
      <c r="K704" s="4">
        <f t="shared" si="131"/>
        <v>-6</v>
      </c>
      <c r="L704" s="27">
        <f t="shared" si="132"/>
        <v>-2.9702970297029703</v>
      </c>
      <c r="M704" s="52" t="str">
        <f t="shared" si="133"/>
        <v>Schwund</v>
      </c>
      <c r="N704" s="28">
        <f t="shared" si="134"/>
        <v>8.34</v>
      </c>
      <c r="O704" s="5">
        <v>3</v>
      </c>
      <c r="P704" s="4">
        <v>2</v>
      </c>
      <c r="Q704" s="28">
        <f t="shared" si="135"/>
        <v>2.085</v>
      </c>
      <c r="R704" s="50">
        <f t="shared" si="136"/>
        <v>2.5019999999999998</v>
      </c>
      <c r="S704" s="2" t="str">
        <f t="shared" si="137"/>
        <v>Ostern</v>
      </c>
      <c r="T704" s="4">
        <v>0</v>
      </c>
      <c r="U704" s="4" t="str">
        <f t="shared" si="138"/>
        <v>Ja - 20% Reduzierung</v>
      </c>
      <c r="V704" s="4">
        <f t="shared" si="139"/>
        <v>20</v>
      </c>
      <c r="W704" s="19">
        <f t="shared" si="140"/>
        <v>1.1100000000000001</v>
      </c>
      <c r="X704" s="5">
        <v>26</v>
      </c>
      <c r="Y704" s="28">
        <f t="shared" si="141"/>
        <v>7.23</v>
      </c>
      <c r="Z704" s="31" t="s">
        <v>173</v>
      </c>
      <c r="AA704" t="str">
        <f t="shared" si="142"/>
        <v>Prozessfehler</v>
      </c>
    </row>
    <row r="705" spans="1:27" x14ac:dyDescent="0.35">
      <c r="A705" s="32" t="s">
        <v>17</v>
      </c>
      <c r="B705" s="2" t="str">
        <f>VLOOKUP(A705,Stammdaten!$A$3:$B$7,2,FALSE)</f>
        <v>Filiale West</v>
      </c>
      <c r="C705" s="3" t="str" cm="1">
        <f t="array" ref="C705">INDEX(Stammdaten!$A$11:$A$25,INT((ROW()-5)/12)+1 - INT((ROW()-5)/180)*15)</f>
        <v>A014</v>
      </c>
      <c r="D705" s="2" t="str">
        <f>VLOOKUP(C705,Stammdaten!$A$11:$B$25,2,FALSE)</f>
        <v>Kefir 500ml</v>
      </c>
      <c r="E705" s="3" t="str">
        <f>VLOOKUP(C705,Stammdaten!$A$11:$C$25,3,FALSE)</f>
        <v>Milch</v>
      </c>
      <c r="F705" s="19">
        <f>VLOOKUP(C705,Stammdaten!$A$11:$D$25,4,FALSE)</f>
        <v>1.39</v>
      </c>
      <c r="G705" s="4">
        <f t="shared" si="130"/>
        <v>5</v>
      </c>
      <c r="H705" s="20" t="str">
        <f>VLOOKUP(G705,Stammdaten!$A$30:$B$41,2,FALSE)</f>
        <v>Mai</v>
      </c>
      <c r="I705" s="4">
        <v>167</v>
      </c>
      <c r="J705" s="4">
        <v>167</v>
      </c>
      <c r="K705" s="4">
        <f t="shared" si="131"/>
        <v>0</v>
      </c>
      <c r="L705" s="27">
        <f t="shared" si="132"/>
        <v>0</v>
      </c>
      <c r="M705" s="52" t="str">
        <f t="shared" si="133"/>
        <v>Perfekt</v>
      </c>
      <c r="N705" s="28">
        <f t="shared" si="134"/>
        <v>0</v>
      </c>
      <c r="O705" s="5">
        <v>9</v>
      </c>
      <c r="P705" s="4">
        <v>0</v>
      </c>
      <c r="Q705" s="28">
        <f t="shared" si="135"/>
        <v>0</v>
      </c>
      <c r="R705" s="50">
        <f t="shared" si="136"/>
        <v>0</v>
      </c>
      <c r="S705" s="2" t="str">
        <f t="shared" si="137"/>
        <v>Normal</v>
      </c>
      <c r="T705" s="4">
        <v>0</v>
      </c>
      <c r="U705" s="4" t="str">
        <f t="shared" si="138"/>
        <v>Nein</v>
      </c>
      <c r="V705" s="4">
        <f t="shared" si="139"/>
        <v>0</v>
      </c>
      <c r="W705" s="19">
        <f t="shared" si="140"/>
        <v>1.39</v>
      </c>
      <c r="X705" s="5">
        <v>0</v>
      </c>
      <c r="Y705" s="28">
        <f t="shared" si="141"/>
        <v>0</v>
      </c>
      <c r="Z705" s="31" t="s">
        <v>172</v>
      </c>
      <c r="AA705" t="str">
        <f t="shared" si="142"/>
        <v>Normal/Gering</v>
      </c>
    </row>
    <row r="706" spans="1:27" x14ac:dyDescent="0.35">
      <c r="A706" s="32" t="s">
        <v>17</v>
      </c>
      <c r="B706" s="2" t="str">
        <f>VLOOKUP(A706,Stammdaten!$A$3:$B$7,2,FALSE)</f>
        <v>Filiale West</v>
      </c>
      <c r="C706" s="3" t="str" cm="1">
        <f t="array" ref="C706">INDEX(Stammdaten!$A$11:$A$25,INT((ROW()-5)/12)+1 - INT((ROW()-5)/180)*15)</f>
        <v>A014</v>
      </c>
      <c r="D706" s="2" t="str">
        <f>VLOOKUP(C706,Stammdaten!$A$11:$B$25,2,FALSE)</f>
        <v>Kefir 500ml</v>
      </c>
      <c r="E706" s="3" t="str">
        <f>VLOOKUP(C706,Stammdaten!$A$11:$C$25,3,FALSE)</f>
        <v>Milch</v>
      </c>
      <c r="F706" s="19">
        <f>VLOOKUP(C706,Stammdaten!$A$11:$D$25,4,FALSE)</f>
        <v>1.39</v>
      </c>
      <c r="G706" s="4">
        <f t="shared" si="130"/>
        <v>6</v>
      </c>
      <c r="H706" s="20" t="str">
        <f>VLOOKUP(G706,Stammdaten!$A$30:$B$41,2,FALSE)</f>
        <v>Juni</v>
      </c>
      <c r="I706" s="4">
        <v>172</v>
      </c>
      <c r="J706" s="4">
        <v>172</v>
      </c>
      <c r="K706" s="4">
        <f t="shared" si="131"/>
        <v>0</v>
      </c>
      <c r="L706" s="27">
        <f t="shared" si="132"/>
        <v>0</v>
      </c>
      <c r="M706" s="52" t="str">
        <f t="shared" si="133"/>
        <v>Perfekt</v>
      </c>
      <c r="N706" s="28">
        <f t="shared" si="134"/>
        <v>0</v>
      </c>
      <c r="O706" s="5">
        <v>6</v>
      </c>
      <c r="P706" s="4">
        <v>2</v>
      </c>
      <c r="Q706" s="28">
        <f t="shared" si="135"/>
        <v>0</v>
      </c>
      <c r="R706" s="50">
        <f t="shared" si="136"/>
        <v>0</v>
      </c>
      <c r="S706" s="2" t="str">
        <f t="shared" si="137"/>
        <v>Normal</v>
      </c>
      <c r="T706" s="4">
        <v>0</v>
      </c>
      <c r="U706" s="4" t="str">
        <f t="shared" si="138"/>
        <v>Nein</v>
      </c>
      <c r="V706" s="4">
        <f t="shared" si="139"/>
        <v>0</v>
      </c>
      <c r="W706" s="19">
        <f t="shared" si="140"/>
        <v>1.39</v>
      </c>
      <c r="X706" s="5">
        <v>0</v>
      </c>
      <c r="Y706" s="28">
        <f t="shared" si="141"/>
        <v>0</v>
      </c>
      <c r="Z706" s="31" t="s">
        <v>172</v>
      </c>
      <c r="AA706" t="str">
        <f t="shared" si="142"/>
        <v>Normal/Gering</v>
      </c>
    </row>
    <row r="707" spans="1:27" x14ac:dyDescent="0.35">
      <c r="A707" s="32" t="s">
        <v>17</v>
      </c>
      <c r="B707" s="2" t="str">
        <f>VLOOKUP(A707,Stammdaten!$A$3:$B$7,2,FALSE)</f>
        <v>Filiale West</v>
      </c>
      <c r="C707" s="3" t="str" cm="1">
        <f t="array" ref="C707">INDEX(Stammdaten!$A$11:$A$25,INT((ROW()-5)/12)+1 - INT((ROW()-5)/180)*15)</f>
        <v>A014</v>
      </c>
      <c r="D707" s="2" t="str">
        <f>VLOOKUP(C707,Stammdaten!$A$11:$B$25,2,FALSE)</f>
        <v>Kefir 500ml</v>
      </c>
      <c r="E707" s="3" t="str">
        <f>VLOOKUP(C707,Stammdaten!$A$11:$C$25,3,FALSE)</f>
        <v>Milch</v>
      </c>
      <c r="F707" s="19">
        <f>VLOOKUP(C707,Stammdaten!$A$11:$D$25,4,FALSE)</f>
        <v>1.39</v>
      </c>
      <c r="G707" s="4">
        <f t="shared" si="130"/>
        <v>7</v>
      </c>
      <c r="H707" s="20" t="str">
        <f>VLOOKUP(G707,Stammdaten!$A$30:$B$41,2,FALSE)</f>
        <v>Juli</v>
      </c>
      <c r="I707" s="4">
        <v>190</v>
      </c>
      <c r="J707" s="4">
        <v>183</v>
      </c>
      <c r="K707" s="4">
        <f t="shared" si="131"/>
        <v>-7</v>
      </c>
      <c r="L707" s="27">
        <f t="shared" si="132"/>
        <v>-3.6842105263157889</v>
      </c>
      <c r="M707" s="52" t="str">
        <f t="shared" si="133"/>
        <v>Schwund</v>
      </c>
      <c r="N707" s="28">
        <f t="shared" si="134"/>
        <v>9.7299999999999986</v>
      </c>
      <c r="O707" s="5">
        <v>0</v>
      </c>
      <c r="P707" s="4">
        <v>1</v>
      </c>
      <c r="Q707" s="28">
        <f t="shared" si="135"/>
        <v>2.4324999999999997</v>
      </c>
      <c r="R707" s="50">
        <f t="shared" si="136"/>
        <v>2.9189999999999996</v>
      </c>
      <c r="S707" s="2" t="str">
        <f t="shared" si="137"/>
        <v>Normal</v>
      </c>
      <c r="T707" s="4">
        <v>0</v>
      </c>
      <c r="U707" s="4" t="str">
        <f t="shared" si="138"/>
        <v>Abschreibung</v>
      </c>
      <c r="V707" s="4">
        <f t="shared" si="139"/>
        <v>100</v>
      </c>
      <c r="W707" s="19">
        <f t="shared" si="140"/>
        <v>0</v>
      </c>
      <c r="X707" s="5">
        <v>4</v>
      </c>
      <c r="Y707" s="28">
        <f t="shared" si="141"/>
        <v>5.56</v>
      </c>
      <c r="Z707" s="31" t="s">
        <v>173</v>
      </c>
      <c r="AA707" t="str">
        <f t="shared" si="142"/>
        <v>Verderb - Abgelaufen</v>
      </c>
    </row>
    <row r="708" spans="1:27" x14ac:dyDescent="0.35">
      <c r="A708" s="32" t="s">
        <v>17</v>
      </c>
      <c r="B708" s="2" t="str">
        <f>VLOOKUP(A708,Stammdaten!$A$3:$B$7,2,FALSE)</f>
        <v>Filiale West</v>
      </c>
      <c r="C708" s="3" t="str" cm="1">
        <f t="array" ref="C708">INDEX(Stammdaten!$A$11:$A$25,INT((ROW()-5)/12)+1 - INT((ROW()-5)/180)*15)</f>
        <v>A014</v>
      </c>
      <c r="D708" s="2" t="str">
        <f>VLOOKUP(C708,Stammdaten!$A$11:$B$25,2,FALSE)</f>
        <v>Kefir 500ml</v>
      </c>
      <c r="E708" s="3" t="str">
        <f>VLOOKUP(C708,Stammdaten!$A$11:$C$25,3,FALSE)</f>
        <v>Milch</v>
      </c>
      <c r="F708" s="19">
        <f>VLOOKUP(C708,Stammdaten!$A$11:$D$25,4,FALSE)</f>
        <v>1.39</v>
      </c>
      <c r="G708" s="4">
        <f t="shared" si="130"/>
        <v>8</v>
      </c>
      <c r="H708" s="20" t="str">
        <f>VLOOKUP(G708,Stammdaten!$A$30:$B$41,2,FALSE)</f>
        <v>August</v>
      </c>
      <c r="I708" s="4">
        <v>194</v>
      </c>
      <c r="J708" s="4">
        <v>200</v>
      </c>
      <c r="K708" s="4">
        <f t="shared" si="131"/>
        <v>6</v>
      </c>
      <c r="L708" s="27">
        <f t="shared" si="132"/>
        <v>3.0927835051546393</v>
      </c>
      <c r="M708" s="52" t="str">
        <f t="shared" si="133"/>
        <v>Überbestand</v>
      </c>
      <c r="N708" s="28">
        <f t="shared" si="134"/>
        <v>8.34</v>
      </c>
      <c r="O708" s="5">
        <v>2</v>
      </c>
      <c r="P708" s="4">
        <v>3</v>
      </c>
      <c r="Q708" s="28">
        <f t="shared" si="135"/>
        <v>0</v>
      </c>
      <c r="R708" s="50">
        <f t="shared" si="136"/>
        <v>0</v>
      </c>
      <c r="S708" s="2" t="str">
        <f t="shared" si="137"/>
        <v>Normal</v>
      </c>
      <c r="T708" s="4">
        <v>6</v>
      </c>
      <c r="U708" s="4" t="str">
        <f t="shared" si="138"/>
        <v>Ja - 20% Reduzierung</v>
      </c>
      <c r="V708" s="4">
        <f t="shared" si="139"/>
        <v>20</v>
      </c>
      <c r="W708" s="19">
        <f t="shared" si="140"/>
        <v>1.1100000000000001</v>
      </c>
      <c r="X708" s="5">
        <v>19</v>
      </c>
      <c r="Y708" s="28">
        <f t="shared" si="141"/>
        <v>5.28</v>
      </c>
      <c r="Z708" s="31" t="s">
        <v>173</v>
      </c>
      <c r="AA708" t="str">
        <f t="shared" si="142"/>
        <v>Kassenfehler (Überbestand)</v>
      </c>
    </row>
    <row r="709" spans="1:27" x14ac:dyDescent="0.35">
      <c r="A709" s="32" t="s">
        <v>17</v>
      </c>
      <c r="B709" s="2" t="str">
        <f>VLOOKUP(A709,Stammdaten!$A$3:$B$7,2,FALSE)</f>
        <v>Filiale West</v>
      </c>
      <c r="C709" s="3" t="str" cm="1">
        <f t="array" ref="C709">INDEX(Stammdaten!$A$11:$A$25,INT((ROW()-5)/12)+1 - INT((ROW()-5)/180)*15)</f>
        <v>A014</v>
      </c>
      <c r="D709" s="2" t="str">
        <f>VLOOKUP(C709,Stammdaten!$A$11:$B$25,2,FALSE)</f>
        <v>Kefir 500ml</v>
      </c>
      <c r="E709" s="3" t="str">
        <f>VLOOKUP(C709,Stammdaten!$A$11:$C$25,3,FALSE)</f>
        <v>Milch</v>
      </c>
      <c r="F709" s="19">
        <f>VLOOKUP(C709,Stammdaten!$A$11:$D$25,4,FALSE)</f>
        <v>1.39</v>
      </c>
      <c r="G709" s="4">
        <f t="shared" si="130"/>
        <v>9</v>
      </c>
      <c r="H709" s="20" t="str">
        <f>VLOOKUP(G709,Stammdaten!$A$30:$B$41,2,FALSE)</f>
        <v>September</v>
      </c>
      <c r="I709" s="4">
        <v>149</v>
      </c>
      <c r="J709" s="4">
        <v>145</v>
      </c>
      <c r="K709" s="4">
        <f t="shared" si="131"/>
        <v>-4</v>
      </c>
      <c r="L709" s="27">
        <f t="shared" si="132"/>
        <v>-2.6845637583892619</v>
      </c>
      <c r="M709" s="52" t="str">
        <f t="shared" si="133"/>
        <v>Schwund</v>
      </c>
      <c r="N709" s="28">
        <f t="shared" si="134"/>
        <v>5.56</v>
      </c>
      <c r="O709" s="5">
        <v>2</v>
      </c>
      <c r="P709" s="4">
        <v>0</v>
      </c>
      <c r="Q709" s="28">
        <f t="shared" si="135"/>
        <v>1.39</v>
      </c>
      <c r="R709" s="50">
        <f t="shared" si="136"/>
        <v>1.6679999999999999</v>
      </c>
      <c r="S709" s="2" t="str">
        <f t="shared" si="137"/>
        <v>Normal</v>
      </c>
      <c r="T709" s="4">
        <v>0</v>
      </c>
      <c r="U709" s="4" t="str">
        <f t="shared" si="138"/>
        <v>Ja - 20% Reduzierung</v>
      </c>
      <c r="V709" s="4">
        <f t="shared" si="139"/>
        <v>20</v>
      </c>
      <c r="W709" s="19">
        <f t="shared" si="140"/>
        <v>1.1100000000000001</v>
      </c>
      <c r="X709" s="5">
        <v>13</v>
      </c>
      <c r="Y709" s="28">
        <f t="shared" si="141"/>
        <v>3.61</v>
      </c>
      <c r="Z709" s="31" t="s">
        <v>173</v>
      </c>
      <c r="AA709" t="str">
        <f t="shared" si="142"/>
        <v>Buchungsfehler Wareneingang</v>
      </c>
    </row>
    <row r="710" spans="1:27" x14ac:dyDescent="0.35">
      <c r="A710" s="32" t="s">
        <v>17</v>
      </c>
      <c r="B710" s="2" t="str">
        <f>VLOOKUP(A710,Stammdaten!$A$3:$B$7,2,FALSE)</f>
        <v>Filiale West</v>
      </c>
      <c r="C710" s="3" t="str" cm="1">
        <f t="array" ref="C710">INDEX(Stammdaten!$A$11:$A$25,INT((ROW()-5)/12)+1 - INT((ROW()-5)/180)*15)</f>
        <v>A014</v>
      </c>
      <c r="D710" s="2" t="str">
        <f>VLOOKUP(C710,Stammdaten!$A$11:$B$25,2,FALSE)</f>
        <v>Kefir 500ml</v>
      </c>
      <c r="E710" s="3" t="str">
        <f>VLOOKUP(C710,Stammdaten!$A$11:$C$25,3,FALSE)</f>
        <v>Milch</v>
      </c>
      <c r="F710" s="19">
        <f>VLOOKUP(C710,Stammdaten!$A$11:$D$25,4,FALSE)</f>
        <v>1.39</v>
      </c>
      <c r="G710" s="4">
        <f t="shared" ref="G710:G773" si="143">MOD(ROW()-5,12)+1</f>
        <v>10</v>
      </c>
      <c r="H710" s="20" t="str">
        <f>VLOOKUP(G710,Stammdaten!$A$30:$B$41,2,FALSE)</f>
        <v>Oktober</v>
      </c>
      <c r="I710" s="4">
        <v>158</v>
      </c>
      <c r="J710" s="4">
        <v>151</v>
      </c>
      <c r="K710" s="4">
        <f t="shared" ref="K710:K773" si="144">J710-I710</f>
        <v>-7</v>
      </c>
      <c r="L710" s="27">
        <f t="shared" ref="L710:L773" si="145">IF(I710=0,0,(K710)/I710*100)</f>
        <v>-4.4303797468354427</v>
      </c>
      <c r="M710" s="52" t="str">
        <f t="shared" ref="M710:M773" si="146">IF(K710=0,"Perfekt",IF(K710&lt;0,"Schwund","Überbestand"))</f>
        <v>Schwund</v>
      </c>
      <c r="N710" s="28">
        <f t="shared" ref="N710:N773" si="147">ABS(K710)*F710</f>
        <v>9.7299999999999986</v>
      </c>
      <c r="O710" s="5">
        <v>10</v>
      </c>
      <c r="P710" s="4">
        <v>1</v>
      </c>
      <c r="Q710" s="28">
        <f t="shared" ref="Q710:Q773" si="148">IF(K710&lt;0,ABS(N710)*0.25,0)</f>
        <v>2.4324999999999997</v>
      </c>
      <c r="R710" s="50">
        <f t="shared" ref="R710:R773" si="149">IF(K710&lt;0,ABS(N710)*0.3,0)</f>
        <v>2.9189999999999996</v>
      </c>
      <c r="S710" s="2" t="str">
        <f t="shared" ref="S710:S773" si="150">IF(G710=4,"Ostern",IF(G710=12,"Weihnachten/Silvester",IF(G710=11,"Black Friday",IF(G710=2,"Karneval","Normal"))))</f>
        <v>Normal</v>
      </c>
      <c r="T710" s="4">
        <v>0</v>
      </c>
      <c r="U710" s="4" t="str">
        <f t="shared" ref="U710:U773" si="151">IF(O710&lt;=0,"Abschreibung",IF(O710&lt;=3,"Ja - 20% Reduzierung","Nein"))</f>
        <v>Nein</v>
      </c>
      <c r="V710" s="4">
        <f t="shared" ref="V710:V773" si="152">IF(O710&lt;=0,100,IF(O710&lt;=3,20,0))</f>
        <v>0</v>
      </c>
      <c r="W710" s="19">
        <f t="shared" ref="W710:W773" si="153">IF(V710=100,0,ROUND(F710*(1-V710/100),2))</f>
        <v>1.39</v>
      </c>
      <c r="X710" s="5">
        <v>0</v>
      </c>
      <c r="Y710" s="28">
        <f t="shared" ref="Y710:Y773" si="154">ROUND(X710*F710*(V710/100),2)</f>
        <v>0</v>
      </c>
      <c r="Z710" s="31" t="s">
        <v>172</v>
      </c>
      <c r="AA710" t="str">
        <f t="shared" ref="AA710:AA773" si="155">IF(O710&lt;=0,"Verderb - Abgelaufen",IF(AND(O710&lt;=3,Z710&lt;&gt;"Korrekt",Z710&lt;&gt;"Kein MHD - Prozess"),"MHD - Prozessfehler",IF(K710&gt;0,"Kassenfehler (Überbestand)",IF(AND(ABS(L710)&gt;3,A710="F005"),"Diebstahlrisiko",IF(AND(ABS(L710)&gt;2,P710&lt;2),"Buchungsfehler Wareneingang",IF(ABS(L710)&gt;2,"Prozessfehler","Normal/Gering"))))))</f>
        <v>Buchungsfehler Wareneingang</v>
      </c>
    </row>
    <row r="711" spans="1:27" x14ac:dyDescent="0.35">
      <c r="A711" s="32" t="s">
        <v>17</v>
      </c>
      <c r="B711" s="2" t="str">
        <f>VLOOKUP(A711,Stammdaten!$A$3:$B$7,2,FALSE)</f>
        <v>Filiale West</v>
      </c>
      <c r="C711" s="3" t="str" cm="1">
        <f t="array" ref="C711">INDEX(Stammdaten!$A$11:$A$25,INT((ROW()-5)/12)+1 - INT((ROW()-5)/180)*15)</f>
        <v>A014</v>
      </c>
      <c r="D711" s="2" t="str">
        <f>VLOOKUP(C711,Stammdaten!$A$11:$B$25,2,FALSE)</f>
        <v>Kefir 500ml</v>
      </c>
      <c r="E711" s="3" t="str">
        <f>VLOOKUP(C711,Stammdaten!$A$11:$C$25,3,FALSE)</f>
        <v>Milch</v>
      </c>
      <c r="F711" s="19">
        <f>VLOOKUP(C711,Stammdaten!$A$11:$D$25,4,FALSE)</f>
        <v>1.39</v>
      </c>
      <c r="G711" s="4">
        <f t="shared" si="143"/>
        <v>11</v>
      </c>
      <c r="H711" s="20" t="str">
        <f>VLOOKUP(G711,Stammdaten!$A$30:$B$41,2,FALSE)</f>
        <v>November</v>
      </c>
      <c r="I711" s="4">
        <v>183</v>
      </c>
      <c r="J711" s="4">
        <v>177</v>
      </c>
      <c r="K711" s="4">
        <f t="shared" si="144"/>
        <v>-6</v>
      </c>
      <c r="L711" s="27">
        <f t="shared" si="145"/>
        <v>-3.278688524590164</v>
      </c>
      <c r="M711" s="52" t="str">
        <f t="shared" si="146"/>
        <v>Schwund</v>
      </c>
      <c r="N711" s="28">
        <f t="shared" si="147"/>
        <v>8.34</v>
      </c>
      <c r="O711" s="5">
        <v>4</v>
      </c>
      <c r="P711" s="4">
        <v>2</v>
      </c>
      <c r="Q711" s="28">
        <f t="shared" si="148"/>
        <v>2.085</v>
      </c>
      <c r="R711" s="50">
        <f t="shared" si="149"/>
        <v>2.5019999999999998</v>
      </c>
      <c r="S711" s="2" t="str">
        <f t="shared" si="150"/>
        <v>Black Friday</v>
      </c>
      <c r="T711" s="4">
        <v>0</v>
      </c>
      <c r="U711" s="4" t="str">
        <f t="shared" si="151"/>
        <v>Nein</v>
      </c>
      <c r="V711" s="4">
        <f t="shared" si="152"/>
        <v>0</v>
      </c>
      <c r="W711" s="19">
        <f t="shared" si="153"/>
        <v>1.39</v>
      </c>
      <c r="X711" s="5">
        <v>0</v>
      </c>
      <c r="Y711" s="28">
        <f t="shared" si="154"/>
        <v>0</v>
      </c>
      <c r="Z711" s="31" t="s">
        <v>172</v>
      </c>
      <c r="AA711" t="str">
        <f t="shared" si="155"/>
        <v>Prozessfehler</v>
      </c>
    </row>
    <row r="712" spans="1:27" x14ac:dyDescent="0.35">
      <c r="A712" s="32" t="s">
        <v>17</v>
      </c>
      <c r="B712" s="2" t="str">
        <f>VLOOKUP(A712,Stammdaten!$A$3:$B$7,2,FALSE)</f>
        <v>Filiale West</v>
      </c>
      <c r="C712" s="3" t="str" cm="1">
        <f t="array" ref="C712">INDEX(Stammdaten!$A$11:$A$25,INT((ROW()-5)/12)+1 - INT((ROW()-5)/180)*15)</f>
        <v>A014</v>
      </c>
      <c r="D712" s="2" t="str">
        <f>VLOOKUP(C712,Stammdaten!$A$11:$B$25,2,FALSE)</f>
        <v>Kefir 500ml</v>
      </c>
      <c r="E712" s="3" t="str">
        <f>VLOOKUP(C712,Stammdaten!$A$11:$C$25,3,FALSE)</f>
        <v>Milch</v>
      </c>
      <c r="F712" s="19">
        <f>VLOOKUP(C712,Stammdaten!$A$11:$D$25,4,FALSE)</f>
        <v>1.39</v>
      </c>
      <c r="G712" s="4">
        <f t="shared" si="143"/>
        <v>12</v>
      </c>
      <c r="H712" s="20" t="str">
        <f>VLOOKUP(G712,Stammdaten!$A$30:$B$41,2,FALSE)</f>
        <v>Dezember</v>
      </c>
      <c r="I712" s="4">
        <v>236</v>
      </c>
      <c r="J712" s="4">
        <v>225</v>
      </c>
      <c r="K712" s="4">
        <f t="shared" si="144"/>
        <v>-11</v>
      </c>
      <c r="L712" s="27">
        <f t="shared" si="145"/>
        <v>-4.6610169491525424</v>
      </c>
      <c r="M712" s="52" t="str">
        <f t="shared" si="146"/>
        <v>Schwund</v>
      </c>
      <c r="N712" s="28">
        <f t="shared" si="147"/>
        <v>15.29</v>
      </c>
      <c r="O712" s="5">
        <v>5</v>
      </c>
      <c r="P712" s="4">
        <v>3</v>
      </c>
      <c r="Q712" s="28">
        <f t="shared" si="148"/>
        <v>3.8224999999999998</v>
      </c>
      <c r="R712" s="50">
        <f t="shared" si="149"/>
        <v>4.5869999999999997</v>
      </c>
      <c r="S712" s="2" t="str">
        <f t="shared" si="150"/>
        <v>Weihnachten/Silvester</v>
      </c>
      <c r="T712" s="4">
        <v>0</v>
      </c>
      <c r="U712" s="4" t="str">
        <f t="shared" si="151"/>
        <v>Nein</v>
      </c>
      <c r="V712" s="4">
        <f t="shared" si="152"/>
        <v>0</v>
      </c>
      <c r="W712" s="19">
        <f t="shared" si="153"/>
        <v>1.39</v>
      </c>
      <c r="X712" s="5">
        <v>0</v>
      </c>
      <c r="Y712" s="28">
        <f t="shared" si="154"/>
        <v>0</v>
      </c>
      <c r="Z712" s="31" t="s">
        <v>172</v>
      </c>
      <c r="AA712" t="str">
        <f t="shared" si="155"/>
        <v>Prozessfehler</v>
      </c>
    </row>
    <row r="713" spans="1:27" x14ac:dyDescent="0.35">
      <c r="A713" s="32" t="s">
        <v>17</v>
      </c>
      <c r="B713" s="2" t="str">
        <f>VLOOKUP(A713,Stammdaten!$A$3:$B$7,2,FALSE)</f>
        <v>Filiale West</v>
      </c>
      <c r="C713" s="3" t="str" cm="1">
        <f t="array" ref="C713">INDEX(Stammdaten!$A$11:$A$25,INT((ROW()-5)/12)+1 - INT((ROW()-5)/180)*15)</f>
        <v>A015</v>
      </c>
      <c r="D713" s="2" t="str">
        <f>VLOOKUP(C713,Stammdaten!$A$11:$B$25,2,FALSE)</f>
        <v>Frischkäse 200g</v>
      </c>
      <c r="E713" s="3" t="str">
        <f>VLOOKUP(C713,Stammdaten!$A$11:$C$25,3,FALSE)</f>
        <v>Käse</v>
      </c>
      <c r="F713" s="19">
        <f>VLOOKUP(C713,Stammdaten!$A$11:$D$25,4,FALSE)</f>
        <v>1.49</v>
      </c>
      <c r="G713" s="4">
        <f t="shared" si="143"/>
        <v>1</v>
      </c>
      <c r="H713" s="20" t="str">
        <f>VLOOKUP(G713,Stammdaten!$A$30:$B$41,2,FALSE)</f>
        <v>Januar</v>
      </c>
      <c r="I713" s="4">
        <v>208</v>
      </c>
      <c r="J713" s="4">
        <v>206</v>
      </c>
      <c r="K713" s="4">
        <f t="shared" si="144"/>
        <v>-2</v>
      </c>
      <c r="L713" s="27">
        <f t="shared" si="145"/>
        <v>-0.96153846153846156</v>
      </c>
      <c r="M713" s="52" t="str">
        <f t="shared" si="146"/>
        <v>Schwund</v>
      </c>
      <c r="N713" s="28">
        <f t="shared" si="147"/>
        <v>2.98</v>
      </c>
      <c r="O713" s="5">
        <v>2</v>
      </c>
      <c r="P713" s="4">
        <v>6</v>
      </c>
      <c r="Q713" s="28">
        <f t="shared" si="148"/>
        <v>0.745</v>
      </c>
      <c r="R713" s="50">
        <f t="shared" si="149"/>
        <v>0.89400000000000002</v>
      </c>
      <c r="S713" s="2" t="str">
        <f t="shared" si="150"/>
        <v>Normal</v>
      </c>
      <c r="T713" s="4">
        <v>0</v>
      </c>
      <c r="U713" s="4" t="str">
        <f t="shared" si="151"/>
        <v>Ja - 20% Reduzierung</v>
      </c>
      <c r="V713" s="4">
        <f t="shared" si="152"/>
        <v>20</v>
      </c>
      <c r="W713" s="19">
        <f t="shared" si="153"/>
        <v>1.19</v>
      </c>
      <c r="X713" s="5">
        <v>29</v>
      </c>
      <c r="Y713" s="28">
        <f t="shared" si="154"/>
        <v>8.64</v>
      </c>
      <c r="Z713" s="31" t="s">
        <v>173</v>
      </c>
      <c r="AA713" t="str">
        <f t="shared" si="155"/>
        <v>Normal/Gering</v>
      </c>
    </row>
    <row r="714" spans="1:27" x14ac:dyDescent="0.35">
      <c r="A714" s="32" t="s">
        <v>17</v>
      </c>
      <c r="B714" s="2" t="str">
        <f>VLOOKUP(A714,Stammdaten!$A$3:$B$7,2,FALSE)</f>
        <v>Filiale West</v>
      </c>
      <c r="C714" s="3" t="str" cm="1">
        <f t="array" ref="C714">INDEX(Stammdaten!$A$11:$A$25,INT((ROW()-5)/12)+1 - INT((ROW()-5)/180)*15)</f>
        <v>A015</v>
      </c>
      <c r="D714" s="2" t="str">
        <f>VLOOKUP(C714,Stammdaten!$A$11:$B$25,2,FALSE)</f>
        <v>Frischkäse 200g</v>
      </c>
      <c r="E714" s="3" t="str">
        <f>VLOOKUP(C714,Stammdaten!$A$11:$C$25,3,FALSE)</f>
        <v>Käse</v>
      </c>
      <c r="F714" s="19">
        <f>VLOOKUP(C714,Stammdaten!$A$11:$D$25,4,FALSE)</f>
        <v>1.49</v>
      </c>
      <c r="G714" s="4">
        <f t="shared" si="143"/>
        <v>2</v>
      </c>
      <c r="H714" s="20" t="str">
        <f>VLOOKUP(G714,Stammdaten!$A$30:$B$41,2,FALSE)</f>
        <v>Februar</v>
      </c>
      <c r="I714" s="4">
        <v>196</v>
      </c>
      <c r="J714" s="4">
        <v>193</v>
      </c>
      <c r="K714" s="4">
        <f t="shared" si="144"/>
        <v>-3</v>
      </c>
      <c r="L714" s="27">
        <f t="shared" si="145"/>
        <v>-1.5306122448979591</v>
      </c>
      <c r="M714" s="52" t="str">
        <f t="shared" si="146"/>
        <v>Schwund</v>
      </c>
      <c r="N714" s="28">
        <f t="shared" si="147"/>
        <v>4.47</v>
      </c>
      <c r="O714" s="5">
        <v>8</v>
      </c>
      <c r="P714" s="4">
        <v>5</v>
      </c>
      <c r="Q714" s="28">
        <f t="shared" si="148"/>
        <v>1.1174999999999999</v>
      </c>
      <c r="R714" s="50">
        <f t="shared" si="149"/>
        <v>1.341</v>
      </c>
      <c r="S714" s="2" t="str">
        <f t="shared" si="150"/>
        <v>Karneval</v>
      </c>
      <c r="T714" s="4">
        <v>0</v>
      </c>
      <c r="U714" s="4" t="str">
        <f t="shared" si="151"/>
        <v>Nein</v>
      </c>
      <c r="V714" s="4">
        <f t="shared" si="152"/>
        <v>0</v>
      </c>
      <c r="W714" s="19">
        <f t="shared" si="153"/>
        <v>1.49</v>
      </c>
      <c r="X714" s="5">
        <v>0</v>
      </c>
      <c r="Y714" s="28">
        <f t="shared" si="154"/>
        <v>0</v>
      </c>
      <c r="Z714" s="31" t="s">
        <v>172</v>
      </c>
      <c r="AA714" t="str">
        <f t="shared" si="155"/>
        <v>Normal/Gering</v>
      </c>
    </row>
    <row r="715" spans="1:27" x14ac:dyDescent="0.35">
      <c r="A715" s="32" t="s">
        <v>17</v>
      </c>
      <c r="B715" s="2" t="str">
        <f>VLOOKUP(A715,Stammdaten!$A$3:$B$7,2,FALSE)</f>
        <v>Filiale West</v>
      </c>
      <c r="C715" s="3" t="str" cm="1">
        <f t="array" ref="C715">INDEX(Stammdaten!$A$11:$A$25,INT((ROW()-5)/12)+1 - INT((ROW()-5)/180)*15)</f>
        <v>A015</v>
      </c>
      <c r="D715" s="2" t="str">
        <f>VLOOKUP(C715,Stammdaten!$A$11:$B$25,2,FALSE)</f>
        <v>Frischkäse 200g</v>
      </c>
      <c r="E715" s="3" t="str">
        <f>VLOOKUP(C715,Stammdaten!$A$11:$C$25,3,FALSE)</f>
        <v>Käse</v>
      </c>
      <c r="F715" s="19">
        <f>VLOOKUP(C715,Stammdaten!$A$11:$D$25,4,FALSE)</f>
        <v>1.49</v>
      </c>
      <c r="G715" s="4">
        <f t="shared" si="143"/>
        <v>3</v>
      </c>
      <c r="H715" s="20" t="str">
        <f>VLOOKUP(G715,Stammdaten!$A$30:$B$41,2,FALSE)</f>
        <v>März</v>
      </c>
      <c r="I715" s="4">
        <v>219</v>
      </c>
      <c r="J715" s="4">
        <v>215</v>
      </c>
      <c r="K715" s="4">
        <f t="shared" si="144"/>
        <v>-4</v>
      </c>
      <c r="L715" s="27">
        <f t="shared" si="145"/>
        <v>-1.8264840182648401</v>
      </c>
      <c r="M715" s="52" t="str">
        <f t="shared" si="146"/>
        <v>Schwund</v>
      </c>
      <c r="N715" s="28">
        <f t="shared" si="147"/>
        <v>5.96</v>
      </c>
      <c r="O715" s="5">
        <v>1</v>
      </c>
      <c r="P715" s="4">
        <v>6</v>
      </c>
      <c r="Q715" s="28">
        <f t="shared" si="148"/>
        <v>1.49</v>
      </c>
      <c r="R715" s="50">
        <f t="shared" si="149"/>
        <v>1.788</v>
      </c>
      <c r="S715" s="2" t="str">
        <f t="shared" si="150"/>
        <v>Normal</v>
      </c>
      <c r="T715" s="4">
        <v>0</v>
      </c>
      <c r="U715" s="4" t="str">
        <f t="shared" si="151"/>
        <v>Ja - 20% Reduzierung</v>
      </c>
      <c r="V715" s="4">
        <f t="shared" si="152"/>
        <v>20</v>
      </c>
      <c r="W715" s="19">
        <f t="shared" si="153"/>
        <v>1.19</v>
      </c>
      <c r="X715" s="5">
        <v>24</v>
      </c>
      <c r="Y715" s="28">
        <f t="shared" si="154"/>
        <v>7.15</v>
      </c>
      <c r="Z715" s="31" t="s">
        <v>173</v>
      </c>
      <c r="AA715" t="str">
        <f t="shared" si="155"/>
        <v>Normal/Gering</v>
      </c>
    </row>
    <row r="716" spans="1:27" x14ac:dyDescent="0.35">
      <c r="A716" s="32" t="s">
        <v>17</v>
      </c>
      <c r="B716" s="2" t="str">
        <f>VLOOKUP(A716,Stammdaten!$A$3:$B$7,2,FALSE)</f>
        <v>Filiale West</v>
      </c>
      <c r="C716" s="3" t="str" cm="1">
        <f t="array" ref="C716">INDEX(Stammdaten!$A$11:$A$25,INT((ROW()-5)/12)+1 - INT((ROW()-5)/180)*15)</f>
        <v>A015</v>
      </c>
      <c r="D716" s="2" t="str">
        <f>VLOOKUP(C716,Stammdaten!$A$11:$B$25,2,FALSE)</f>
        <v>Frischkäse 200g</v>
      </c>
      <c r="E716" s="3" t="str">
        <f>VLOOKUP(C716,Stammdaten!$A$11:$C$25,3,FALSE)</f>
        <v>Käse</v>
      </c>
      <c r="F716" s="19">
        <f>VLOOKUP(C716,Stammdaten!$A$11:$D$25,4,FALSE)</f>
        <v>1.49</v>
      </c>
      <c r="G716" s="4">
        <f t="shared" si="143"/>
        <v>4</v>
      </c>
      <c r="H716" s="20" t="str">
        <f>VLOOKUP(G716,Stammdaten!$A$30:$B$41,2,FALSE)</f>
        <v>April</v>
      </c>
      <c r="I716" s="4">
        <v>286</v>
      </c>
      <c r="J716" s="4">
        <v>280</v>
      </c>
      <c r="K716" s="4">
        <f t="shared" si="144"/>
        <v>-6</v>
      </c>
      <c r="L716" s="27">
        <f t="shared" si="145"/>
        <v>-2.0979020979020979</v>
      </c>
      <c r="M716" s="52" t="str">
        <f t="shared" si="146"/>
        <v>Schwund</v>
      </c>
      <c r="N716" s="28">
        <f t="shared" si="147"/>
        <v>8.94</v>
      </c>
      <c r="O716" s="5">
        <v>16</v>
      </c>
      <c r="P716" s="4">
        <v>6</v>
      </c>
      <c r="Q716" s="28">
        <f t="shared" si="148"/>
        <v>2.2349999999999999</v>
      </c>
      <c r="R716" s="50">
        <f t="shared" si="149"/>
        <v>2.6819999999999999</v>
      </c>
      <c r="S716" s="2" t="str">
        <f t="shared" si="150"/>
        <v>Ostern</v>
      </c>
      <c r="T716" s="4">
        <v>0</v>
      </c>
      <c r="U716" s="4" t="str">
        <f t="shared" si="151"/>
        <v>Nein</v>
      </c>
      <c r="V716" s="4">
        <f t="shared" si="152"/>
        <v>0</v>
      </c>
      <c r="W716" s="19">
        <f t="shared" si="153"/>
        <v>1.49</v>
      </c>
      <c r="X716" s="5">
        <v>0</v>
      </c>
      <c r="Y716" s="28">
        <f t="shared" si="154"/>
        <v>0</v>
      </c>
      <c r="Z716" s="31" t="s">
        <v>172</v>
      </c>
      <c r="AA716" t="str">
        <f t="shared" si="155"/>
        <v>Prozessfehler</v>
      </c>
    </row>
    <row r="717" spans="1:27" x14ac:dyDescent="0.35">
      <c r="A717" s="32" t="s">
        <v>17</v>
      </c>
      <c r="B717" s="2" t="str">
        <f>VLOOKUP(A717,Stammdaten!$A$3:$B$7,2,FALSE)</f>
        <v>Filiale West</v>
      </c>
      <c r="C717" s="3" t="str" cm="1">
        <f t="array" ref="C717">INDEX(Stammdaten!$A$11:$A$25,INT((ROW()-5)/12)+1 - INT((ROW()-5)/180)*15)</f>
        <v>A015</v>
      </c>
      <c r="D717" s="2" t="str">
        <f>VLOOKUP(C717,Stammdaten!$A$11:$B$25,2,FALSE)</f>
        <v>Frischkäse 200g</v>
      </c>
      <c r="E717" s="3" t="str">
        <f>VLOOKUP(C717,Stammdaten!$A$11:$C$25,3,FALSE)</f>
        <v>Käse</v>
      </c>
      <c r="F717" s="19">
        <f>VLOOKUP(C717,Stammdaten!$A$11:$D$25,4,FALSE)</f>
        <v>1.49</v>
      </c>
      <c r="G717" s="4">
        <f t="shared" si="143"/>
        <v>5</v>
      </c>
      <c r="H717" s="20" t="str">
        <f>VLOOKUP(G717,Stammdaten!$A$30:$B$41,2,FALSE)</f>
        <v>Mai</v>
      </c>
      <c r="I717" s="4">
        <v>224</v>
      </c>
      <c r="J717" s="4">
        <v>220</v>
      </c>
      <c r="K717" s="4">
        <f t="shared" si="144"/>
        <v>-4</v>
      </c>
      <c r="L717" s="27">
        <f t="shared" si="145"/>
        <v>-1.7857142857142856</v>
      </c>
      <c r="M717" s="52" t="str">
        <f t="shared" si="146"/>
        <v>Schwund</v>
      </c>
      <c r="N717" s="28">
        <f t="shared" si="147"/>
        <v>5.96</v>
      </c>
      <c r="O717" s="5">
        <v>4</v>
      </c>
      <c r="P717" s="4">
        <v>5</v>
      </c>
      <c r="Q717" s="28">
        <f t="shared" si="148"/>
        <v>1.49</v>
      </c>
      <c r="R717" s="50">
        <f t="shared" si="149"/>
        <v>1.788</v>
      </c>
      <c r="S717" s="2" t="str">
        <f t="shared" si="150"/>
        <v>Normal</v>
      </c>
      <c r="T717" s="4">
        <v>0</v>
      </c>
      <c r="U717" s="4" t="str">
        <f t="shared" si="151"/>
        <v>Nein</v>
      </c>
      <c r="V717" s="4">
        <f t="shared" si="152"/>
        <v>0</v>
      </c>
      <c r="W717" s="19">
        <f t="shared" si="153"/>
        <v>1.49</v>
      </c>
      <c r="X717" s="5">
        <v>0</v>
      </c>
      <c r="Y717" s="28">
        <f t="shared" si="154"/>
        <v>0</v>
      </c>
      <c r="Z717" s="31" t="s">
        <v>172</v>
      </c>
      <c r="AA717" t="str">
        <f t="shared" si="155"/>
        <v>Normal/Gering</v>
      </c>
    </row>
    <row r="718" spans="1:27" x14ac:dyDescent="0.35">
      <c r="A718" s="32" t="s">
        <v>17</v>
      </c>
      <c r="B718" s="2" t="str">
        <f>VLOOKUP(A718,Stammdaten!$A$3:$B$7,2,FALSE)</f>
        <v>Filiale West</v>
      </c>
      <c r="C718" s="3" t="str" cm="1">
        <f t="array" ref="C718">INDEX(Stammdaten!$A$11:$A$25,INT((ROW()-5)/12)+1 - INT((ROW()-5)/180)*15)</f>
        <v>A015</v>
      </c>
      <c r="D718" s="2" t="str">
        <f>VLOOKUP(C718,Stammdaten!$A$11:$B$25,2,FALSE)</f>
        <v>Frischkäse 200g</v>
      </c>
      <c r="E718" s="3" t="str">
        <f>VLOOKUP(C718,Stammdaten!$A$11:$C$25,3,FALSE)</f>
        <v>Käse</v>
      </c>
      <c r="F718" s="19">
        <f>VLOOKUP(C718,Stammdaten!$A$11:$D$25,4,FALSE)</f>
        <v>1.49</v>
      </c>
      <c r="G718" s="4">
        <f t="shared" si="143"/>
        <v>6</v>
      </c>
      <c r="H718" s="20" t="str">
        <f>VLOOKUP(G718,Stammdaten!$A$30:$B$41,2,FALSE)</f>
        <v>Juni</v>
      </c>
      <c r="I718" s="4">
        <v>247</v>
      </c>
      <c r="J718" s="4">
        <v>247</v>
      </c>
      <c r="K718" s="4">
        <f t="shared" si="144"/>
        <v>0</v>
      </c>
      <c r="L718" s="27">
        <f t="shared" si="145"/>
        <v>0</v>
      </c>
      <c r="M718" s="52" t="str">
        <f t="shared" si="146"/>
        <v>Perfekt</v>
      </c>
      <c r="N718" s="28">
        <f t="shared" si="147"/>
        <v>0</v>
      </c>
      <c r="O718" s="5">
        <v>8</v>
      </c>
      <c r="P718" s="4">
        <v>5</v>
      </c>
      <c r="Q718" s="28">
        <f t="shared" si="148"/>
        <v>0</v>
      </c>
      <c r="R718" s="50">
        <f t="shared" si="149"/>
        <v>0</v>
      </c>
      <c r="S718" s="2" t="str">
        <f t="shared" si="150"/>
        <v>Normal</v>
      </c>
      <c r="T718" s="4">
        <v>0</v>
      </c>
      <c r="U718" s="4" t="str">
        <f t="shared" si="151"/>
        <v>Nein</v>
      </c>
      <c r="V718" s="4">
        <f t="shared" si="152"/>
        <v>0</v>
      </c>
      <c r="W718" s="19">
        <f t="shared" si="153"/>
        <v>1.49</v>
      </c>
      <c r="X718" s="5">
        <v>0</v>
      </c>
      <c r="Y718" s="28">
        <f t="shared" si="154"/>
        <v>0</v>
      </c>
      <c r="Z718" s="31" t="s">
        <v>172</v>
      </c>
      <c r="AA718" t="str">
        <f t="shared" si="155"/>
        <v>Normal/Gering</v>
      </c>
    </row>
    <row r="719" spans="1:27" x14ac:dyDescent="0.35">
      <c r="A719" s="32" t="s">
        <v>17</v>
      </c>
      <c r="B719" s="2" t="str">
        <f>VLOOKUP(A719,Stammdaten!$A$3:$B$7,2,FALSE)</f>
        <v>Filiale West</v>
      </c>
      <c r="C719" s="3" t="str" cm="1">
        <f t="array" ref="C719">INDEX(Stammdaten!$A$11:$A$25,INT((ROW()-5)/12)+1 - INT((ROW()-5)/180)*15)</f>
        <v>A015</v>
      </c>
      <c r="D719" s="2" t="str">
        <f>VLOOKUP(C719,Stammdaten!$A$11:$B$25,2,FALSE)</f>
        <v>Frischkäse 200g</v>
      </c>
      <c r="E719" s="3" t="str">
        <f>VLOOKUP(C719,Stammdaten!$A$11:$C$25,3,FALSE)</f>
        <v>Käse</v>
      </c>
      <c r="F719" s="19">
        <f>VLOOKUP(C719,Stammdaten!$A$11:$D$25,4,FALSE)</f>
        <v>1.49</v>
      </c>
      <c r="G719" s="4">
        <f t="shared" si="143"/>
        <v>7</v>
      </c>
      <c r="H719" s="20" t="str">
        <f>VLOOKUP(G719,Stammdaten!$A$30:$B$41,2,FALSE)</f>
        <v>Juli</v>
      </c>
      <c r="I719" s="4">
        <v>259</v>
      </c>
      <c r="J719" s="4">
        <v>256</v>
      </c>
      <c r="K719" s="4">
        <f t="shared" si="144"/>
        <v>-3</v>
      </c>
      <c r="L719" s="27">
        <f t="shared" si="145"/>
        <v>-1.1583011583011582</v>
      </c>
      <c r="M719" s="52" t="str">
        <f t="shared" si="146"/>
        <v>Schwund</v>
      </c>
      <c r="N719" s="28">
        <f t="shared" si="147"/>
        <v>4.47</v>
      </c>
      <c r="O719" s="5">
        <v>13</v>
      </c>
      <c r="P719" s="4">
        <v>0</v>
      </c>
      <c r="Q719" s="28">
        <f t="shared" si="148"/>
        <v>1.1174999999999999</v>
      </c>
      <c r="R719" s="50">
        <f t="shared" si="149"/>
        <v>1.341</v>
      </c>
      <c r="S719" s="2" t="str">
        <f t="shared" si="150"/>
        <v>Normal</v>
      </c>
      <c r="T719" s="4">
        <v>0</v>
      </c>
      <c r="U719" s="4" t="str">
        <f t="shared" si="151"/>
        <v>Nein</v>
      </c>
      <c r="V719" s="4">
        <f t="shared" si="152"/>
        <v>0</v>
      </c>
      <c r="W719" s="19">
        <f t="shared" si="153"/>
        <v>1.49</v>
      </c>
      <c r="X719" s="5">
        <v>0</v>
      </c>
      <c r="Y719" s="28">
        <f t="shared" si="154"/>
        <v>0</v>
      </c>
      <c r="Z719" s="31" t="s">
        <v>172</v>
      </c>
      <c r="AA719" t="str">
        <f t="shared" si="155"/>
        <v>Normal/Gering</v>
      </c>
    </row>
    <row r="720" spans="1:27" x14ac:dyDescent="0.35">
      <c r="A720" s="32" t="s">
        <v>17</v>
      </c>
      <c r="B720" s="2" t="str">
        <f>VLOOKUP(A720,Stammdaten!$A$3:$B$7,2,FALSE)</f>
        <v>Filiale West</v>
      </c>
      <c r="C720" s="3" t="str" cm="1">
        <f t="array" ref="C720">INDEX(Stammdaten!$A$11:$A$25,INT((ROW()-5)/12)+1 - INT((ROW()-5)/180)*15)</f>
        <v>A015</v>
      </c>
      <c r="D720" s="2" t="str">
        <f>VLOOKUP(C720,Stammdaten!$A$11:$B$25,2,FALSE)</f>
        <v>Frischkäse 200g</v>
      </c>
      <c r="E720" s="3" t="str">
        <f>VLOOKUP(C720,Stammdaten!$A$11:$C$25,3,FALSE)</f>
        <v>Käse</v>
      </c>
      <c r="F720" s="19">
        <f>VLOOKUP(C720,Stammdaten!$A$11:$D$25,4,FALSE)</f>
        <v>1.49</v>
      </c>
      <c r="G720" s="4">
        <f t="shared" si="143"/>
        <v>8</v>
      </c>
      <c r="H720" s="20" t="str">
        <f>VLOOKUP(G720,Stammdaten!$A$30:$B$41,2,FALSE)</f>
        <v>August</v>
      </c>
      <c r="I720" s="4">
        <v>245</v>
      </c>
      <c r="J720" s="4">
        <v>250</v>
      </c>
      <c r="K720" s="4">
        <f t="shared" si="144"/>
        <v>5</v>
      </c>
      <c r="L720" s="27">
        <f t="shared" si="145"/>
        <v>2.0408163265306123</v>
      </c>
      <c r="M720" s="52" t="str">
        <f t="shared" si="146"/>
        <v>Überbestand</v>
      </c>
      <c r="N720" s="28">
        <f t="shared" si="147"/>
        <v>7.45</v>
      </c>
      <c r="O720" s="5">
        <v>13</v>
      </c>
      <c r="P720" s="4">
        <v>6</v>
      </c>
      <c r="Q720" s="28">
        <f t="shared" si="148"/>
        <v>0</v>
      </c>
      <c r="R720" s="50">
        <f t="shared" si="149"/>
        <v>0</v>
      </c>
      <c r="S720" s="2" t="str">
        <f t="shared" si="150"/>
        <v>Normal</v>
      </c>
      <c r="T720" s="4">
        <v>5</v>
      </c>
      <c r="U720" s="4" t="str">
        <f t="shared" si="151"/>
        <v>Nein</v>
      </c>
      <c r="V720" s="4">
        <f t="shared" si="152"/>
        <v>0</v>
      </c>
      <c r="W720" s="19">
        <f t="shared" si="153"/>
        <v>1.49</v>
      </c>
      <c r="X720" s="5">
        <v>0</v>
      </c>
      <c r="Y720" s="28">
        <f t="shared" si="154"/>
        <v>0</v>
      </c>
      <c r="Z720" s="31" t="s">
        <v>172</v>
      </c>
      <c r="AA720" t="str">
        <f t="shared" si="155"/>
        <v>Kassenfehler (Überbestand)</v>
      </c>
    </row>
    <row r="721" spans="1:27" x14ac:dyDescent="0.35">
      <c r="A721" s="32" t="s">
        <v>17</v>
      </c>
      <c r="B721" s="2" t="str">
        <f>VLOOKUP(A721,Stammdaten!$A$3:$B$7,2,FALSE)</f>
        <v>Filiale West</v>
      </c>
      <c r="C721" s="3" t="str" cm="1">
        <f t="array" ref="C721">INDEX(Stammdaten!$A$11:$A$25,INT((ROW()-5)/12)+1 - INT((ROW()-5)/180)*15)</f>
        <v>A015</v>
      </c>
      <c r="D721" s="2" t="str">
        <f>VLOOKUP(C721,Stammdaten!$A$11:$B$25,2,FALSE)</f>
        <v>Frischkäse 200g</v>
      </c>
      <c r="E721" s="3" t="str">
        <f>VLOOKUP(C721,Stammdaten!$A$11:$C$25,3,FALSE)</f>
        <v>Käse</v>
      </c>
      <c r="F721" s="19">
        <f>VLOOKUP(C721,Stammdaten!$A$11:$D$25,4,FALSE)</f>
        <v>1.49</v>
      </c>
      <c r="G721" s="4">
        <f t="shared" si="143"/>
        <v>9</v>
      </c>
      <c r="H721" s="20" t="str">
        <f>VLOOKUP(G721,Stammdaten!$A$30:$B$41,2,FALSE)</f>
        <v>September</v>
      </c>
      <c r="I721" s="4">
        <v>219</v>
      </c>
      <c r="J721" s="4">
        <v>216</v>
      </c>
      <c r="K721" s="4">
        <f t="shared" si="144"/>
        <v>-3</v>
      </c>
      <c r="L721" s="27">
        <f t="shared" si="145"/>
        <v>-1.3698630136986301</v>
      </c>
      <c r="M721" s="52" t="str">
        <f t="shared" si="146"/>
        <v>Schwund</v>
      </c>
      <c r="N721" s="28">
        <f t="shared" si="147"/>
        <v>4.47</v>
      </c>
      <c r="O721" s="5">
        <v>17</v>
      </c>
      <c r="P721" s="4">
        <v>7</v>
      </c>
      <c r="Q721" s="28">
        <f t="shared" si="148"/>
        <v>1.1174999999999999</v>
      </c>
      <c r="R721" s="50">
        <f t="shared" si="149"/>
        <v>1.341</v>
      </c>
      <c r="S721" s="2" t="str">
        <f t="shared" si="150"/>
        <v>Normal</v>
      </c>
      <c r="T721" s="4">
        <v>0</v>
      </c>
      <c r="U721" s="4" t="str">
        <f t="shared" si="151"/>
        <v>Nein</v>
      </c>
      <c r="V721" s="4">
        <f t="shared" si="152"/>
        <v>0</v>
      </c>
      <c r="W721" s="19">
        <f t="shared" si="153"/>
        <v>1.49</v>
      </c>
      <c r="X721" s="5">
        <v>0</v>
      </c>
      <c r="Y721" s="28">
        <f t="shared" si="154"/>
        <v>0</v>
      </c>
      <c r="Z721" s="31" t="s">
        <v>172</v>
      </c>
      <c r="AA721" t="str">
        <f t="shared" si="155"/>
        <v>Normal/Gering</v>
      </c>
    </row>
    <row r="722" spans="1:27" x14ac:dyDescent="0.35">
      <c r="A722" s="32" t="s">
        <v>17</v>
      </c>
      <c r="B722" s="2" t="str">
        <f>VLOOKUP(A722,Stammdaten!$A$3:$B$7,2,FALSE)</f>
        <v>Filiale West</v>
      </c>
      <c r="C722" s="3" t="str" cm="1">
        <f t="array" ref="C722">INDEX(Stammdaten!$A$11:$A$25,INT((ROW()-5)/12)+1 - INT((ROW()-5)/180)*15)</f>
        <v>A015</v>
      </c>
      <c r="D722" s="2" t="str">
        <f>VLOOKUP(C722,Stammdaten!$A$11:$B$25,2,FALSE)</f>
        <v>Frischkäse 200g</v>
      </c>
      <c r="E722" s="3" t="str">
        <f>VLOOKUP(C722,Stammdaten!$A$11:$C$25,3,FALSE)</f>
        <v>Käse</v>
      </c>
      <c r="F722" s="19">
        <f>VLOOKUP(C722,Stammdaten!$A$11:$D$25,4,FALSE)</f>
        <v>1.49</v>
      </c>
      <c r="G722" s="4">
        <f t="shared" si="143"/>
        <v>10</v>
      </c>
      <c r="H722" s="20" t="str">
        <f>VLOOKUP(G722,Stammdaten!$A$30:$B$41,2,FALSE)</f>
        <v>Oktober</v>
      </c>
      <c r="I722" s="4">
        <v>216</v>
      </c>
      <c r="J722" s="4">
        <v>212</v>
      </c>
      <c r="K722" s="4">
        <f t="shared" si="144"/>
        <v>-4</v>
      </c>
      <c r="L722" s="27">
        <f t="shared" si="145"/>
        <v>-1.8518518518518516</v>
      </c>
      <c r="M722" s="52" t="str">
        <f t="shared" si="146"/>
        <v>Schwund</v>
      </c>
      <c r="N722" s="28">
        <f t="shared" si="147"/>
        <v>5.96</v>
      </c>
      <c r="O722" s="5">
        <v>20</v>
      </c>
      <c r="P722" s="4">
        <v>5</v>
      </c>
      <c r="Q722" s="28">
        <f t="shared" si="148"/>
        <v>1.49</v>
      </c>
      <c r="R722" s="50">
        <f t="shared" si="149"/>
        <v>1.788</v>
      </c>
      <c r="S722" s="2" t="str">
        <f t="shared" si="150"/>
        <v>Normal</v>
      </c>
      <c r="T722" s="4">
        <v>0</v>
      </c>
      <c r="U722" s="4" t="str">
        <f t="shared" si="151"/>
        <v>Nein</v>
      </c>
      <c r="V722" s="4">
        <f t="shared" si="152"/>
        <v>0</v>
      </c>
      <c r="W722" s="19">
        <f t="shared" si="153"/>
        <v>1.49</v>
      </c>
      <c r="X722" s="5">
        <v>0</v>
      </c>
      <c r="Y722" s="28">
        <f t="shared" si="154"/>
        <v>0</v>
      </c>
      <c r="Z722" s="31" t="s">
        <v>172</v>
      </c>
      <c r="AA722" t="str">
        <f t="shared" si="155"/>
        <v>Normal/Gering</v>
      </c>
    </row>
    <row r="723" spans="1:27" x14ac:dyDescent="0.35">
      <c r="A723" s="32" t="s">
        <v>17</v>
      </c>
      <c r="B723" s="2" t="str">
        <f>VLOOKUP(A723,Stammdaten!$A$3:$B$7,2,FALSE)</f>
        <v>Filiale West</v>
      </c>
      <c r="C723" s="3" t="str" cm="1">
        <f t="array" ref="C723">INDEX(Stammdaten!$A$11:$A$25,INT((ROW()-5)/12)+1 - INT((ROW()-5)/180)*15)</f>
        <v>A015</v>
      </c>
      <c r="D723" s="2" t="str">
        <f>VLOOKUP(C723,Stammdaten!$A$11:$B$25,2,FALSE)</f>
        <v>Frischkäse 200g</v>
      </c>
      <c r="E723" s="3" t="str">
        <f>VLOOKUP(C723,Stammdaten!$A$11:$C$25,3,FALSE)</f>
        <v>Käse</v>
      </c>
      <c r="F723" s="19">
        <f>VLOOKUP(C723,Stammdaten!$A$11:$D$25,4,FALSE)</f>
        <v>1.49</v>
      </c>
      <c r="G723" s="4">
        <f t="shared" si="143"/>
        <v>11</v>
      </c>
      <c r="H723" s="20" t="str">
        <f>VLOOKUP(G723,Stammdaten!$A$30:$B$41,2,FALSE)</f>
        <v>November</v>
      </c>
      <c r="I723" s="4">
        <v>235</v>
      </c>
      <c r="J723" s="4">
        <v>235</v>
      </c>
      <c r="K723" s="4">
        <f t="shared" si="144"/>
        <v>0</v>
      </c>
      <c r="L723" s="27">
        <f t="shared" si="145"/>
        <v>0</v>
      </c>
      <c r="M723" s="52" t="str">
        <f t="shared" si="146"/>
        <v>Perfekt</v>
      </c>
      <c r="N723" s="28">
        <f t="shared" si="147"/>
        <v>0</v>
      </c>
      <c r="O723" s="5">
        <v>5</v>
      </c>
      <c r="P723" s="4">
        <v>0</v>
      </c>
      <c r="Q723" s="28">
        <f t="shared" si="148"/>
        <v>0</v>
      </c>
      <c r="R723" s="50">
        <f t="shared" si="149"/>
        <v>0</v>
      </c>
      <c r="S723" s="2" t="str">
        <f t="shared" si="150"/>
        <v>Black Friday</v>
      </c>
      <c r="T723" s="4">
        <v>0</v>
      </c>
      <c r="U723" s="4" t="str">
        <f t="shared" si="151"/>
        <v>Nein</v>
      </c>
      <c r="V723" s="4">
        <f t="shared" si="152"/>
        <v>0</v>
      </c>
      <c r="W723" s="19">
        <f t="shared" si="153"/>
        <v>1.49</v>
      </c>
      <c r="X723" s="5">
        <v>0</v>
      </c>
      <c r="Y723" s="28">
        <f t="shared" si="154"/>
        <v>0</v>
      </c>
      <c r="Z723" s="31" t="s">
        <v>172</v>
      </c>
      <c r="AA723" t="str">
        <f t="shared" si="155"/>
        <v>Normal/Gering</v>
      </c>
    </row>
    <row r="724" spans="1:27" x14ac:dyDescent="0.35">
      <c r="A724" s="32" t="s">
        <v>17</v>
      </c>
      <c r="B724" s="2" t="str">
        <f>VLOOKUP(A724,Stammdaten!$A$3:$B$7,2,FALSE)</f>
        <v>Filiale West</v>
      </c>
      <c r="C724" s="3" t="str" cm="1">
        <f t="array" ref="C724">INDEX(Stammdaten!$A$11:$A$25,INT((ROW()-5)/12)+1 - INT((ROW()-5)/180)*15)</f>
        <v>A015</v>
      </c>
      <c r="D724" s="2" t="str">
        <f>VLOOKUP(C724,Stammdaten!$A$11:$B$25,2,FALSE)</f>
        <v>Frischkäse 200g</v>
      </c>
      <c r="E724" s="3" t="str">
        <f>VLOOKUP(C724,Stammdaten!$A$11:$C$25,3,FALSE)</f>
        <v>Käse</v>
      </c>
      <c r="F724" s="19">
        <f>VLOOKUP(C724,Stammdaten!$A$11:$D$25,4,FALSE)</f>
        <v>1.49</v>
      </c>
      <c r="G724" s="4">
        <f t="shared" si="143"/>
        <v>12</v>
      </c>
      <c r="H724" s="20" t="str">
        <f>VLOOKUP(G724,Stammdaten!$A$30:$B$41,2,FALSE)</f>
        <v>Dezember</v>
      </c>
      <c r="I724" s="4">
        <v>293</v>
      </c>
      <c r="J724" s="4">
        <v>293</v>
      </c>
      <c r="K724" s="4">
        <f t="shared" si="144"/>
        <v>0</v>
      </c>
      <c r="L724" s="27">
        <f t="shared" si="145"/>
        <v>0</v>
      </c>
      <c r="M724" s="52" t="str">
        <f t="shared" si="146"/>
        <v>Perfekt</v>
      </c>
      <c r="N724" s="28">
        <f t="shared" si="147"/>
        <v>0</v>
      </c>
      <c r="O724" s="5">
        <v>9</v>
      </c>
      <c r="P724" s="4">
        <v>3</v>
      </c>
      <c r="Q724" s="28">
        <f t="shared" si="148"/>
        <v>0</v>
      </c>
      <c r="R724" s="50">
        <f t="shared" si="149"/>
        <v>0</v>
      </c>
      <c r="S724" s="2" t="str">
        <f t="shared" si="150"/>
        <v>Weihnachten/Silvester</v>
      </c>
      <c r="T724" s="4">
        <v>0</v>
      </c>
      <c r="U724" s="4" t="str">
        <f t="shared" si="151"/>
        <v>Nein</v>
      </c>
      <c r="V724" s="4">
        <f t="shared" si="152"/>
        <v>0</v>
      </c>
      <c r="W724" s="19">
        <f t="shared" si="153"/>
        <v>1.49</v>
      </c>
      <c r="X724" s="5">
        <v>0</v>
      </c>
      <c r="Y724" s="28">
        <f t="shared" si="154"/>
        <v>0</v>
      </c>
      <c r="Z724" s="31" t="s">
        <v>172</v>
      </c>
      <c r="AA724" t="str">
        <f t="shared" si="155"/>
        <v>Normal/Gering</v>
      </c>
    </row>
    <row r="725" spans="1:27" x14ac:dyDescent="0.35">
      <c r="A725" s="32" t="s">
        <v>18</v>
      </c>
      <c r="B725" s="2" t="str">
        <f>VLOOKUP(A725,Stammdaten!$A$3:$B$7,2,FALSE)</f>
        <v>Filiale Zentrum</v>
      </c>
      <c r="C725" s="3" t="str" cm="1">
        <f t="array" ref="C725">INDEX(Stammdaten!$A$11:$A$25,INT((ROW()-5)/12)+1 - INT((ROW()-5)/180)*15)</f>
        <v>A001</v>
      </c>
      <c r="D725" s="2" t="str">
        <f>VLOOKUP(C725,Stammdaten!$A$11:$B$25,2,FALSE)</f>
        <v>Vollmilch 1L</v>
      </c>
      <c r="E725" s="3" t="str">
        <f>VLOOKUP(C725,Stammdaten!$A$11:$C$25,3,FALSE)</f>
        <v>Milch</v>
      </c>
      <c r="F725" s="19">
        <f>VLOOKUP(C725,Stammdaten!$A$11:$D$25,4,FALSE)</f>
        <v>1.19</v>
      </c>
      <c r="G725" s="4">
        <f t="shared" si="143"/>
        <v>1</v>
      </c>
      <c r="H725" s="20" t="str">
        <f>VLOOKUP(G725,Stammdaten!$A$30:$B$41,2,FALSE)</f>
        <v>Januar</v>
      </c>
      <c r="I725" s="4">
        <v>567</v>
      </c>
      <c r="J725" s="4">
        <v>539</v>
      </c>
      <c r="K725" s="4">
        <f t="shared" si="144"/>
        <v>-28</v>
      </c>
      <c r="L725" s="27">
        <f t="shared" si="145"/>
        <v>-4.9382716049382713</v>
      </c>
      <c r="M725" s="52" t="str">
        <f t="shared" si="146"/>
        <v>Schwund</v>
      </c>
      <c r="N725" s="28">
        <f t="shared" si="147"/>
        <v>33.32</v>
      </c>
      <c r="O725" s="5">
        <v>0</v>
      </c>
      <c r="P725" s="4">
        <v>1</v>
      </c>
      <c r="Q725" s="28">
        <f t="shared" si="148"/>
        <v>8.33</v>
      </c>
      <c r="R725" s="50">
        <f t="shared" si="149"/>
        <v>9.9960000000000004</v>
      </c>
      <c r="S725" s="2" t="str">
        <f t="shared" si="150"/>
        <v>Normal</v>
      </c>
      <c r="T725" s="4">
        <v>0</v>
      </c>
      <c r="U725" s="4" t="str">
        <f t="shared" si="151"/>
        <v>Abschreibung</v>
      </c>
      <c r="V725" s="4">
        <f t="shared" si="152"/>
        <v>100</v>
      </c>
      <c r="W725" s="19">
        <f t="shared" si="153"/>
        <v>0</v>
      </c>
      <c r="X725" s="5">
        <v>6</v>
      </c>
      <c r="Y725" s="28">
        <f t="shared" si="154"/>
        <v>7.14</v>
      </c>
      <c r="Z725" s="31" t="s">
        <v>173</v>
      </c>
      <c r="AA725" t="str">
        <f t="shared" si="155"/>
        <v>Verderb - Abgelaufen</v>
      </c>
    </row>
    <row r="726" spans="1:27" x14ac:dyDescent="0.35">
      <c r="A726" s="32" t="s">
        <v>18</v>
      </c>
      <c r="B726" s="2" t="str">
        <f>VLOOKUP(A726,Stammdaten!$A$3:$B$7,2,FALSE)</f>
        <v>Filiale Zentrum</v>
      </c>
      <c r="C726" s="3" t="str" cm="1">
        <f t="array" ref="C726">INDEX(Stammdaten!$A$11:$A$25,INT((ROW()-5)/12)+1 - INT((ROW()-5)/180)*15)</f>
        <v>A001</v>
      </c>
      <c r="D726" s="2" t="str">
        <f>VLOOKUP(C726,Stammdaten!$A$11:$B$25,2,FALSE)</f>
        <v>Vollmilch 1L</v>
      </c>
      <c r="E726" s="3" t="str">
        <f>VLOOKUP(C726,Stammdaten!$A$11:$C$25,3,FALSE)</f>
        <v>Milch</v>
      </c>
      <c r="F726" s="19">
        <f>VLOOKUP(C726,Stammdaten!$A$11:$D$25,4,FALSE)</f>
        <v>1.19</v>
      </c>
      <c r="G726" s="4">
        <f t="shared" si="143"/>
        <v>2</v>
      </c>
      <c r="H726" s="20" t="str">
        <f>VLOOKUP(G726,Stammdaten!$A$30:$B$41,2,FALSE)</f>
        <v>Februar</v>
      </c>
      <c r="I726" s="4">
        <v>580</v>
      </c>
      <c r="J726" s="4">
        <v>561</v>
      </c>
      <c r="K726" s="4">
        <f t="shared" si="144"/>
        <v>-19</v>
      </c>
      <c r="L726" s="27">
        <f t="shared" si="145"/>
        <v>-3.2758620689655173</v>
      </c>
      <c r="M726" s="52" t="str">
        <f t="shared" si="146"/>
        <v>Schwund</v>
      </c>
      <c r="N726" s="28">
        <f t="shared" si="147"/>
        <v>22.61</v>
      </c>
      <c r="O726" s="5">
        <v>1</v>
      </c>
      <c r="P726" s="4">
        <v>1</v>
      </c>
      <c r="Q726" s="28">
        <f t="shared" si="148"/>
        <v>5.6524999999999999</v>
      </c>
      <c r="R726" s="50">
        <f t="shared" si="149"/>
        <v>6.7829999999999995</v>
      </c>
      <c r="S726" s="2" t="str">
        <f t="shared" si="150"/>
        <v>Karneval</v>
      </c>
      <c r="T726" s="4">
        <v>0</v>
      </c>
      <c r="U726" s="4" t="str">
        <f t="shared" si="151"/>
        <v>Ja - 20% Reduzierung</v>
      </c>
      <c r="V726" s="4">
        <f t="shared" si="152"/>
        <v>20</v>
      </c>
      <c r="W726" s="19">
        <f t="shared" si="153"/>
        <v>0.95</v>
      </c>
      <c r="X726" s="5">
        <v>81</v>
      </c>
      <c r="Y726" s="28">
        <f t="shared" si="154"/>
        <v>19.28</v>
      </c>
      <c r="Z726" s="31" t="s">
        <v>173</v>
      </c>
      <c r="AA726" t="str">
        <f t="shared" si="155"/>
        <v>Diebstahlrisiko</v>
      </c>
    </row>
    <row r="727" spans="1:27" x14ac:dyDescent="0.35">
      <c r="A727" s="32" t="s">
        <v>18</v>
      </c>
      <c r="B727" s="2" t="str">
        <f>VLOOKUP(A727,Stammdaten!$A$3:$B$7,2,FALSE)</f>
        <v>Filiale Zentrum</v>
      </c>
      <c r="C727" s="3" t="str" cm="1">
        <f t="array" ref="C727">INDEX(Stammdaten!$A$11:$A$25,INT((ROW()-5)/12)+1 - INT((ROW()-5)/180)*15)</f>
        <v>A001</v>
      </c>
      <c r="D727" s="2" t="str">
        <f>VLOOKUP(C727,Stammdaten!$A$11:$B$25,2,FALSE)</f>
        <v>Vollmilch 1L</v>
      </c>
      <c r="E727" s="3" t="str">
        <f>VLOOKUP(C727,Stammdaten!$A$11:$C$25,3,FALSE)</f>
        <v>Milch</v>
      </c>
      <c r="F727" s="19">
        <f>VLOOKUP(C727,Stammdaten!$A$11:$D$25,4,FALSE)</f>
        <v>1.19</v>
      </c>
      <c r="G727" s="4">
        <f t="shared" si="143"/>
        <v>3</v>
      </c>
      <c r="H727" s="20" t="str">
        <f>VLOOKUP(G727,Stammdaten!$A$30:$B$41,2,FALSE)</f>
        <v>März</v>
      </c>
      <c r="I727" s="4">
        <v>703</v>
      </c>
      <c r="J727" s="4">
        <v>711</v>
      </c>
      <c r="K727" s="4">
        <f t="shared" si="144"/>
        <v>8</v>
      </c>
      <c r="L727" s="27">
        <f t="shared" si="145"/>
        <v>1.1379800853485065</v>
      </c>
      <c r="M727" s="52" t="str">
        <f t="shared" si="146"/>
        <v>Überbestand</v>
      </c>
      <c r="N727" s="28">
        <f t="shared" si="147"/>
        <v>9.52</v>
      </c>
      <c r="O727" s="5">
        <v>6</v>
      </c>
      <c r="P727" s="4">
        <v>3</v>
      </c>
      <c r="Q727" s="28">
        <f t="shared" si="148"/>
        <v>0</v>
      </c>
      <c r="R727" s="50">
        <f t="shared" si="149"/>
        <v>0</v>
      </c>
      <c r="S727" s="2" t="str">
        <f t="shared" si="150"/>
        <v>Normal</v>
      </c>
      <c r="T727" s="4">
        <v>8</v>
      </c>
      <c r="U727" s="4" t="str">
        <f t="shared" si="151"/>
        <v>Nein</v>
      </c>
      <c r="V727" s="4">
        <f t="shared" si="152"/>
        <v>0</v>
      </c>
      <c r="W727" s="19">
        <f t="shared" si="153"/>
        <v>1.19</v>
      </c>
      <c r="X727" s="5">
        <v>0</v>
      </c>
      <c r="Y727" s="28">
        <f t="shared" si="154"/>
        <v>0</v>
      </c>
      <c r="Z727" s="31" t="s">
        <v>172</v>
      </c>
      <c r="AA727" t="str">
        <f t="shared" si="155"/>
        <v>Kassenfehler (Überbestand)</v>
      </c>
    </row>
    <row r="728" spans="1:27" x14ac:dyDescent="0.35">
      <c r="A728" s="32" t="s">
        <v>18</v>
      </c>
      <c r="B728" s="2" t="str">
        <f>VLOOKUP(A728,Stammdaten!$A$3:$B$7,2,FALSE)</f>
        <v>Filiale Zentrum</v>
      </c>
      <c r="C728" s="3" t="str" cm="1">
        <f t="array" ref="C728">INDEX(Stammdaten!$A$11:$A$25,INT((ROW()-5)/12)+1 - INT((ROW()-5)/180)*15)</f>
        <v>A001</v>
      </c>
      <c r="D728" s="2" t="str">
        <f>VLOOKUP(C728,Stammdaten!$A$11:$B$25,2,FALSE)</f>
        <v>Vollmilch 1L</v>
      </c>
      <c r="E728" s="3" t="str">
        <f>VLOOKUP(C728,Stammdaten!$A$11:$C$25,3,FALSE)</f>
        <v>Milch</v>
      </c>
      <c r="F728" s="19">
        <f>VLOOKUP(C728,Stammdaten!$A$11:$D$25,4,FALSE)</f>
        <v>1.19</v>
      </c>
      <c r="G728" s="4">
        <f t="shared" si="143"/>
        <v>4</v>
      </c>
      <c r="H728" s="20" t="str">
        <f>VLOOKUP(G728,Stammdaten!$A$30:$B$41,2,FALSE)</f>
        <v>April</v>
      </c>
      <c r="I728" s="4">
        <v>845</v>
      </c>
      <c r="J728" s="4">
        <v>851</v>
      </c>
      <c r="K728" s="4">
        <f t="shared" si="144"/>
        <v>6</v>
      </c>
      <c r="L728" s="27">
        <f t="shared" si="145"/>
        <v>0.7100591715976331</v>
      </c>
      <c r="M728" s="52" t="str">
        <f t="shared" si="146"/>
        <v>Überbestand</v>
      </c>
      <c r="N728" s="28">
        <f t="shared" si="147"/>
        <v>7.14</v>
      </c>
      <c r="O728" s="5">
        <v>3</v>
      </c>
      <c r="P728" s="4">
        <v>0</v>
      </c>
      <c r="Q728" s="28">
        <f t="shared" si="148"/>
        <v>0</v>
      </c>
      <c r="R728" s="50">
        <f t="shared" si="149"/>
        <v>0</v>
      </c>
      <c r="S728" s="2" t="str">
        <f t="shared" si="150"/>
        <v>Ostern</v>
      </c>
      <c r="T728" s="4">
        <v>6</v>
      </c>
      <c r="U728" s="4" t="str">
        <f t="shared" si="151"/>
        <v>Ja - 20% Reduzierung</v>
      </c>
      <c r="V728" s="4">
        <f t="shared" si="152"/>
        <v>20</v>
      </c>
      <c r="W728" s="19">
        <f t="shared" si="153"/>
        <v>0.95</v>
      </c>
      <c r="X728" s="5">
        <v>59</v>
      </c>
      <c r="Y728" s="28">
        <f t="shared" si="154"/>
        <v>14.04</v>
      </c>
      <c r="Z728" s="31" t="s">
        <v>173</v>
      </c>
      <c r="AA728" t="str">
        <f t="shared" si="155"/>
        <v>Kassenfehler (Überbestand)</v>
      </c>
    </row>
    <row r="729" spans="1:27" x14ac:dyDescent="0.35">
      <c r="A729" s="32" t="s">
        <v>18</v>
      </c>
      <c r="B729" s="2" t="str">
        <f>VLOOKUP(A729,Stammdaten!$A$3:$B$7,2,FALSE)</f>
        <v>Filiale Zentrum</v>
      </c>
      <c r="C729" s="3" t="str" cm="1">
        <f t="array" ref="C729">INDEX(Stammdaten!$A$11:$A$25,INT((ROW()-5)/12)+1 - INT((ROW()-5)/180)*15)</f>
        <v>A001</v>
      </c>
      <c r="D729" s="2" t="str">
        <f>VLOOKUP(C729,Stammdaten!$A$11:$B$25,2,FALSE)</f>
        <v>Vollmilch 1L</v>
      </c>
      <c r="E729" s="3" t="str">
        <f>VLOOKUP(C729,Stammdaten!$A$11:$C$25,3,FALSE)</f>
        <v>Milch</v>
      </c>
      <c r="F729" s="19">
        <f>VLOOKUP(C729,Stammdaten!$A$11:$D$25,4,FALSE)</f>
        <v>1.19</v>
      </c>
      <c r="G729" s="4">
        <f t="shared" si="143"/>
        <v>5</v>
      </c>
      <c r="H729" s="20" t="str">
        <f>VLOOKUP(G729,Stammdaten!$A$30:$B$41,2,FALSE)</f>
        <v>Mai</v>
      </c>
      <c r="I729" s="4">
        <v>663</v>
      </c>
      <c r="J729" s="4">
        <v>637</v>
      </c>
      <c r="K729" s="4">
        <f t="shared" si="144"/>
        <v>-26</v>
      </c>
      <c r="L729" s="27">
        <f t="shared" si="145"/>
        <v>-3.9215686274509802</v>
      </c>
      <c r="M729" s="52" t="str">
        <f t="shared" si="146"/>
        <v>Schwund</v>
      </c>
      <c r="N729" s="28">
        <f t="shared" si="147"/>
        <v>30.939999999999998</v>
      </c>
      <c r="O729" s="5">
        <v>0</v>
      </c>
      <c r="P729" s="4">
        <v>3</v>
      </c>
      <c r="Q729" s="28">
        <f t="shared" si="148"/>
        <v>7.7349999999999994</v>
      </c>
      <c r="R729" s="50">
        <f t="shared" si="149"/>
        <v>9.2819999999999983</v>
      </c>
      <c r="S729" s="2" t="str">
        <f t="shared" si="150"/>
        <v>Normal</v>
      </c>
      <c r="T729" s="4">
        <v>0</v>
      </c>
      <c r="U729" s="4" t="str">
        <f t="shared" si="151"/>
        <v>Abschreibung</v>
      </c>
      <c r="V729" s="4">
        <f t="shared" si="152"/>
        <v>100</v>
      </c>
      <c r="W729" s="19">
        <f t="shared" si="153"/>
        <v>0</v>
      </c>
      <c r="X729" s="5">
        <v>13</v>
      </c>
      <c r="Y729" s="28">
        <f t="shared" si="154"/>
        <v>15.47</v>
      </c>
      <c r="Z729" s="31" t="s">
        <v>173</v>
      </c>
      <c r="AA729" t="str">
        <f t="shared" si="155"/>
        <v>Verderb - Abgelaufen</v>
      </c>
    </row>
    <row r="730" spans="1:27" x14ac:dyDescent="0.35">
      <c r="A730" s="32" t="s">
        <v>18</v>
      </c>
      <c r="B730" s="2" t="str">
        <f>VLOOKUP(A730,Stammdaten!$A$3:$B$7,2,FALSE)</f>
        <v>Filiale Zentrum</v>
      </c>
      <c r="C730" s="3" t="str" cm="1">
        <f t="array" ref="C730">INDEX(Stammdaten!$A$11:$A$25,INT((ROW()-5)/12)+1 - INT((ROW()-5)/180)*15)</f>
        <v>A001</v>
      </c>
      <c r="D730" s="2" t="str">
        <f>VLOOKUP(C730,Stammdaten!$A$11:$B$25,2,FALSE)</f>
        <v>Vollmilch 1L</v>
      </c>
      <c r="E730" s="3" t="str">
        <f>VLOOKUP(C730,Stammdaten!$A$11:$C$25,3,FALSE)</f>
        <v>Milch</v>
      </c>
      <c r="F730" s="19">
        <f>VLOOKUP(C730,Stammdaten!$A$11:$D$25,4,FALSE)</f>
        <v>1.19</v>
      </c>
      <c r="G730" s="4">
        <f t="shared" si="143"/>
        <v>6</v>
      </c>
      <c r="H730" s="20" t="str">
        <f>VLOOKUP(G730,Stammdaten!$A$30:$B$41,2,FALSE)</f>
        <v>Juni</v>
      </c>
      <c r="I730" s="4">
        <v>751</v>
      </c>
      <c r="J730" s="4">
        <v>718</v>
      </c>
      <c r="K730" s="4">
        <f t="shared" si="144"/>
        <v>-33</v>
      </c>
      <c r="L730" s="27">
        <f t="shared" si="145"/>
        <v>-4.3941411451398134</v>
      </c>
      <c r="M730" s="52" t="str">
        <f t="shared" si="146"/>
        <v>Schwund</v>
      </c>
      <c r="N730" s="28">
        <f t="shared" si="147"/>
        <v>39.269999999999996</v>
      </c>
      <c r="O730" s="5">
        <v>2</v>
      </c>
      <c r="P730" s="4">
        <v>1</v>
      </c>
      <c r="Q730" s="28">
        <f t="shared" si="148"/>
        <v>9.817499999999999</v>
      </c>
      <c r="R730" s="50">
        <f t="shared" si="149"/>
        <v>11.780999999999999</v>
      </c>
      <c r="S730" s="2" t="str">
        <f t="shared" si="150"/>
        <v>Normal</v>
      </c>
      <c r="T730" s="4">
        <v>0</v>
      </c>
      <c r="U730" s="4" t="str">
        <f t="shared" si="151"/>
        <v>Ja - 20% Reduzierung</v>
      </c>
      <c r="V730" s="4">
        <f t="shared" si="152"/>
        <v>20</v>
      </c>
      <c r="W730" s="19">
        <f t="shared" si="153"/>
        <v>0.95</v>
      </c>
      <c r="X730" s="5">
        <v>83</v>
      </c>
      <c r="Y730" s="28">
        <f t="shared" si="154"/>
        <v>19.75</v>
      </c>
      <c r="Z730" s="31" t="s">
        <v>227</v>
      </c>
      <c r="AA730" t="str">
        <f t="shared" si="155"/>
        <v>MHD - Prozessfehler</v>
      </c>
    </row>
    <row r="731" spans="1:27" x14ac:dyDescent="0.35">
      <c r="A731" s="32" t="s">
        <v>18</v>
      </c>
      <c r="B731" s="2" t="str">
        <f>VLOOKUP(A731,Stammdaten!$A$3:$B$7,2,FALSE)</f>
        <v>Filiale Zentrum</v>
      </c>
      <c r="C731" s="3" t="str" cm="1">
        <f t="array" ref="C731">INDEX(Stammdaten!$A$11:$A$25,INT((ROW()-5)/12)+1 - INT((ROW()-5)/180)*15)</f>
        <v>A001</v>
      </c>
      <c r="D731" s="2" t="str">
        <f>VLOOKUP(C731,Stammdaten!$A$11:$B$25,2,FALSE)</f>
        <v>Vollmilch 1L</v>
      </c>
      <c r="E731" s="3" t="str">
        <f>VLOOKUP(C731,Stammdaten!$A$11:$C$25,3,FALSE)</f>
        <v>Milch</v>
      </c>
      <c r="F731" s="19">
        <f>VLOOKUP(C731,Stammdaten!$A$11:$D$25,4,FALSE)</f>
        <v>1.19</v>
      </c>
      <c r="G731" s="4">
        <f t="shared" si="143"/>
        <v>7</v>
      </c>
      <c r="H731" s="20" t="str">
        <f>VLOOKUP(G731,Stammdaten!$A$30:$B$41,2,FALSE)</f>
        <v>Juli</v>
      </c>
      <c r="I731" s="4">
        <v>764</v>
      </c>
      <c r="J731" s="4">
        <v>736</v>
      </c>
      <c r="K731" s="4">
        <f t="shared" si="144"/>
        <v>-28</v>
      </c>
      <c r="L731" s="27">
        <f t="shared" si="145"/>
        <v>-3.664921465968586</v>
      </c>
      <c r="M731" s="52" t="str">
        <f t="shared" si="146"/>
        <v>Schwund</v>
      </c>
      <c r="N731" s="28">
        <f t="shared" si="147"/>
        <v>33.32</v>
      </c>
      <c r="O731" s="5">
        <v>2</v>
      </c>
      <c r="P731" s="4">
        <v>3</v>
      </c>
      <c r="Q731" s="28">
        <f t="shared" si="148"/>
        <v>8.33</v>
      </c>
      <c r="R731" s="50">
        <f t="shared" si="149"/>
        <v>9.9960000000000004</v>
      </c>
      <c r="S731" s="2" t="str">
        <f t="shared" si="150"/>
        <v>Normal</v>
      </c>
      <c r="T731" s="4">
        <v>0</v>
      </c>
      <c r="U731" s="4" t="str">
        <f t="shared" si="151"/>
        <v>Ja - 20% Reduzierung</v>
      </c>
      <c r="V731" s="4">
        <f t="shared" si="152"/>
        <v>20</v>
      </c>
      <c r="W731" s="19">
        <f t="shared" si="153"/>
        <v>0.95</v>
      </c>
      <c r="X731" s="5">
        <v>84</v>
      </c>
      <c r="Y731" s="28">
        <f t="shared" si="154"/>
        <v>19.989999999999998</v>
      </c>
      <c r="Z731" s="31" t="s">
        <v>173</v>
      </c>
      <c r="AA731" t="str">
        <f t="shared" si="155"/>
        <v>Diebstahlrisiko</v>
      </c>
    </row>
    <row r="732" spans="1:27" x14ac:dyDescent="0.35">
      <c r="A732" s="32" t="s">
        <v>18</v>
      </c>
      <c r="B732" s="2" t="str">
        <f>VLOOKUP(A732,Stammdaten!$A$3:$B$7,2,FALSE)</f>
        <v>Filiale Zentrum</v>
      </c>
      <c r="C732" s="3" t="str" cm="1">
        <f t="array" ref="C732">INDEX(Stammdaten!$A$11:$A$25,INT((ROW()-5)/12)+1 - INT((ROW()-5)/180)*15)</f>
        <v>A001</v>
      </c>
      <c r="D732" s="2" t="str">
        <f>VLOOKUP(C732,Stammdaten!$A$11:$B$25,2,FALSE)</f>
        <v>Vollmilch 1L</v>
      </c>
      <c r="E732" s="3" t="str">
        <f>VLOOKUP(C732,Stammdaten!$A$11:$C$25,3,FALSE)</f>
        <v>Milch</v>
      </c>
      <c r="F732" s="19">
        <f>VLOOKUP(C732,Stammdaten!$A$11:$D$25,4,FALSE)</f>
        <v>1.19</v>
      </c>
      <c r="G732" s="4">
        <f t="shared" si="143"/>
        <v>8</v>
      </c>
      <c r="H732" s="20" t="str">
        <f>VLOOKUP(G732,Stammdaten!$A$30:$B$41,2,FALSE)</f>
        <v>August</v>
      </c>
      <c r="I732" s="4">
        <v>777</v>
      </c>
      <c r="J732" s="4">
        <v>735</v>
      </c>
      <c r="K732" s="4">
        <f t="shared" si="144"/>
        <v>-42</v>
      </c>
      <c r="L732" s="27">
        <f t="shared" si="145"/>
        <v>-5.4054054054054053</v>
      </c>
      <c r="M732" s="52" t="str">
        <f t="shared" si="146"/>
        <v>Schwund</v>
      </c>
      <c r="N732" s="28">
        <f t="shared" si="147"/>
        <v>49.98</v>
      </c>
      <c r="O732" s="5">
        <v>3</v>
      </c>
      <c r="P732" s="4">
        <v>1</v>
      </c>
      <c r="Q732" s="28">
        <f t="shared" si="148"/>
        <v>12.494999999999999</v>
      </c>
      <c r="R732" s="50">
        <f t="shared" si="149"/>
        <v>14.993999999999998</v>
      </c>
      <c r="S732" s="2" t="str">
        <f t="shared" si="150"/>
        <v>Normal</v>
      </c>
      <c r="T732" s="4">
        <v>0</v>
      </c>
      <c r="U732" s="4" t="str">
        <f t="shared" si="151"/>
        <v>Ja - 20% Reduzierung</v>
      </c>
      <c r="V732" s="4">
        <f t="shared" si="152"/>
        <v>20</v>
      </c>
      <c r="W732" s="19">
        <f t="shared" si="153"/>
        <v>0.95</v>
      </c>
      <c r="X732" s="5">
        <v>109</v>
      </c>
      <c r="Y732" s="28">
        <f t="shared" si="154"/>
        <v>25.94</v>
      </c>
      <c r="Z732" s="31" t="s">
        <v>173</v>
      </c>
      <c r="AA732" t="str">
        <f t="shared" si="155"/>
        <v>Diebstahlrisiko</v>
      </c>
    </row>
    <row r="733" spans="1:27" x14ac:dyDescent="0.35">
      <c r="A733" s="32" t="s">
        <v>18</v>
      </c>
      <c r="B733" s="2" t="str">
        <f>VLOOKUP(A733,Stammdaten!$A$3:$B$7,2,FALSE)</f>
        <v>Filiale Zentrum</v>
      </c>
      <c r="C733" s="3" t="str" cm="1">
        <f t="array" ref="C733">INDEX(Stammdaten!$A$11:$A$25,INT((ROW()-5)/12)+1 - INT((ROW()-5)/180)*15)</f>
        <v>A001</v>
      </c>
      <c r="D733" s="2" t="str">
        <f>VLOOKUP(C733,Stammdaten!$A$11:$B$25,2,FALSE)</f>
        <v>Vollmilch 1L</v>
      </c>
      <c r="E733" s="3" t="str">
        <f>VLOOKUP(C733,Stammdaten!$A$11:$C$25,3,FALSE)</f>
        <v>Milch</v>
      </c>
      <c r="F733" s="19">
        <f>VLOOKUP(C733,Stammdaten!$A$11:$D$25,4,FALSE)</f>
        <v>1.19</v>
      </c>
      <c r="G733" s="4">
        <f t="shared" si="143"/>
        <v>9</v>
      </c>
      <c r="H733" s="20" t="str">
        <f>VLOOKUP(G733,Stammdaten!$A$30:$B$41,2,FALSE)</f>
        <v>September</v>
      </c>
      <c r="I733" s="4">
        <v>611</v>
      </c>
      <c r="J733" s="4">
        <v>616</v>
      </c>
      <c r="K733" s="4">
        <f t="shared" si="144"/>
        <v>5</v>
      </c>
      <c r="L733" s="27">
        <f t="shared" si="145"/>
        <v>0.81833060556464821</v>
      </c>
      <c r="M733" s="52" t="str">
        <f t="shared" si="146"/>
        <v>Überbestand</v>
      </c>
      <c r="N733" s="28">
        <f t="shared" si="147"/>
        <v>5.9499999999999993</v>
      </c>
      <c r="O733" s="5">
        <v>7</v>
      </c>
      <c r="P733" s="4">
        <v>1</v>
      </c>
      <c r="Q733" s="28">
        <f t="shared" si="148"/>
        <v>0</v>
      </c>
      <c r="R733" s="50">
        <f t="shared" si="149"/>
        <v>0</v>
      </c>
      <c r="S733" s="2" t="str">
        <f t="shared" si="150"/>
        <v>Normal</v>
      </c>
      <c r="T733" s="4">
        <v>5</v>
      </c>
      <c r="U733" s="4" t="str">
        <f t="shared" si="151"/>
        <v>Nein</v>
      </c>
      <c r="V733" s="4">
        <f t="shared" si="152"/>
        <v>0</v>
      </c>
      <c r="W733" s="19">
        <f t="shared" si="153"/>
        <v>1.19</v>
      </c>
      <c r="X733" s="5">
        <v>0</v>
      </c>
      <c r="Y733" s="28">
        <f t="shared" si="154"/>
        <v>0</v>
      </c>
      <c r="Z733" s="31" t="s">
        <v>172</v>
      </c>
      <c r="AA733" t="str">
        <f t="shared" si="155"/>
        <v>Kassenfehler (Überbestand)</v>
      </c>
    </row>
    <row r="734" spans="1:27" x14ac:dyDescent="0.35">
      <c r="A734" s="32" t="s">
        <v>18</v>
      </c>
      <c r="B734" s="2" t="str">
        <f>VLOOKUP(A734,Stammdaten!$A$3:$B$7,2,FALSE)</f>
        <v>Filiale Zentrum</v>
      </c>
      <c r="C734" s="3" t="str" cm="1">
        <f t="array" ref="C734">INDEX(Stammdaten!$A$11:$A$25,INT((ROW()-5)/12)+1 - INT((ROW()-5)/180)*15)</f>
        <v>A001</v>
      </c>
      <c r="D734" s="2" t="str">
        <f>VLOOKUP(C734,Stammdaten!$A$11:$B$25,2,FALSE)</f>
        <v>Vollmilch 1L</v>
      </c>
      <c r="E734" s="3" t="str">
        <f>VLOOKUP(C734,Stammdaten!$A$11:$C$25,3,FALSE)</f>
        <v>Milch</v>
      </c>
      <c r="F734" s="19">
        <f>VLOOKUP(C734,Stammdaten!$A$11:$D$25,4,FALSE)</f>
        <v>1.19</v>
      </c>
      <c r="G734" s="4">
        <f t="shared" si="143"/>
        <v>10</v>
      </c>
      <c r="H734" s="20" t="str">
        <f>VLOOKUP(G734,Stammdaten!$A$30:$B$41,2,FALSE)</f>
        <v>Oktober</v>
      </c>
      <c r="I734" s="4">
        <v>676</v>
      </c>
      <c r="J734" s="4">
        <v>638</v>
      </c>
      <c r="K734" s="4">
        <f t="shared" si="144"/>
        <v>-38</v>
      </c>
      <c r="L734" s="27">
        <f t="shared" si="145"/>
        <v>-5.6213017751479288</v>
      </c>
      <c r="M734" s="52" t="str">
        <f t="shared" si="146"/>
        <v>Schwund</v>
      </c>
      <c r="N734" s="28">
        <f t="shared" si="147"/>
        <v>45.22</v>
      </c>
      <c r="O734" s="5">
        <v>4</v>
      </c>
      <c r="P734" s="4">
        <v>2</v>
      </c>
      <c r="Q734" s="28">
        <f t="shared" si="148"/>
        <v>11.305</v>
      </c>
      <c r="R734" s="50">
        <f t="shared" si="149"/>
        <v>13.565999999999999</v>
      </c>
      <c r="S734" s="2" t="str">
        <f t="shared" si="150"/>
        <v>Normal</v>
      </c>
      <c r="T734" s="4">
        <v>0</v>
      </c>
      <c r="U734" s="4" t="str">
        <f t="shared" si="151"/>
        <v>Nein</v>
      </c>
      <c r="V734" s="4">
        <f t="shared" si="152"/>
        <v>0</v>
      </c>
      <c r="W734" s="19">
        <f t="shared" si="153"/>
        <v>1.19</v>
      </c>
      <c r="X734" s="5">
        <v>0</v>
      </c>
      <c r="Y734" s="28">
        <f t="shared" si="154"/>
        <v>0</v>
      </c>
      <c r="Z734" s="31" t="s">
        <v>172</v>
      </c>
      <c r="AA734" t="str">
        <f t="shared" si="155"/>
        <v>Diebstahlrisiko</v>
      </c>
    </row>
    <row r="735" spans="1:27" x14ac:dyDescent="0.35">
      <c r="A735" s="32" t="s">
        <v>18</v>
      </c>
      <c r="B735" s="2" t="str">
        <f>VLOOKUP(A735,Stammdaten!$A$3:$B$7,2,FALSE)</f>
        <v>Filiale Zentrum</v>
      </c>
      <c r="C735" s="3" t="str" cm="1">
        <f t="array" ref="C735">INDEX(Stammdaten!$A$11:$A$25,INT((ROW()-5)/12)+1 - INT((ROW()-5)/180)*15)</f>
        <v>A001</v>
      </c>
      <c r="D735" s="2" t="str">
        <f>VLOOKUP(C735,Stammdaten!$A$11:$B$25,2,FALSE)</f>
        <v>Vollmilch 1L</v>
      </c>
      <c r="E735" s="3" t="str">
        <f>VLOOKUP(C735,Stammdaten!$A$11:$C$25,3,FALSE)</f>
        <v>Milch</v>
      </c>
      <c r="F735" s="19">
        <f>VLOOKUP(C735,Stammdaten!$A$11:$D$25,4,FALSE)</f>
        <v>1.19</v>
      </c>
      <c r="G735" s="4">
        <f t="shared" si="143"/>
        <v>11</v>
      </c>
      <c r="H735" s="20" t="str">
        <f>VLOOKUP(G735,Stammdaten!$A$30:$B$41,2,FALSE)</f>
        <v>November</v>
      </c>
      <c r="I735" s="4">
        <v>708</v>
      </c>
      <c r="J735" s="4">
        <v>683</v>
      </c>
      <c r="K735" s="4">
        <f t="shared" si="144"/>
        <v>-25</v>
      </c>
      <c r="L735" s="27">
        <f t="shared" si="145"/>
        <v>-3.5310734463276838</v>
      </c>
      <c r="M735" s="52" t="str">
        <f t="shared" si="146"/>
        <v>Schwund</v>
      </c>
      <c r="N735" s="28">
        <f t="shared" si="147"/>
        <v>29.75</v>
      </c>
      <c r="O735" s="5">
        <v>5</v>
      </c>
      <c r="P735" s="4">
        <v>1</v>
      </c>
      <c r="Q735" s="28">
        <f t="shared" si="148"/>
        <v>7.4375</v>
      </c>
      <c r="R735" s="50">
        <f t="shared" si="149"/>
        <v>8.9249999999999989</v>
      </c>
      <c r="S735" s="2" t="str">
        <f t="shared" si="150"/>
        <v>Black Friday</v>
      </c>
      <c r="T735" s="4">
        <v>0</v>
      </c>
      <c r="U735" s="4" t="str">
        <f t="shared" si="151"/>
        <v>Nein</v>
      </c>
      <c r="V735" s="4">
        <f t="shared" si="152"/>
        <v>0</v>
      </c>
      <c r="W735" s="19">
        <f t="shared" si="153"/>
        <v>1.19</v>
      </c>
      <c r="X735" s="5">
        <v>0</v>
      </c>
      <c r="Y735" s="28">
        <f t="shared" si="154"/>
        <v>0</v>
      </c>
      <c r="Z735" s="31" t="s">
        <v>172</v>
      </c>
      <c r="AA735" t="str">
        <f t="shared" si="155"/>
        <v>Diebstahlrisiko</v>
      </c>
    </row>
    <row r="736" spans="1:27" x14ac:dyDescent="0.35">
      <c r="A736" s="32" t="s">
        <v>18</v>
      </c>
      <c r="B736" s="2" t="str">
        <f>VLOOKUP(A736,Stammdaten!$A$3:$B$7,2,FALSE)</f>
        <v>Filiale Zentrum</v>
      </c>
      <c r="C736" s="3" t="str" cm="1">
        <f t="array" ref="C736">INDEX(Stammdaten!$A$11:$A$25,INT((ROW()-5)/12)+1 - INT((ROW()-5)/180)*15)</f>
        <v>A001</v>
      </c>
      <c r="D736" s="2" t="str">
        <f>VLOOKUP(C736,Stammdaten!$A$11:$B$25,2,FALSE)</f>
        <v>Vollmilch 1L</v>
      </c>
      <c r="E736" s="3" t="str">
        <f>VLOOKUP(C736,Stammdaten!$A$11:$C$25,3,FALSE)</f>
        <v>Milch</v>
      </c>
      <c r="F736" s="19">
        <f>VLOOKUP(C736,Stammdaten!$A$11:$D$25,4,FALSE)</f>
        <v>1.19</v>
      </c>
      <c r="G736" s="4">
        <f t="shared" si="143"/>
        <v>12</v>
      </c>
      <c r="H736" s="20" t="str">
        <f>VLOOKUP(G736,Stammdaten!$A$30:$B$41,2,FALSE)</f>
        <v>Dezember</v>
      </c>
      <c r="I736" s="4">
        <v>946</v>
      </c>
      <c r="J736" s="4">
        <v>883</v>
      </c>
      <c r="K736" s="4">
        <f t="shared" si="144"/>
        <v>-63</v>
      </c>
      <c r="L736" s="27">
        <f t="shared" si="145"/>
        <v>-6.6596194503171251</v>
      </c>
      <c r="M736" s="52" t="str">
        <f t="shared" si="146"/>
        <v>Schwund</v>
      </c>
      <c r="N736" s="28">
        <f t="shared" si="147"/>
        <v>74.97</v>
      </c>
      <c r="O736" s="5">
        <v>4</v>
      </c>
      <c r="P736" s="4">
        <v>1</v>
      </c>
      <c r="Q736" s="28">
        <f t="shared" si="148"/>
        <v>18.7425</v>
      </c>
      <c r="R736" s="50">
        <f t="shared" si="149"/>
        <v>22.491</v>
      </c>
      <c r="S736" s="2" t="str">
        <f t="shared" si="150"/>
        <v>Weihnachten/Silvester</v>
      </c>
      <c r="T736" s="4">
        <v>0</v>
      </c>
      <c r="U736" s="4" t="str">
        <f t="shared" si="151"/>
        <v>Nein</v>
      </c>
      <c r="V736" s="4">
        <f t="shared" si="152"/>
        <v>0</v>
      </c>
      <c r="W736" s="19">
        <f t="shared" si="153"/>
        <v>1.19</v>
      </c>
      <c r="X736" s="5">
        <v>0</v>
      </c>
      <c r="Y736" s="28">
        <f t="shared" si="154"/>
        <v>0</v>
      </c>
      <c r="Z736" s="31" t="s">
        <v>172</v>
      </c>
      <c r="AA736" t="str">
        <f t="shared" si="155"/>
        <v>Diebstahlrisiko</v>
      </c>
    </row>
    <row r="737" spans="1:27" x14ac:dyDescent="0.35">
      <c r="A737" s="32" t="s">
        <v>18</v>
      </c>
      <c r="B737" s="2" t="str">
        <f>VLOOKUP(A737,Stammdaten!$A$3:$B$7,2,FALSE)</f>
        <v>Filiale Zentrum</v>
      </c>
      <c r="C737" s="3" t="str" cm="1">
        <f t="array" ref="C737">INDEX(Stammdaten!$A$11:$A$25,INT((ROW()-5)/12)+1 - INT((ROW()-5)/180)*15)</f>
        <v>A002</v>
      </c>
      <c r="D737" s="2" t="str">
        <f>VLOOKUP(C737,Stammdaten!$A$11:$B$25,2,FALSE)</f>
        <v>Fettarme Milch 1L</v>
      </c>
      <c r="E737" s="3" t="str">
        <f>VLOOKUP(C737,Stammdaten!$A$11:$C$25,3,FALSE)</f>
        <v>Milch</v>
      </c>
      <c r="F737" s="19">
        <f>VLOOKUP(C737,Stammdaten!$A$11:$D$25,4,FALSE)</f>
        <v>1.0900000000000001</v>
      </c>
      <c r="G737" s="4">
        <f t="shared" si="143"/>
        <v>1</v>
      </c>
      <c r="H737" s="20" t="str">
        <f>VLOOKUP(G737,Stammdaten!$A$30:$B$41,2,FALSE)</f>
        <v>Januar</v>
      </c>
      <c r="I737" s="4">
        <v>521</v>
      </c>
      <c r="J737" s="4">
        <v>499</v>
      </c>
      <c r="K737" s="4">
        <f t="shared" si="144"/>
        <v>-22</v>
      </c>
      <c r="L737" s="27">
        <f t="shared" si="145"/>
        <v>-4.2226487523992322</v>
      </c>
      <c r="M737" s="52" t="str">
        <f t="shared" si="146"/>
        <v>Schwund</v>
      </c>
      <c r="N737" s="28">
        <f t="shared" si="147"/>
        <v>23.98</v>
      </c>
      <c r="O737" s="5">
        <v>1</v>
      </c>
      <c r="P737" s="4">
        <v>1</v>
      </c>
      <c r="Q737" s="28">
        <f t="shared" si="148"/>
        <v>5.9950000000000001</v>
      </c>
      <c r="R737" s="50">
        <f t="shared" si="149"/>
        <v>7.194</v>
      </c>
      <c r="S737" s="2" t="str">
        <f t="shared" si="150"/>
        <v>Normal</v>
      </c>
      <c r="T737" s="4">
        <v>0</v>
      </c>
      <c r="U737" s="4" t="str">
        <f t="shared" si="151"/>
        <v>Ja - 20% Reduzierung</v>
      </c>
      <c r="V737" s="4">
        <f t="shared" si="152"/>
        <v>20</v>
      </c>
      <c r="W737" s="19">
        <f t="shared" si="153"/>
        <v>0.87</v>
      </c>
      <c r="X737" s="5">
        <v>47</v>
      </c>
      <c r="Y737" s="28">
        <f t="shared" si="154"/>
        <v>10.25</v>
      </c>
      <c r="Z737" s="31" t="s">
        <v>173</v>
      </c>
      <c r="AA737" t="str">
        <f t="shared" si="155"/>
        <v>Diebstahlrisiko</v>
      </c>
    </row>
    <row r="738" spans="1:27" x14ac:dyDescent="0.35">
      <c r="A738" s="32" t="s">
        <v>18</v>
      </c>
      <c r="B738" s="2" t="str">
        <f>VLOOKUP(A738,Stammdaten!$A$3:$B$7,2,FALSE)</f>
        <v>Filiale Zentrum</v>
      </c>
      <c r="C738" s="3" t="str" cm="1">
        <f t="array" ref="C738">INDEX(Stammdaten!$A$11:$A$25,INT((ROW()-5)/12)+1 - INT((ROW()-5)/180)*15)</f>
        <v>A002</v>
      </c>
      <c r="D738" s="2" t="str">
        <f>VLOOKUP(C738,Stammdaten!$A$11:$B$25,2,FALSE)</f>
        <v>Fettarme Milch 1L</v>
      </c>
      <c r="E738" s="3" t="str">
        <f>VLOOKUP(C738,Stammdaten!$A$11:$C$25,3,FALSE)</f>
        <v>Milch</v>
      </c>
      <c r="F738" s="19">
        <f>VLOOKUP(C738,Stammdaten!$A$11:$D$25,4,FALSE)</f>
        <v>1.0900000000000001</v>
      </c>
      <c r="G738" s="4">
        <f t="shared" si="143"/>
        <v>2</v>
      </c>
      <c r="H738" s="20" t="str">
        <f>VLOOKUP(G738,Stammdaten!$A$30:$B$41,2,FALSE)</f>
        <v>Februar</v>
      </c>
      <c r="I738" s="4">
        <v>497</v>
      </c>
      <c r="J738" s="4">
        <v>484</v>
      </c>
      <c r="K738" s="4">
        <f t="shared" si="144"/>
        <v>-13</v>
      </c>
      <c r="L738" s="27">
        <f t="shared" si="145"/>
        <v>-2.6156941649899399</v>
      </c>
      <c r="M738" s="52" t="str">
        <f t="shared" si="146"/>
        <v>Schwund</v>
      </c>
      <c r="N738" s="28">
        <f t="shared" si="147"/>
        <v>14.170000000000002</v>
      </c>
      <c r="O738" s="5">
        <v>6</v>
      </c>
      <c r="P738" s="4">
        <v>2</v>
      </c>
      <c r="Q738" s="28">
        <f t="shared" si="148"/>
        <v>3.5425000000000004</v>
      </c>
      <c r="R738" s="50">
        <f t="shared" si="149"/>
        <v>4.2510000000000003</v>
      </c>
      <c r="S738" s="2" t="str">
        <f t="shared" si="150"/>
        <v>Karneval</v>
      </c>
      <c r="T738" s="4">
        <v>0</v>
      </c>
      <c r="U738" s="4" t="str">
        <f t="shared" si="151"/>
        <v>Nein</v>
      </c>
      <c r="V738" s="4">
        <f t="shared" si="152"/>
        <v>0</v>
      </c>
      <c r="W738" s="19">
        <f t="shared" si="153"/>
        <v>1.0900000000000001</v>
      </c>
      <c r="X738" s="5">
        <v>0</v>
      </c>
      <c r="Y738" s="28">
        <f t="shared" si="154"/>
        <v>0</v>
      </c>
      <c r="Z738" s="31" t="s">
        <v>172</v>
      </c>
      <c r="AA738" t="str">
        <f t="shared" si="155"/>
        <v>Prozessfehler</v>
      </c>
    </row>
    <row r="739" spans="1:27" x14ac:dyDescent="0.35">
      <c r="A739" s="32" t="s">
        <v>18</v>
      </c>
      <c r="B739" s="2" t="str">
        <f>VLOOKUP(A739,Stammdaten!$A$3:$B$7,2,FALSE)</f>
        <v>Filiale Zentrum</v>
      </c>
      <c r="C739" s="3" t="str" cm="1">
        <f t="array" ref="C739">INDEX(Stammdaten!$A$11:$A$25,INT((ROW()-5)/12)+1 - INT((ROW()-5)/180)*15)</f>
        <v>A002</v>
      </c>
      <c r="D739" s="2" t="str">
        <f>VLOOKUP(C739,Stammdaten!$A$11:$B$25,2,FALSE)</f>
        <v>Fettarme Milch 1L</v>
      </c>
      <c r="E739" s="3" t="str">
        <f>VLOOKUP(C739,Stammdaten!$A$11:$C$25,3,FALSE)</f>
        <v>Milch</v>
      </c>
      <c r="F739" s="19">
        <f>VLOOKUP(C739,Stammdaten!$A$11:$D$25,4,FALSE)</f>
        <v>1.0900000000000001</v>
      </c>
      <c r="G739" s="4">
        <f t="shared" si="143"/>
        <v>3</v>
      </c>
      <c r="H739" s="20" t="str">
        <f>VLOOKUP(G739,Stammdaten!$A$30:$B$41,2,FALSE)</f>
        <v>März</v>
      </c>
      <c r="I739" s="4">
        <v>590</v>
      </c>
      <c r="J739" s="4">
        <v>591</v>
      </c>
      <c r="K739" s="4">
        <f t="shared" si="144"/>
        <v>1</v>
      </c>
      <c r="L739" s="27">
        <f t="shared" si="145"/>
        <v>0.16949152542372881</v>
      </c>
      <c r="M739" s="52" t="str">
        <f t="shared" si="146"/>
        <v>Überbestand</v>
      </c>
      <c r="N739" s="28">
        <f t="shared" si="147"/>
        <v>1.0900000000000001</v>
      </c>
      <c r="O739" s="5">
        <v>4</v>
      </c>
      <c r="P739" s="4">
        <v>3</v>
      </c>
      <c r="Q739" s="28">
        <f t="shared" si="148"/>
        <v>0</v>
      </c>
      <c r="R739" s="50">
        <f t="shared" si="149"/>
        <v>0</v>
      </c>
      <c r="S739" s="2" t="str">
        <f t="shared" si="150"/>
        <v>Normal</v>
      </c>
      <c r="T739" s="4">
        <v>1</v>
      </c>
      <c r="U739" s="4" t="str">
        <f t="shared" si="151"/>
        <v>Nein</v>
      </c>
      <c r="V739" s="4">
        <f t="shared" si="152"/>
        <v>0</v>
      </c>
      <c r="W739" s="19">
        <f t="shared" si="153"/>
        <v>1.0900000000000001</v>
      </c>
      <c r="X739" s="5">
        <v>0</v>
      </c>
      <c r="Y739" s="28">
        <f t="shared" si="154"/>
        <v>0</v>
      </c>
      <c r="Z739" s="31" t="s">
        <v>172</v>
      </c>
      <c r="AA739" t="str">
        <f t="shared" si="155"/>
        <v>Kassenfehler (Überbestand)</v>
      </c>
    </row>
    <row r="740" spans="1:27" x14ac:dyDescent="0.35">
      <c r="A740" s="32" t="s">
        <v>18</v>
      </c>
      <c r="B740" s="2" t="str">
        <f>VLOOKUP(A740,Stammdaten!$A$3:$B$7,2,FALSE)</f>
        <v>Filiale Zentrum</v>
      </c>
      <c r="C740" s="3" t="str" cm="1">
        <f t="array" ref="C740">INDEX(Stammdaten!$A$11:$A$25,INT((ROW()-5)/12)+1 - INT((ROW()-5)/180)*15)</f>
        <v>A002</v>
      </c>
      <c r="D740" s="2" t="str">
        <f>VLOOKUP(C740,Stammdaten!$A$11:$B$25,2,FALSE)</f>
        <v>Fettarme Milch 1L</v>
      </c>
      <c r="E740" s="3" t="str">
        <f>VLOOKUP(C740,Stammdaten!$A$11:$C$25,3,FALSE)</f>
        <v>Milch</v>
      </c>
      <c r="F740" s="19">
        <f>VLOOKUP(C740,Stammdaten!$A$11:$D$25,4,FALSE)</f>
        <v>1.0900000000000001</v>
      </c>
      <c r="G740" s="4">
        <f t="shared" si="143"/>
        <v>4</v>
      </c>
      <c r="H740" s="20" t="str">
        <f>VLOOKUP(G740,Stammdaten!$A$30:$B$41,2,FALSE)</f>
        <v>April</v>
      </c>
      <c r="I740" s="4">
        <v>739</v>
      </c>
      <c r="J740" s="4">
        <v>700</v>
      </c>
      <c r="K740" s="4">
        <f t="shared" si="144"/>
        <v>-39</v>
      </c>
      <c r="L740" s="27">
        <f t="shared" si="145"/>
        <v>-5.2774018944519625</v>
      </c>
      <c r="M740" s="52" t="str">
        <f t="shared" si="146"/>
        <v>Schwund</v>
      </c>
      <c r="N740" s="28">
        <f t="shared" si="147"/>
        <v>42.510000000000005</v>
      </c>
      <c r="O740" s="5">
        <v>5</v>
      </c>
      <c r="P740" s="4">
        <v>3</v>
      </c>
      <c r="Q740" s="28">
        <f t="shared" si="148"/>
        <v>10.627500000000001</v>
      </c>
      <c r="R740" s="50">
        <f t="shared" si="149"/>
        <v>12.753000000000002</v>
      </c>
      <c r="S740" s="2" t="str">
        <f t="shared" si="150"/>
        <v>Ostern</v>
      </c>
      <c r="T740" s="4">
        <v>0</v>
      </c>
      <c r="U740" s="4" t="str">
        <f t="shared" si="151"/>
        <v>Nein</v>
      </c>
      <c r="V740" s="4">
        <f t="shared" si="152"/>
        <v>0</v>
      </c>
      <c r="W740" s="19">
        <f t="shared" si="153"/>
        <v>1.0900000000000001</v>
      </c>
      <c r="X740" s="5">
        <v>0</v>
      </c>
      <c r="Y740" s="28">
        <f t="shared" si="154"/>
        <v>0</v>
      </c>
      <c r="Z740" s="31" t="s">
        <v>172</v>
      </c>
      <c r="AA740" t="str">
        <f t="shared" si="155"/>
        <v>Diebstahlrisiko</v>
      </c>
    </row>
    <row r="741" spans="1:27" x14ac:dyDescent="0.35">
      <c r="A741" s="32" t="s">
        <v>18</v>
      </c>
      <c r="B741" s="2" t="str">
        <f>VLOOKUP(A741,Stammdaten!$A$3:$B$7,2,FALSE)</f>
        <v>Filiale Zentrum</v>
      </c>
      <c r="C741" s="3" t="str" cm="1">
        <f t="array" ref="C741">INDEX(Stammdaten!$A$11:$A$25,INT((ROW()-5)/12)+1 - INT((ROW()-5)/180)*15)</f>
        <v>A002</v>
      </c>
      <c r="D741" s="2" t="str">
        <f>VLOOKUP(C741,Stammdaten!$A$11:$B$25,2,FALSE)</f>
        <v>Fettarme Milch 1L</v>
      </c>
      <c r="E741" s="3" t="str">
        <f>VLOOKUP(C741,Stammdaten!$A$11:$C$25,3,FALSE)</f>
        <v>Milch</v>
      </c>
      <c r="F741" s="19">
        <f>VLOOKUP(C741,Stammdaten!$A$11:$D$25,4,FALSE)</f>
        <v>1.0900000000000001</v>
      </c>
      <c r="G741" s="4">
        <f t="shared" si="143"/>
        <v>5</v>
      </c>
      <c r="H741" s="20" t="str">
        <f>VLOOKUP(G741,Stammdaten!$A$30:$B$41,2,FALSE)</f>
        <v>Mai</v>
      </c>
      <c r="I741" s="4">
        <v>591</v>
      </c>
      <c r="J741" s="4">
        <v>595</v>
      </c>
      <c r="K741" s="4">
        <f t="shared" si="144"/>
        <v>4</v>
      </c>
      <c r="L741" s="27">
        <f t="shared" si="145"/>
        <v>0.67681895093062605</v>
      </c>
      <c r="M741" s="52" t="str">
        <f t="shared" si="146"/>
        <v>Überbestand</v>
      </c>
      <c r="N741" s="28">
        <f t="shared" si="147"/>
        <v>4.3600000000000003</v>
      </c>
      <c r="O741" s="5">
        <v>5</v>
      </c>
      <c r="P741" s="4">
        <v>2</v>
      </c>
      <c r="Q741" s="28">
        <f t="shared" si="148"/>
        <v>0</v>
      </c>
      <c r="R741" s="50">
        <f t="shared" si="149"/>
        <v>0</v>
      </c>
      <c r="S741" s="2" t="str">
        <f t="shared" si="150"/>
        <v>Normal</v>
      </c>
      <c r="T741" s="4">
        <v>4</v>
      </c>
      <c r="U741" s="4" t="str">
        <f t="shared" si="151"/>
        <v>Nein</v>
      </c>
      <c r="V741" s="4">
        <f t="shared" si="152"/>
        <v>0</v>
      </c>
      <c r="W741" s="19">
        <f t="shared" si="153"/>
        <v>1.0900000000000001</v>
      </c>
      <c r="X741" s="5">
        <v>0</v>
      </c>
      <c r="Y741" s="28">
        <f t="shared" si="154"/>
        <v>0</v>
      </c>
      <c r="Z741" s="31" t="s">
        <v>172</v>
      </c>
      <c r="AA741" t="str">
        <f t="shared" si="155"/>
        <v>Kassenfehler (Überbestand)</v>
      </c>
    </row>
    <row r="742" spans="1:27" x14ac:dyDescent="0.35">
      <c r="A742" s="32" t="s">
        <v>18</v>
      </c>
      <c r="B742" s="2" t="str">
        <f>VLOOKUP(A742,Stammdaten!$A$3:$B$7,2,FALSE)</f>
        <v>Filiale Zentrum</v>
      </c>
      <c r="C742" s="3" t="str" cm="1">
        <f t="array" ref="C742">INDEX(Stammdaten!$A$11:$A$25,INT((ROW()-5)/12)+1 - INT((ROW()-5)/180)*15)</f>
        <v>A002</v>
      </c>
      <c r="D742" s="2" t="str">
        <f>VLOOKUP(C742,Stammdaten!$A$11:$B$25,2,FALSE)</f>
        <v>Fettarme Milch 1L</v>
      </c>
      <c r="E742" s="3" t="str">
        <f>VLOOKUP(C742,Stammdaten!$A$11:$C$25,3,FALSE)</f>
        <v>Milch</v>
      </c>
      <c r="F742" s="19">
        <f>VLOOKUP(C742,Stammdaten!$A$11:$D$25,4,FALSE)</f>
        <v>1.0900000000000001</v>
      </c>
      <c r="G742" s="4">
        <f t="shared" si="143"/>
        <v>6</v>
      </c>
      <c r="H742" s="20" t="str">
        <f>VLOOKUP(G742,Stammdaten!$A$30:$B$41,2,FALSE)</f>
        <v>Juni</v>
      </c>
      <c r="I742" s="4">
        <v>669</v>
      </c>
      <c r="J742" s="4">
        <v>637</v>
      </c>
      <c r="K742" s="4">
        <f t="shared" si="144"/>
        <v>-32</v>
      </c>
      <c r="L742" s="27">
        <f t="shared" si="145"/>
        <v>-4.7832585949177879</v>
      </c>
      <c r="M742" s="52" t="str">
        <f t="shared" si="146"/>
        <v>Schwund</v>
      </c>
      <c r="N742" s="28">
        <f t="shared" si="147"/>
        <v>34.880000000000003</v>
      </c>
      <c r="O742" s="5">
        <v>3</v>
      </c>
      <c r="P742" s="4">
        <v>0</v>
      </c>
      <c r="Q742" s="28">
        <f t="shared" si="148"/>
        <v>8.7200000000000006</v>
      </c>
      <c r="R742" s="50">
        <f t="shared" si="149"/>
        <v>10.464</v>
      </c>
      <c r="S742" s="2" t="str">
        <f t="shared" si="150"/>
        <v>Normal</v>
      </c>
      <c r="T742" s="4">
        <v>0</v>
      </c>
      <c r="U742" s="4" t="str">
        <f t="shared" si="151"/>
        <v>Ja - 20% Reduzierung</v>
      </c>
      <c r="V742" s="4">
        <f t="shared" si="152"/>
        <v>20</v>
      </c>
      <c r="W742" s="19">
        <f t="shared" si="153"/>
        <v>0.87</v>
      </c>
      <c r="X742" s="5">
        <v>80</v>
      </c>
      <c r="Y742" s="28">
        <f t="shared" si="154"/>
        <v>17.440000000000001</v>
      </c>
      <c r="Z742" s="31" t="s">
        <v>173</v>
      </c>
      <c r="AA742" t="str">
        <f t="shared" si="155"/>
        <v>Diebstahlrisiko</v>
      </c>
    </row>
    <row r="743" spans="1:27" x14ac:dyDescent="0.35">
      <c r="A743" s="32" t="s">
        <v>18</v>
      </c>
      <c r="B743" s="2" t="str">
        <f>VLOOKUP(A743,Stammdaten!$A$3:$B$7,2,FALSE)</f>
        <v>Filiale Zentrum</v>
      </c>
      <c r="C743" s="3" t="str" cm="1">
        <f t="array" ref="C743">INDEX(Stammdaten!$A$11:$A$25,INT((ROW()-5)/12)+1 - INT((ROW()-5)/180)*15)</f>
        <v>A002</v>
      </c>
      <c r="D743" s="2" t="str">
        <f>VLOOKUP(C743,Stammdaten!$A$11:$B$25,2,FALSE)</f>
        <v>Fettarme Milch 1L</v>
      </c>
      <c r="E743" s="3" t="str">
        <f>VLOOKUP(C743,Stammdaten!$A$11:$C$25,3,FALSE)</f>
        <v>Milch</v>
      </c>
      <c r="F743" s="19">
        <f>VLOOKUP(C743,Stammdaten!$A$11:$D$25,4,FALSE)</f>
        <v>1.0900000000000001</v>
      </c>
      <c r="G743" s="4">
        <f t="shared" si="143"/>
        <v>7</v>
      </c>
      <c r="H743" s="20" t="str">
        <f>VLOOKUP(G743,Stammdaten!$A$30:$B$41,2,FALSE)</f>
        <v>Juli</v>
      </c>
      <c r="I743" s="4">
        <v>737</v>
      </c>
      <c r="J743" s="4">
        <v>700</v>
      </c>
      <c r="K743" s="4">
        <f t="shared" si="144"/>
        <v>-37</v>
      </c>
      <c r="L743" s="27">
        <f t="shared" si="145"/>
        <v>-5.0203527815468112</v>
      </c>
      <c r="M743" s="52" t="str">
        <f t="shared" si="146"/>
        <v>Schwund</v>
      </c>
      <c r="N743" s="28">
        <f t="shared" si="147"/>
        <v>40.330000000000005</v>
      </c>
      <c r="O743" s="5">
        <v>4</v>
      </c>
      <c r="P743" s="4">
        <v>1</v>
      </c>
      <c r="Q743" s="28">
        <f t="shared" si="148"/>
        <v>10.082500000000001</v>
      </c>
      <c r="R743" s="50">
        <f t="shared" si="149"/>
        <v>12.099000000000002</v>
      </c>
      <c r="S743" s="2" t="str">
        <f t="shared" si="150"/>
        <v>Normal</v>
      </c>
      <c r="T743" s="4">
        <v>0</v>
      </c>
      <c r="U743" s="4" t="str">
        <f t="shared" si="151"/>
        <v>Nein</v>
      </c>
      <c r="V743" s="4">
        <f t="shared" si="152"/>
        <v>0</v>
      </c>
      <c r="W743" s="19">
        <f t="shared" si="153"/>
        <v>1.0900000000000001</v>
      </c>
      <c r="X743" s="5">
        <v>0</v>
      </c>
      <c r="Y743" s="28">
        <f t="shared" si="154"/>
        <v>0</v>
      </c>
      <c r="Z743" s="31" t="s">
        <v>172</v>
      </c>
      <c r="AA743" t="str">
        <f t="shared" si="155"/>
        <v>Diebstahlrisiko</v>
      </c>
    </row>
    <row r="744" spans="1:27" x14ac:dyDescent="0.35">
      <c r="A744" s="32" t="s">
        <v>18</v>
      </c>
      <c r="B744" s="2" t="str">
        <f>VLOOKUP(A744,Stammdaten!$A$3:$B$7,2,FALSE)</f>
        <v>Filiale Zentrum</v>
      </c>
      <c r="C744" s="3" t="str" cm="1">
        <f t="array" ref="C744">INDEX(Stammdaten!$A$11:$A$25,INT((ROW()-5)/12)+1 - INT((ROW()-5)/180)*15)</f>
        <v>A002</v>
      </c>
      <c r="D744" s="2" t="str">
        <f>VLOOKUP(C744,Stammdaten!$A$11:$B$25,2,FALSE)</f>
        <v>Fettarme Milch 1L</v>
      </c>
      <c r="E744" s="3" t="str">
        <f>VLOOKUP(C744,Stammdaten!$A$11:$C$25,3,FALSE)</f>
        <v>Milch</v>
      </c>
      <c r="F744" s="19">
        <f>VLOOKUP(C744,Stammdaten!$A$11:$D$25,4,FALSE)</f>
        <v>1.0900000000000001</v>
      </c>
      <c r="G744" s="4">
        <f t="shared" si="143"/>
        <v>8</v>
      </c>
      <c r="H744" s="20" t="str">
        <f>VLOOKUP(G744,Stammdaten!$A$30:$B$41,2,FALSE)</f>
        <v>August</v>
      </c>
      <c r="I744" s="4">
        <v>659</v>
      </c>
      <c r="J744" s="4">
        <v>622</v>
      </c>
      <c r="K744" s="4">
        <f t="shared" si="144"/>
        <v>-37</v>
      </c>
      <c r="L744" s="27">
        <f t="shared" si="145"/>
        <v>-5.6145675265553869</v>
      </c>
      <c r="M744" s="52" t="str">
        <f t="shared" si="146"/>
        <v>Schwund</v>
      </c>
      <c r="N744" s="28">
        <f t="shared" si="147"/>
        <v>40.330000000000005</v>
      </c>
      <c r="O744" s="5">
        <v>3</v>
      </c>
      <c r="P744" s="4">
        <v>1</v>
      </c>
      <c r="Q744" s="28">
        <f t="shared" si="148"/>
        <v>10.082500000000001</v>
      </c>
      <c r="R744" s="50">
        <f t="shared" si="149"/>
        <v>12.099000000000002</v>
      </c>
      <c r="S744" s="2" t="str">
        <f t="shared" si="150"/>
        <v>Normal</v>
      </c>
      <c r="T744" s="4">
        <v>0</v>
      </c>
      <c r="U744" s="4" t="str">
        <f t="shared" si="151"/>
        <v>Ja - 20% Reduzierung</v>
      </c>
      <c r="V744" s="4">
        <f t="shared" si="152"/>
        <v>20</v>
      </c>
      <c r="W744" s="19">
        <f t="shared" si="153"/>
        <v>0.87</v>
      </c>
      <c r="X744" s="5">
        <v>92</v>
      </c>
      <c r="Y744" s="28">
        <f t="shared" si="154"/>
        <v>20.059999999999999</v>
      </c>
      <c r="Z744" s="31" t="s">
        <v>164</v>
      </c>
      <c r="AA744" t="str">
        <f t="shared" si="155"/>
        <v>MHD - Prozessfehler</v>
      </c>
    </row>
    <row r="745" spans="1:27" x14ac:dyDescent="0.35">
      <c r="A745" s="32" t="s">
        <v>18</v>
      </c>
      <c r="B745" s="2" t="str">
        <f>VLOOKUP(A745,Stammdaten!$A$3:$B$7,2,FALSE)</f>
        <v>Filiale Zentrum</v>
      </c>
      <c r="C745" s="3" t="str" cm="1">
        <f t="array" ref="C745">INDEX(Stammdaten!$A$11:$A$25,INT((ROW()-5)/12)+1 - INT((ROW()-5)/180)*15)</f>
        <v>A002</v>
      </c>
      <c r="D745" s="2" t="str">
        <f>VLOOKUP(C745,Stammdaten!$A$11:$B$25,2,FALSE)</f>
        <v>Fettarme Milch 1L</v>
      </c>
      <c r="E745" s="3" t="str">
        <f>VLOOKUP(C745,Stammdaten!$A$11:$C$25,3,FALSE)</f>
        <v>Milch</v>
      </c>
      <c r="F745" s="19">
        <f>VLOOKUP(C745,Stammdaten!$A$11:$D$25,4,FALSE)</f>
        <v>1.0900000000000001</v>
      </c>
      <c r="G745" s="4">
        <f t="shared" si="143"/>
        <v>9</v>
      </c>
      <c r="H745" s="20" t="str">
        <f>VLOOKUP(G745,Stammdaten!$A$30:$B$41,2,FALSE)</f>
        <v>September</v>
      </c>
      <c r="I745" s="4">
        <v>578</v>
      </c>
      <c r="J745" s="4">
        <v>550</v>
      </c>
      <c r="K745" s="4">
        <f t="shared" si="144"/>
        <v>-28</v>
      </c>
      <c r="L745" s="27">
        <f t="shared" si="145"/>
        <v>-4.844290657439446</v>
      </c>
      <c r="M745" s="52" t="str">
        <f t="shared" si="146"/>
        <v>Schwund</v>
      </c>
      <c r="N745" s="28">
        <f t="shared" si="147"/>
        <v>30.520000000000003</v>
      </c>
      <c r="O745" s="5">
        <v>6</v>
      </c>
      <c r="P745" s="4">
        <v>0</v>
      </c>
      <c r="Q745" s="28">
        <f t="shared" si="148"/>
        <v>7.6300000000000008</v>
      </c>
      <c r="R745" s="50">
        <f t="shared" si="149"/>
        <v>9.1560000000000006</v>
      </c>
      <c r="S745" s="2" t="str">
        <f t="shared" si="150"/>
        <v>Normal</v>
      </c>
      <c r="T745" s="4">
        <v>0</v>
      </c>
      <c r="U745" s="4" t="str">
        <f t="shared" si="151"/>
        <v>Nein</v>
      </c>
      <c r="V745" s="4">
        <f t="shared" si="152"/>
        <v>0</v>
      </c>
      <c r="W745" s="19">
        <f t="shared" si="153"/>
        <v>1.0900000000000001</v>
      </c>
      <c r="X745" s="5">
        <v>0</v>
      </c>
      <c r="Y745" s="28">
        <f t="shared" si="154"/>
        <v>0</v>
      </c>
      <c r="Z745" s="31" t="s">
        <v>172</v>
      </c>
      <c r="AA745" t="str">
        <f t="shared" si="155"/>
        <v>Diebstahlrisiko</v>
      </c>
    </row>
    <row r="746" spans="1:27" x14ac:dyDescent="0.35">
      <c r="A746" s="32" t="s">
        <v>18</v>
      </c>
      <c r="B746" s="2" t="str">
        <f>VLOOKUP(A746,Stammdaten!$A$3:$B$7,2,FALSE)</f>
        <v>Filiale Zentrum</v>
      </c>
      <c r="C746" s="3" t="str" cm="1">
        <f t="array" ref="C746">INDEX(Stammdaten!$A$11:$A$25,INT((ROW()-5)/12)+1 - INT((ROW()-5)/180)*15)</f>
        <v>A002</v>
      </c>
      <c r="D746" s="2" t="str">
        <f>VLOOKUP(C746,Stammdaten!$A$11:$B$25,2,FALSE)</f>
        <v>Fettarme Milch 1L</v>
      </c>
      <c r="E746" s="3" t="str">
        <f>VLOOKUP(C746,Stammdaten!$A$11:$C$25,3,FALSE)</f>
        <v>Milch</v>
      </c>
      <c r="F746" s="19">
        <f>VLOOKUP(C746,Stammdaten!$A$11:$D$25,4,FALSE)</f>
        <v>1.0900000000000001</v>
      </c>
      <c r="G746" s="4">
        <f t="shared" si="143"/>
        <v>10</v>
      </c>
      <c r="H746" s="20" t="str">
        <f>VLOOKUP(G746,Stammdaten!$A$30:$B$41,2,FALSE)</f>
        <v>Oktober</v>
      </c>
      <c r="I746" s="4">
        <v>597</v>
      </c>
      <c r="J746" s="4">
        <v>598</v>
      </c>
      <c r="K746" s="4">
        <f t="shared" si="144"/>
        <v>1</v>
      </c>
      <c r="L746" s="27">
        <f t="shared" si="145"/>
        <v>0.16750418760469013</v>
      </c>
      <c r="M746" s="52" t="str">
        <f t="shared" si="146"/>
        <v>Überbestand</v>
      </c>
      <c r="N746" s="28">
        <f t="shared" si="147"/>
        <v>1.0900000000000001</v>
      </c>
      <c r="O746" s="5">
        <v>5</v>
      </c>
      <c r="P746" s="4">
        <v>2</v>
      </c>
      <c r="Q746" s="28">
        <f t="shared" si="148"/>
        <v>0</v>
      </c>
      <c r="R746" s="50">
        <f t="shared" si="149"/>
        <v>0</v>
      </c>
      <c r="S746" s="2" t="str">
        <f t="shared" si="150"/>
        <v>Normal</v>
      </c>
      <c r="T746" s="4">
        <v>1</v>
      </c>
      <c r="U746" s="4" t="str">
        <f t="shared" si="151"/>
        <v>Nein</v>
      </c>
      <c r="V746" s="4">
        <f t="shared" si="152"/>
        <v>0</v>
      </c>
      <c r="W746" s="19">
        <f t="shared" si="153"/>
        <v>1.0900000000000001</v>
      </c>
      <c r="X746" s="5">
        <v>0</v>
      </c>
      <c r="Y746" s="28">
        <f t="shared" si="154"/>
        <v>0</v>
      </c>
      <c r="Z746" s="31" t="s">
        <v>172</v>
      </c>
      <c r="AA746" t="str">
        <f t="shared" si="155"/>
        <v>Kassenfehler (Überbestand)</v>
      </c>
    </row>
    <row r="747" spans="1:27" x14ac:dyDescent="0.35">
      <c r="A747" s="32" t="s">
        <v>18</v>
      </c>
      <c r="B747" s="2" t="str">
        <f>VLOOKUP(A747,Stammdaten!$A$3:$B$7,2,FALSE)</f>
        <v>Filiale Zentrum</v>
      </c>
      <c r="C747" s="3" t="str" cm="1">
        <f t="array" ref="C747">INDEX(Stammdaten!$A$11:$A$25,INT((ROW()-5)/12)+1 - INT((ROW()-5)/180)*15)</f>
        <v>A002</v>
      </c>
      <c r="D747" s="2" t="str">
        <f>VLOOKUP(C747,Stammdaten!$A$11:$B$25,2,FALSE)</f>
        <v>Fettarme Milch 1L</v>
      </c>
      <c r="E747" s="3" t="str">
        <f>VLOOKUP(C747,Stammdaten!$A$11:$C$25,3,FALSE)</f>
        <v>Milch</v>
      </c>
      <c r="F747" s="19">
        <f>VLOOKUP(C747,Stammdaten!$A$11:$D$25,4,FALSE)</f>
        <v>1.0900000000000001</v>
      </c>
      <c r="G747" s="4">
        <f t="shared" si="143"/>
        <v>11</v>
      </c>
      <c r="H747" s="20" t="str">
        <f>VLOOKUP(G747,Stammdaten!$A$30:$B$41,2,FALSE)</f>
        <v>November</v>
      </c>
      <c r="I747" s="4">
        <v>624</v>
      </c>
      <c r="J747" s="4">
        <v>590</v>
      </c>
      <c r="K747" s="4">
        <f t="shared" si="144"/>
        <v>-34</v>
      </c>
      <c r="L747" s="27">
        <f t="shared" si="145"/>
        <v>-5.4487179487179489</v>
      </c>
      <c r="M747" s="52" t="str">
        <f t="shared" si="146"/>
        <v>Schwund</v>
      </c>
      <c r="N747" s="28">
        <f t="shared" si="147"/>
        <v>37.06</v>
      </c>
      <c r="O747" s="5">
        <v>3</v>
      </c>
      <c r="P747" s="4">
        <v>1</v>
      </c>
      <c r="Q747" s="28">
        <f t="shared" si="148"/>
        <v>9.2650000000000006</v>
      </c>
      <c r="R747" s="50">
        <f t="shared" si="149"/>
        <v>11.118</v>
      </c>
      <c r="S747" s="2" t="str">
        <f t="shared" si="150"/>
        <v>Black Friday</v>
      </c>
      <c r="T747" s="4">
        <v>0</v>
      </c>
      <c r="U747" s="4" t="str">
        <f t="shared" si="151"/>
        <v>Ja - 20% Reduzierung</v>
      </c>
      <c r="V747" s="4">
        <f t="shared" si="152"/>
        <v>20</v>
      </c>
      <c r="W747" s="19">
        <f t="shared" si="153"/>
        <v>0.87</v>
      </c>
      <c r="X747" s="5">
        <v>56</v>
      </c>
      <c r="Y747" s="28">
        <f t="shared" si="154"/>
        <v>12.21</v>
      </c>
      <c r="Z747" s="31" t="s">
        <v>173</v>
      </c>
      <c r="AA747" t="str">
        <f t="shared" si="155"/>
        <v>Diebstahlrisiko</v>
      </c>
    </row>
    <row r="748" spans="1:27" x14ac:dyDescent="0.35">
      <c r="A748" s="32" t="s">
        <v>18</v>
      </c>
      <c r="B748" s="2" t="str">
        <f>VLOOKUP(A748,Stammdaten!$A$3:$B$7,2,FALSE)</f>
        <v>Filiale Zentrum</v>
      </c>
      <c r="C748" s="3" t="str" cm="1">
        <f t="array" ref="C748">INDEX(Stammdaten!$A$11:$A$25,INT((ROW()-5)/12)+1 - INT((ROW()-5)/180)*15)</f>
        <v>A002</v>
      </c>
      <c r="D748" s="2" t="str">
        <f>VLOOKUP(C748,Stammdaten!$A$11:$B$25,2,FALSE)</f>
        <v>Fettarme Milch 1L</v>
      </c>
      <c r="E748" s="3" t="str">
        <f>VLOOKUP(C748,Stammdaten!$A$11:$C$25,3,FALSE)</f>
        <v>Milch</v>
      </c>
      <c r="F748" s="19">
        <f>VLOOKUP(C748,Stammdaten!$A$11:$D$25,4,FALSE)</f>
        <v>1.0900000000000001</v>
      </c>
      <c r="G748" s="4">
        <f t="shared" si="143"/>
        <v>12</v>
      </c>
      <c r="H748" s="20" t="str">
        <f>VLOOKUP(G748,Stammdaten!$A$30:$B$41,2,FALSE)</f>
        <v>Dezember</v>
      </c>
      <c r="I748" s="4">
        <v>827</v>
      </c>
      <c r="J748" s="4">
        <v>764</v>
      </c>
      <c r="K748" s="4">
        <f t="shared" si="144"/>
        <v>-63</v>
      </c>
      <c r="L748" s="27">
        <f t="shared" si="145"/>
        <v>-7.6178960096735189</v>
      </c>
      <c r="M748" s="52" t="str">
        <f t="shared" si="146"/>
        <v>Schwund</v>
      </c>
      <c r="N748" s="28">
        <f t="shared" si="147"/>
        <v>68.67</v>
      </c>
      <c r="O748" s="5">
        <v>7</v>
      </c>
      <c r="P748" s="4">
        <v>3</v>
      </c>
      <c r="Q748" s="28">
        <f t="shared" si="148"/>
        <v>17.1675</v>
      </c>
      <c r="R748" s="50">
        <f t="shared" si="149"/>
        <v>20.600999999999999</v>
      </c>
      <c r="S748" s="2" t="str">
        <f t="shared" si="150"/>
        <v>Weihnachten/Silvester</v>
      </c>
      <c r="T748" s="4">
        <v>0</v>
      </c>
      <c r="U748" s="4" t="str">
        <f t="shared" si="151"/>
        <v>Nein</v>
      </c>
      <c r="V748" s="4">
        <f t="shared" si="152"/>
        <v>0</v>
      </c>
      <c r="W748" s="19">
        <f t="shared" si="153"/>
        <v>1.0900000000000001</v>
      </c>
      <c r="X748" s="5">
        <v>0</v>
      </c>
      <c r="Y748" s="28">
        <f t="shared" si="154"/>
        <v>0</v>
      </c>
      <c r="Z748" s="31" t="s">
        <v>172</v>
      </c>
      <c r="AA748" t="str">
        <f t="shared" si="155"/>
        <v>Diebstahlrisiko</v>
      </c>
    </row>
    <row r="749" spans="1:27" x14ac:dyDescent="0.35">
      <c r="A749" s="32" t="s">
        <v>18</v>
      </c>
      <c r="B749" s="2" t="str">
        <f>VLOOKUP(A749,Stammdaten!$A$3:$B$7,2,FALSE)</f>
        <v>Filiale Zentrum</v>
      </c>
      <c r="C749" s="3" t="str" cm="1">
        <f t="array" ref="C749">INDEX(Stammdaten!$A$11:$A$25,INT((ROW()-5)/12)+1 - INT((ROW()-5)/180)*15)</f>
        <v>A003</v>
      </c>
      <c r="D749" s="2" t="str">
        <f>VLOOKUP(C749,Stammdaten!$A$11:$B$25,2,FALSE)</f>
        <v>Bio-Milch 1L</v>
      </c>
      <c r="E749" s="3" t="str">
        <f>VLOOKUP(C749,Stammdaten!$A$11:$C$25,3,FALSE)</f>
        <v>Milch</v>
      </c>
      <c r="F749" s="19">
        <f>VLOOKUP(C749,Stammdaten!$A$11:$D$25,4,FALSE)</f>
        <v>1.59</v>
      </c>
      <c r="G749" s="4">
        <f t="shared" si="143"/>
        <v>1</v>
      </c>
      <c r="H749" s="20" t="str">
        <f>VLOOKUP(G749,Stammdaten!$A$30:$B$41,2,FALSE)</f>
        <v>Januar</v>
      </c>
      <c r="I749" s="4">
        <v>225</v>
      </c>
      <c r="J749" s="4">
        <v>220</v>
      </c>
      <c r="K749" s="4">
        <f t="shared" si="144"/>
        <v>-5</v>
      </c>
      <c r="L749" s="27">
        <f t="shared" si="145"/>
        <v>-2.2222222222222223</v>
      </c>
      <c r="M749" s="52" t="str">
        <f t="shared" si="146"/>
        <v>Schwund</v>
      </c>
      <c r="N749" s="28">
        <f t="shared" si="147"/>
        <v>7.95</v>
      </c>
      <c r="O749" s="5">
        <v>2</v>
      </c>
      <c r="P749" s="4">
        <v>2</v>
      </c>
      <c r="Q749" s="28">
        <f t="shared" si="148"/>
        <v>1.9875</v>
      </c>
      <c r="R749" s="50">
        <f t="shared" si="149"/>
        <v>2.3849999999999998</v>
      </c>
      <c r="S749" s="2" t="str">
        <f t="shared" si="150"/>
        <v>Normal</v>
      </c>
      <c r="T749" s="4">
        <v>0</v>
      </c>
      <c r="U749" s="4" t="str">
        <f t="shared" si="151"/>
        <v>Ja - 20% Reduzierung</v>
      </c>
      <c r="V749" s="4">
        <f t="shared" si="152"/>
        <v>20</v>
      </c>
      <c r="W749" s="19">
        <f t="shared" si="153"/>
        <v>1.27</v>
      </c>
      <c r="X749" s="5">
        <v>16</v>
      </c>
      <c r="Y749" s="28">
        <f t="shared" si="154"/>
        <v>5.09</v>
      </c>
      <c r="Z749" s="31" t="s">
        <v>173</v>
      </c>
      <c r="AA749" t="str">
        <f t="shared" si="155"/>
        <v>Prozessfehler</v>
      </c>
    </row>
    <row r="750" spans="1:27" x14ac:dyDescent="0.35">
      <c r="A750" s="32" t="s">
        <v>18</v>
      </c>
      <c r="B750" s="2" t="str">
        <f>VLOOKUP(A750,Stammdaten!$A$3:$B$7,2,FALSE)</f>
        <v>Filiale Zentrum</v>
      </c>
      <c r="C750" s="3" t="str" cm="1">
        <f t="array" ref="C750">INDEX(Stammdaten!$A$11:$A$25,INT((ROW()-5)/12)+1 - INT((ROW()-5)/180)*15)</f>
        <v>A003</v>
      </c>
      <c r="D750" s="2" t="str">
        <f>VLOOKUP(C750,Stammdaten!$A$11:$B$25,2,FALSE)</f>
        <v>Bio-Milch 1L</v>
      </c>
      <c r="E750" s="3" t="str">
        <f>VLOOKUP(C750,Stammdaten!$A$11:$C$25,3,FALSE)</f>
        <v>Milch</v>
      </c>
      <c r="F750" s="19">
        <f>VLOOKUP(C750,Stammdaten!$A$11:$D$25,4,FALSE)</f>
        <v>1.59</v>
      </c>
      <c r="G750" s="4">
        <f t="shared" si="143"/>
        <v>2</v>
      </c>
      <c r="H750" s="20" t="str">
        <f>VLOOKUP(G750,Stammdaten!$A$30:$B$41,2,FALSE)</f>
        <v>Februar</v>
      </c>
      <c r="I750" s="4">
        <v>228</v>
      </c>
      <c r="J750" s="4">
        <v>219</v>
      </c>
      <c r="K750" s="4">
        <f t="shared" si="144"/>
        <v>-9</v>
      </c>
      <c r="L750" s="27">
        <f t="shared" si="145"/>
        <v>-3.9473684210526314</v>
      </c>
      <c r="M750" s="52" t="str">
        <f t="shared" si="146"/>
        <v>Schwund</v>
      </c>
      <c r="N750" s="28">
        <f t="shared" si="147"/>
        <v>14.31</v>
      </c>
      <c r="O750" s="5">
        <v>5</v>
      </c>
      <c r="P750" s="4">
        <v>1</v>
      </c>
      <c r="Q750" s="28">
        <f t="shared" si="148"/>
        <v>3.5775000000000001</v>
      </c>
      <c r="R750" s="50">
        <f t="shared" si="149"/>
        <v>4.2930000000000001</v>
      </c>
      <c r="S750" s="2" t="str">
        <f t="shared" si="150"/>
        <v>Karneval</v>
      </c>
      <c r="T750" s="4">
        <v>0</v>
      </c>
      <c r="U750" s="4" t="str">
        <f t="shared" si="151"/>
        <v>Nein</v>
      </c>
      <c r="V750" s="4">
        <f t="shared" si="152"/>
        <v>0</v>
      </c>
      <c r="W750" s="19">
        <f t="shared" si="153"/>
        <v>1.59</v>
      </c>
      <c r="X750" s="5">
        <v>0</v>
      </c>
      <c r="Y750" s="28">
        <f t="shared" si="154"/>
        <v>0</v>
      </c>
      <c r="Z750" s="31" t="s">
        <v>172</v>
      </c>
      <c r="AA750" t="str">
        <f t="shared" si="155"/>
        <v>Diebstahlrisiko</v>
      </c>
    </row>
    <row r="751" spans="1:27" x14ac:dyDescent="0.35">
      <c r="A751" s="32" t="s">
        <v>18</v>
      </c>
      <c r="B751" s="2" t="str">
        <f>VLOOKUP(A751,Stammdaten!$A$3:$B$7,2,FALSE)</f>
        <v>Filiale Zentrum</v>
      </c>
      <c r="C751" s="3" t="str" cm="1">
        <f t="array" ref="C751">INDEX(Stammdaten!$A$11:$A$25,INT((ROW()-5)/12)+1 - INT((ROW()-5)/180)*15)</f>
        <v>A003</v>
      </c>
      <c r="D751" s="2" t="str">
        <f>VLOOKUP(C751,Stammdaten!$A$11:$B$25,2,FALSE)</f>
        <v>Bio-Milch 1L</v>
      </c>
      <c r="E751" s="3" t="str">
        <f>VLOOKUP(C751,Stammdaten!$A$11:$C$25,3,FALSE)</f>
        <v>Milch</v>
      </c>
      <c r="F751" s="19">
        <f>VLOOKUP(C751,Stammdaten!$A$11:$D$25,4,FALSE)</f>
        <v>1.59</v>
      </c>
      <c r="G751" s="4">
        <f t="shared" si="143"/>
        <v>3</v>
      </c>
      <c r="H751" s="20" t="str">
        <f>VLOOKUP(G751,Stammdaten!$A$30:$B$41,2,FALSE)</f>
        <v>März</v>
      </c>
      <c r="I751" s="4">
        <v>270</v>
      </c>
      <c r="J751" s="4">
        <v>261</v>
      </c>
      <c r="K751" s="4">
        <f t="shared" si="144"/>
        <v>-9</v>
      </c>
      <c r="L751" s="27">
        <f t="shared" si="145"/>
        <v>-3.3333333333333335</v>
      </c>
      <c r="M751" s="52" t="str">
        <f t="shared" si="146"/>
        <v>Schwund</v>
      </c>
      <c r="N751" s="28">
        <f t="shared" si="147"/>
        <v>14.31</v>
      </c>
      <c r="O751" s="5">
        <v>5</v>
      </c>
      <c r="P751" s="4">
        <v>2</v>
      </c>
      <c r="Q751" s="28">
        <f t="shared" si="148"/>
        <v>3.5775000000000001</v>
      </c>
      <c r="R751" s="50">
        <f t="shared" si="149"/>
        <v>4.2930000000000001</v>
      </c>
      <c r="S751" s="2" t="str">
        <f t="shared" si="150"/>
        <v>Normal</v>
      </c>
      <c r="T751" s="4">
        <v>0</v>
      </c>
      <c r="U751" s="4" t="str">
        <f t="shared" si="151"/>
        <v>Nein</v>
      </c>
      <c r="V751" s="4">
        <f t="shared" si="152"/>
        <v>0</v>
      </c>
      <c r="W751" s="19">
        <f t="shared" si="153"/>
        <v>1.59</v>
      </c>
      <c r="X751" s="5">
        <v>0</v>
      </c>
      <c r="Y751" s="28">
        <f t="shared" si="154"/>
        <v>0</v>
      </c>
      <c r="Z751" s="31" t="s">
        <v>172</v>
      </c>
      <c r="AA751" t="str">
        <f t="shared" si="155"/>
        <v>Diebstahlrisiko</v>
      </c>
    </row>
    <row r="752" spans="1:27" x14ac:dyDescent="0.35">
      <c r="A752" s="32" t="s">
        <v>18</v>
      </c>
      <c r="B752" s="2" t="str">
        <f>VLOOKUP(A752,Stammdaten!$A$3:$B$7,2,FALSE)</f>
        <v>Filiale Zentrum</v>
      </c>
      <c r="C752" s="3" t="str" cm="1">
        <f t="array" ref="C752">INDEX(Stammdaten!$A$11:$A$25,INT((ROW()-5)/12)+1 - INT((ROW()-5)/180)*15)</f>
        <v>A003</v>
      </c>
      <c r="D752" s="2" t="str">
        <f>VLOOKUP(C752,Stammdaten!$A$11:$B$25,2,FALSE)</f>
        <v>Bio-Milch 1L</v>
      </c>
      <c r="E752" s="3" t="str">
        <f>VLOOKUP(C752,Stammdaten!$A$11:$C$25,3,FALSE)</f>
        <v>Milch</v>
      </c>
      <c r="F752" s="19">
        <f>VLOOKUP(C752,Stammdaten!$A$11:$D$25,4,FALSE)</f>
        <v>1.59</v>
      </c>
      <c r="G752" s="4">
        <f t="shared" si="143"/>
        <v>4</v>
      </c>
      <c r="H752" s="20" t="str">
        <f>VLOOKUP(G752,Stammdaten!$A$30:$B$41,2,FALSE)</f>
        <v>April</v>
      </c>
      <c r="I752" s="4">
        <v>315</v>
      </c>
      <c r="J752" s="4">
        <v>300</v>
      </c>
      <c r="K752" s="4">
        <f t="shared" si="144"/>
        <v>-15</v>
      </c>
      <c r="L752" s="27">
        <f t="shared" si="145"/>
        <v>-4.7619047619047619</v>
      </c>
      <c r="M752" s="52" t="str">
        <f t="shared" si="146"/>
        <v>Schwund</v>
      </c>
      <c r="N752" s="28">
        <f t="shared" si="147"/>
        <v>23.85</v>
      </c>
      <c r="O752" s="5">
        <v>3</v>
      </c>
      <c r="P752" s="4">
        <v>2</v>
      </c>
      <c r="Q752" s="28">
        <f t="shared" si="148"/>
        <v>5.9625000000000004</v>
      </c>
      <c r="R752" s="50">
        <f t="shared" si="149"/>
        <v>7.1550000000000002</v>
      </c>
      <c r="S752" s="2" t="str">
        <f t="shared" si="150"/>
        <v>Ostern</v>
      </c>
      <c r="T752" s="4">
        <v>0</v>
      </c>
      <c r="U752" s="4" t="str">
        <f t="shared" si="151"/>
        <v>Ja - 20% Reduzierung</v>
      </c>
      <c r="V752" s="4">
        <f t="shared" si="152"/>
        <v>20</v>
      </c>
      <c r="W752" s="19">
        <f t="shared" si="153"/>
        <v>1.27</v>
      </c>
      <c r="X752" s="5">
        <v>47</v>
      </c>
      <c r="Y752" s="28">
        <f t="shared" si="154"/>
        <v>14.95</v>
      </c>
      <c r="Z752" s="31" t="s">
        <v>173</v>
      </c>
      <c r="AA752" t="str">
        <f t="shared" si="155"/>
        <v>Diebstahlrisiko</v>
      </c>
    </row>
    <row r="753" spans="1:27" x14ac:dyDescent="0.35">
      <c r="A753" s="32" t="s">
        <v>18</v>
      </c>
      <c r="B753" s="2" t="str">
        <f>VLOOKUP(A753,Stammdaten!$A$3:$B$7,2,FALSE)</f>
        <v>Filiale Zentrum</v>
      </c>
      <c r="C753" s="3" t="str" cm="1">
        <f t="array" ref="C753">INDEX(Stammdaten!$A$11:$A$25,INT((ROW()-5)/12)+1 - INT((ROW()-5)/180)*15)</f>
        <v>A003</v>
      </c>
      <c r="D753" s="2" t="str">
        <f>VLOOKUP(C753,Stammdaten!$A$11:$B$25,2,FALSE)</f>
        <v>Bio-Milch 1L</v>
      </c>
      <c r="E753" s="3" t="str">
        <f>VLOOKUP(C753,Stammdaten!$A$11:$C$25,3,FALSE)</f>
        <v>Milch</v>
      </c>
      <c r="F753" s="19">
        <f>VLOOKUP(C753,Stammdaten!$A$11:$D$25,4,FALSE)</f>
        <v>1.59</v>
      </c>
      <c r="G753" s="4">
        <f t="shared" si="143"/>
        <v>5</v>
      </c>
      <c r="H753" s="20" t="str">
        <f>VLOOKUP(G753,Stammdaten!$A$30:$B$41,2,FALSE)</f>
        <v>Mai</v>
      </c>
      <c r="I753" s="4">
        <v>260</v>
      </c>
      <c r="J753" s="4">
        <v>263</v>
      </c>
      <c r="K753" s="4">
        <f t="shared" si="144"/>
        <v>3</v>
      </c>
      <c r="L753" s="27">
        <f t="shared" si="145"/>
        <v>1.153846153846154</v>
      </c>
      <c r="M753" s="52" t="str">
        <f t="shared" si="146"/>
        <v>Überbestand</v>
      </c>
      <c r="N753" s="28">
        <f t="shared" si="147"/>
        <v>4.7700000000000005</v>
      </c>
      <c r="O753" s="5">
        <v>0</v>
      </c>
      <c r="P753" s="4">
        <v>1</v>
      </c>
      <c r="Q753" s="28">
        <f t="shared" si="148"/>
        <v>0</v>
      </c>
      <c r="R753" s="50">
        <f t="shared" si="149"/>
        <v>0</v>
      </c>
      <c r="S753" s="2" t="str">
        <f t="shared" si="150"/>
        <v>Normal</v>
      </c>
      <c r="T753" s="4">
        <v>3</v>
      </c>
      <c r="U753" s="4" t="str">
        <f t="shared" si="151"/>
        <v>Abschreibung</v>
      </c>
      <c r="V753" s="4">
        <f t="shared" si="152"/>
        <v>100</v>
      </c>
      <c r="W753" s="19">
        <f t="shared" si="153"/>
        <v>0</v>
      </c>
      <c r="X753" s="5">
        <v>8</v>
      </c>
      <c r="Y753" s="28">
        <f t="shared" si="154"/>
        <v>12.72</v>
      </c>
      <c r="Z753" s="31" t="s">
        <v>173</v>
      </c>
      <c r="AA753" t="str">
        <f t="shared" si="155"/>
        <v>Verderb - Abgelaufen</v>
      </c>
    </row>
    <row r="754" spans="1:27" x14ac:dyDescent="0.35">
      <c r="A754" s="32" t="s">
        <v>18</v>
      </c>
      <c r="B754" s="2" t="str">
        <f>VLOOKUP(A754,Stammdaten!$A$3:$B$7,2,FALSE)</f>
        <v>Filiale Zentrum</v>
      </c>
      <c r="C754" s="3" t="str" cm="1">
        <f t="array" ref="C754">INDEX(Stammdaten!$A$11:$A$25,INT((ROW()-5)/12)+1 - INT((ROW()-5)/180)*15)</f>
        <v>A003</v>
      </c>
      <c r="D754" s="2" t="str">
        <f>VLOOKUP(C754,Stammdaten!$A$11:$B$25,2,FALSE)</f>
        <v>Bio-Milch 1L</v>
      </c>
      <c r="E754" s="3" t="str">
        <f>VLOOKUP(C754,Stammdaten!$A$11:$C$25,3,FALSE)</f>
        <v>Milch</v>
      </c>
      <c r="F754" s="19">
        <f>VLOOKUP(C754,Stammdaten!$A$11:$D$25,4,FALSE)</f>
        <v>1.59</v>
      </c>
      <c r="G754" s="4">
        <f t="shared" si="143"/>
        <v>6</v>
      </c>
      <c r="H754" s="20" t="str">
        <f>VLOOKUP(G754,Stammdaten!$A$30:$B$41,2,FALSE)</f>
        <v>Juni</v>
      </c>
      <c r="I754" s="4">
        <v>280</v>
      </c>
      <c r="J754" s="4">
        <v>265</v>
      </c>
      <c r="K754" s="4">
        <f t="shared" si="144"/>
        <v>-15</v>
      </c>
      <c r="L754" s="27">
        <f t="shared" si="145"/>
        <v>-5.3571428571428568</v>
      </c>
      <c r="M754" s="52" t="str">
        <f t="shared" si="146"/>
        <v>Schwund</v>
      </c>
      <c r="N754" s="28">
        <f t="shared" si="147"/>
        <v>23.85</v>
      </c>
      <c r="O754" s="5">
        <v>6</v>
      </c>
      <c r="P754" s="4">
        <v>3</v>
      </c>
      <c r="Q754" s="28">
        <f t="shared" si="148"/>
        <v>5.9625000000000004</v>
      </c>
      <c r="R754" s="50">
        <f t="shared" si="149"/>
        <v>7.1550000000000002</v>
      </c>
      <c r="S754" s="2" t="str">
        <f t="shared" si="150"/>
        <v>Normal</v>
      </c>
      <c r="T754" s="4">
        <v>0</v>
      </c>
      <c r="U754" s="4" t="str">
        <f t="shared" si="151"/>
        <v>Nein</v>
      </c>
      <c r="V754" s="4">
        <f t="shared" si="152"/>
        <v>0</v>
      </c>
      <c r="W754" s="19">
        <f t="shared" si="153"/>
        <v>1.59</v>
      </c>
      <c r="X754" s="5">
        <v>0</v>
      </c>
      <c r="Y754" s="28">
        <f t="shared" si="154"/>
        <v>0</v>
      </c>
      <c r="Z754" s="31" t="s">
        <v>172</v>
      </c>
      <c r="AA754" t="str">
        <f t="shared" si="155"/>
        <v>Diebstahlrisiko</v>
      </c>
    </row>
    <row r="755" spans="1:27" x14ac:dyDescent="0.35">
      <c r="A755" s="32" t="s">
        <v>18</v>
      </c>
      <c r="B755" s="2" t="str">
        <f>VLOOKUP(A755,Stammdaten!$A$3:$B$7,2,FALSE)</f>
        <v>Filiale Zentrum</v>
      </c>
      <c r="C755" s="3" t="str" cm="1">
        <f t="array" ref="C755">INDEX(Stammdaten!$A$11:$A$25,INT((ROW()-5)/12)+1 - INT((ROW()-5)/180)*15)</f>
        <v>A003</v>
      </c>
      <c r="D755" s="2" t="str">
        <f>VLOOKUP(C755,Stammdaten!$A$11:$B$25,2,FALSE)</f>
        <v>Bio-Milch 1L</v>
      </c>
      <c r="E755" s="3" t="str">
        <f>VLOOKUP(C755,Stammdaten!$A$11:$C$25,3,FALSE)</f>
        <v>Milch</v>
      </c>
      <c r="F755" s="19">
        <f>VLOOKUP(C755,Stammdaten!$A$11:$D$25,4,FALSE)</f>
        <v>1.59</v>
      </c>
      <c r="G755" s="4">
        <f t="shared" si="143"/>
        <v>7</v>
      </c>
      <c r="H755" s="20" t="str">
        <f>VLOOKUP(G755,Stammdaten!$A$30:$B$41,2,FALSE)</f>
        <v>Juli</v>
      </c>
      <c r="I755" s="4">
        <v>328</v>
      </c>
      <c r="J755" s="4">
        <v>313</v>
      </c>
      <c r="K755" s="4">
        <f t="shared" si="144"/>
        <v>-15</v>
      </c>
      <c r="L755" s="27">
        <f t="shared" si="145"/>
        <v>-4.5731707317073171</v>
      </c>
      <c r="M755" s="52" t="str">
        <f t="shared" si="146"/>
        <v>Schwund</v>
      </c>
      <c r="N755" s="28">
        <f t="shared" si="147"/>
        <v>23.85</v>
      </c>
      <c r="O755" s="5">
        <v>4</v>
      </c>
      <c r="P755" s="4">
        <v>0</v>
      </c>
      <c r="Q755" s="28">
        <f t="shared" si="148"/>
        <v>5.9625000000000004</v>
      </c>
      <c r="R755" s="50">
        <f t="shared" si="149"/>
        <v>7.1550000000000002</v>
      </c>
      <c r="S755" s="2" t="str">
        <f t="shared" si="150"/>
        <v>Normal</v>
      </c>
      <c r="T755" s="4">
        <v>0</v>
      </c>
      <c r="U755" s="4" t="str">
        <f t="shared" si="151"/>
        <v>Nein</v>
      </c>
      <c r="V755" s="4">
        <f t="shared" si="152"/>
        <v>0</v>
      </c>
      <c r="W755" s="19">
        <f t="shared" si="153"/>
        <v>1.59</v>
      </c>
      <c r="X755" s="5">
        <v>0</v>
      </c>
      <c r="Y755" s="28">
        <f t="shared" si="154"/>
        <v>0</v>
      </c>
      <c r="Z755" s="31" t="s">
        <v>172</v>
      </c>
      <c r="AA755" t="str">
        <f t="shared" si="155"/>
        <v>Diebstahlrisiko</v>
      </c>
    </row>
    <row r="756" spans="1:27" x14ac:dyDescent="0.35">
      <c r="A756" s="32" t="s">
        <v>18</v>
      </c>
      <c r="B756" s="2" t="str">
        <f>VLOOKUP(A756,Stammdaten!$A$3:$B$7,2,FALSE)</f>
        <v>Filiale Zentrum</v>
      </c>
      <c r="C756" s="3" t="str" cm="1">
        <f t="array" ref="C756">INDEX(Stammdaten!$A$11:$A$25,INT((ROW()-5)/12)+1 - INT((ROW()-5)/180)*15)</f>
        <v>A003</v>
      </c>
      <c r="D756" s="2" t="str">
        <f>VLOOKUP(C756,Stammdaten!$A$11:$B$25,2,FALSE)</f>
        <v>Bio-Milch 1L</v>
      </c>
      <c r="E756" s="3" t="str">
        <f>VLOOKUP(C756,Stammdaten!$A$11:$C$25,3,FALSE)</f>
        <v>Milch</v>
      </c>
      <c r="F756" s="19">
        <f>VLOOKUP(C756,Stammdaten!$A$11:$D$25,4,FALSE)</f>
        <v>1.59</v>
      </c>
      <c r="G756" s="4">
        <f t="shared" si="143"/>
        <v>8</v>
      </c>
      <c r="H756" s="20" t="str">
        <f>VLOOKUP(G756,Stammdaten!$A$30:$B$41,2,FALSE)</f>
        <v>August</v>
      </c>
      <c r="I756" s="4">
        <v>299</v>
      </c>
      <c r="J756" s="4">
        <v>286</v>
      </c>
      <c r="K756" s="4">
        <f t="shared" si="144"/>
        <v>-13</v>
      </c>
      <c r="L756" s="27">
        <f t="shared" si="145"/>
        <v>-4.3478260869565215</v>
      </c>
      <c r="M756" s="52" t="str">
        <f t="shared" si="146"/>
        <v>Schwund</v>
      </c>
      <c r="N756" s="28">
        <f t="shared" si="147"/>
        <v>20.67</v>
      </c>
      <c r="O756" s="5">
        <v>4</v>
      </c>
      <c r="P756" s="4">
        <v>1</v>
      </c>
      <c r="Q756" s="28">
        <f t="shared" si="148"/>
        <v>5.1675000000000004</v>
      </c>
      <c r="R756" s="50">
        <f t="shared" si="149"/>
        <v>6.2010000000000005</v>
      </c>
      <c r="S756" s="2" t="str">
        <f t="shared" si="150"/>
        <v>Normal</v>
      </c>
      <c r="T756" s="4">
        <v>0</v>
      </c>
      <c r="U756" s="4" t="str">
        <f t="shared" si="151"/>
        <v>Nein</v>
      </c>
      <c r="V756" s="4">
        <f t="shared" si="152"/>
        <v>0</v>
      </c>
      <c r="W756" s="19">
        <f t="shared" si="153"/>
        <v>1.59</v>
      </c>
      <c r="X756" s="5">
        <v>0</v>
      </c>
      <c r="Y756" s="28">
        <f t="shared" si="154"/>
        <v>0</v>
      </c>
      <c r="Z756" s="31" t="s">
        <v>172</v>
      </c>
      <c r="AA756" t="str">
        <f t="shared" si="155"/>
        <v>Diebstahlrisiko</v>
      </c>
    </row>
    <row r="757" spans="1:27" x14ac:dyDescent="0.35">
      <c r="A757" s="32" t="s">
        <v>18</v>
      </c>
      <c r="B757" s="2" t="str">
        <f>VLOOKUP(A757,Stammdaten!$A$3:$B$7,2,FALSE)</f>
        <v>Filiale Zentrum</v>
      </c>
      <c r="C757" s="3" t="str" cm="1">
        <f t="array" ref="C757">INDEX(Stammdaten!$A$11:$A$25,INT((ROW()-5)/12)+1 - INT((ROW()-5)/180)*15)</f>
        <v>A003</v>
      </c>
      <c r="D757" s="2" t="str">
        <f>VLOOKUP(C757,Stammdaten!$A$11:$B$25,2,FALSE)</f>
        <v>Bio-Milch 1L</v>
      </c>
      <c r="E757" s="3" t="str">
        <f>VLOOKUP(C757,Stammdaten!$A$11:$C$25,3,FALSE)</f>
        <v>Milch</v>
      </c>
      <c r="F757" s="19">
        <f>VLOOKUP(C757,Stammdaten!$A$11:$D$25,4,FALSE)</f>
        <v>1.59</v>
      </c>
      <c r="G757" s="4">
        <f t="shared" si="143"/>
        <v>9</v>
      </c>
      <c r="H757" s="20" t="str">
        <f>VLOOKUP(G757,Stammdaten!$A$30:$B$41,2,FALSE)</f>
        <v>September</v>
      </c>
      <c r="I757" s="4">
        <v>254</v>
      </c>
      <c r="J757" s="4">
        <v>247</v>
      </c>
      <c r="K757" s="4">
        <f t="shared" si="144"/>
        <v>-7</v>
      </c>
      <c r="L757" s="27">
        <f t="shared" si="145"/>
        <v>-2.7559055118110236</v>
      </c>
      <c r="M757" s="52" t="str">
        <f t="shared" si="146"/>
        <v>Schwund</v>
      </c>
      <c r="N757" s="28">
        <f t="shared" si="147"/>
        <v>11.13</v>
      </c>
      <c r="O757" s="5">
        <v>6</v>
      </c>
      <c r="P757" s="4">
        <v>3</v>
      </c>
      <c r="Q757" s="28">
        <f t="shared" si="148"/>
        <v>2.7825000000000002</v>
      </c>
      <c r="R757" s="50">
        <f t="shared" si="149"/>
        <v>3.339</v>
      </c>
      <c r="S757" s="2" t="str">
        <f t="shared" si="150"/>
        <v>Normal</v>
      </c>
      <c r="T757" s="4">
        <v>0</v>
      </c>
      <c r="U757" s="4" t="str">
        <f t="shared" si="151"/>
        <v>Nein</v>
      </c>
      <c r="V757" s="4">
        <f t="shared" si="152"/>
        <v>0</v>
      </c>
      <c r="W757" s="19">
        <f t="shared" si="153"/>
        <v>1.59</v>
      </c>
      <c r="X757" s="5">
        <v>0</v>
      </c>
      <c r="Y757" s="28">
        <f t="shared" si="154"/>
        <v>0</v>
      </c>
      <c r="Z757" s="31" t="s">
        <v>172</v>
      </c>
      <c r="AA757" t="str">
        <f t="shared" si="155"/>
        <v>Prozessfehler</v>
      </c>
    </row>
    <row r="758" spans="1:27" x14ac:dyDescent="0.35">
      <c r="A758" s="32" t="s">
        <v>18</v>
      </c>
      <c r="B758" s="2" t="str">
        <f>VLOOKUP(A758,Stammdaten!$A$3:$B$7,2,FALSE)</f>
        <v>Filiale Zentrum</v>
      </c>
      <c r="C758" s="3" t="str" cm="1">
        <f t="array" ref="C758">INDEX(Stammdaten!$A$11:$A$25,INT((ROW()-5)/12)+1 - INT((ROW()-5)/180)*15)</f>
        <v>A003</v>
      </c>
      <c r="D758" s="2" t="str">
        <f>VLOOKUP(C758,Stammdaten!$A$11:$B$25,2,FALSE)</f>
        <v>Bio-Milch 1L</v>
      </c>
      <c r="E758" s="3" t="str">
        <f>VLOOKUP(C758,Stammdaten!$A$11:$C$25,3,FALSE)</f>
        <v>Milch</v>
      </c>
      <c r="F758" s="19">
        <f>VLOOKUP(C758,Stammdaten!$A$11:$D$25,4,FALSE)</f>
        <v>1.59</v>
      </c>
      <c r="G758" s="4">
        <f t="shared" si="143"/>
        <v>10</v>
      </c>
      <c r="H758" s="20" t="str">
        <f>VLOOKUP(G758,Stammdaten!$A$30:$B$41,2,FALSE)</f>
        <v>Oktober</v>
      </c>
      <c r="I758" s="4">
        <v>255</v>
      </c>
      <c r="J758" s="4">
        <v>244</v>
      </c>
      <c r="K758" s="4">
        <f t="shared" si="144"/>
        <v>-11</v>
      </c>
      <c r="L758" s="27">
        <f t="shared" si="145"/>
        <v>-4.3137254901960782</v>
      </c>
      <c r="M758" s="52" t="str">
        <f t="shared" si="146"/>
        <v>Schwund</v>
      </c>
      <c r="N758" s="28">
        <f t="shared" si="147"/>
        <v>17.490000000000002</v>
      </c>
      <c r="O758" s="5">
        <v>2</v>
      </c>
      <c r="P758" s="4">
        <v>3</v>
      </c>
      <c r="Q758" s="28">
        <f t="shared" si="148"/>
        <v>4.3725000000000005</v>
      </c>
      <c r="R758" s="50">
        <f t="shared" si="149"/>
        <v>5.2470000000000008</v>
      </c>
      <c r="S758" s="2" t="str">
        <f t="shared" si="150"/>
        <v>Normal</v>
      </c>
      <c r="T758" s="4">
        <v>0</v>
      </c>
      <c r="U758" s="4" t="str">
        <f t="shared" si="151"/>
        <v>Ja - 20% Reduzierung</v>
      </c>
      <c r="V758" s="4">
        <f t="shared" si="152"/>
        <v>20</v>
      </c>
      <c r="W758" s="19">
        <f t="shared" si="153"/>
        <v>1.27</v>
      </c>
      <c r="X758" s="5">
        <v>31</v>
      </c>
      <c r="Y758" s="28">
        <f t="shared" si="154"/>
        <v>9.86</v>
      </c>
      <c r="Z758" s="31" t="s">
        <v>173</v>
      </c>
      <c r="AA758" t="str">
        <f t="shared" si="155"/>
        <v>Diebstahlrisiko</v>
      </c>
    </row>
    <row r="759" spans="1:27" x14ac:dyDescent="0.35">
      <c r="A759" s="32" t="s">
        <v>18</v>
      </c>
      <c r="B759" s="2" t="str">
        <f>VLOOKUP(A759,Stammdaten!$A$3:$B$7,2,FALSE)</f>
        <v>Filiale Zentrum</v>
      </c>
      <c r="C759" s="3" t="str" cm="1">
        <f t="array" ref="C759">INDEX(Stammdaten!$A$11:$A$25,INT((ROW()-5)/12)+1 - INT((ROW()-5)/180)*15)</f>
        <v>A003</v>
      </c>
      <c r="D759" s="2" t="str">
        <f>VLOOKUP(C759,Stammdaten!$A$11:$B$25,2,FALSE)</f>
        <v>Bio-Milch 1L</v>
      </c>
      <c r="E759" s="3" t="str">
        <f>VLOOKUP(C759,Stammdaten!$A$11:$C$25,3,FALSE)</f>
        <v>Milch</v>
      </c>
      <c r="F759" s="19">
        <f>VLOOKUP(C759,Stammdaten!$A$11:$D$25,4,FALSE)</f>
        <v>1.59</v>
      </c>
      <c r="G759" s="4">
        <f t="shared" si="143"/>
        <v>11</v>
      </c>
      <c r="H759" s="20" t="str">
        <f>VLOOKUP(G759,Stammdaten!$A$30:$B$41,2,FALSE)</f>
        <v>November</v>
      </c>
      <c r="I759" s="4">
        <v>277</v>
      </c>
      <c r="J759" s="4">
        <v>263</v>
      </c>
      <c r="K759" s="4">
        <f t="shared" si="144"/>
        <v>-14</v>
      </c>
      <c r="L759" s="27">
        <f t="shared" si="145"/>
        <v>-5.0541516245487363</v>
      </c>
      <c r="M759" s="52" t="str">
        <f t="shared" si="146"/>
        <v>Schwund</v>
      </c>
      <c r="N759" s="28">
        <f t="shared" si="147"/>
        <v>22.26</v>
      </c>
      <c r="O759" s="5">
        <v>0</v>
      </c>
      <c r="P759" s="4">
        <v>2</v>
      </c>
      <c r="Q759" s="28">
        <f t="shared" si="148"/>
        <v>5.5650000000000004</v>
      </c>
      <c r="R759" s="50">
        <f t="shared" si="149"/>
        <v>6.6779999999999999</v>
      </c>
      <c r="S759" s="2" t="str">
        <f t="shared" si="150"/>
        <v>Black Friday</v>
      </c>
      <c r="T759" s="4">
        <v>0</v>
      </c>
      <c r="U759" s="4" t="str">
        <f t="shared" si="151"/>
        <v>Abschreibung</v>
      </c>
      <c r="V759" s="4">
        <f t="shared" si="152"/>
        <v>100</v>
      </c>
      <c r="W759" s="19">
        <f t="shared" si="153"/>
        <v>0</v>
      </c>
      <c r="X759" s="5">
        <v>8</v>
      </c>
      <c r="Y759" s="28">
        <f t="shared" si="154"/>
        <v>12.72</v>
      </c>
      <c r="Z759" s="31" t="s">
        <v>173</v>
      </c>
      <c r="AA759" t="str">
        <f t="shared" si="155"/>
        <v>Verderb - Abgelaufen</v>
      </c>
    </row>
    <row r="760" spans="1:27" x14ac:dyDescent="0.35">
      <c r="A760" s="32" t="s">
        <v>18</v>
      </c>
      <c r="B760" s="2" t="str">
        <f>VLOOKUP(A760,Stammdaten!$A$3:$B$7,2,FALSE)</f>
        <v>Filiale Zentrum</v>
      </c>
      <c r="C760" s="3" t="str" cm="1">
        <f t="array" ref="C760">INDEX(Stammdaten!$A$11:$A$25,INT((ROW()-5)/12)+1 - INT((ROW()-5)/180)*15)</f>
        <v>A003</v>
      </c>
      <c r="D760" s="2" t="str">
        <f>VLOOKUP(C760,Stammdaten!$A$11:$B$25,2,FALSE)</f>
        <v>Bio-Milch 1L</v>
      </c>
      <c r="E760" s="3" t="str">
        <f>VLOOKUP(C760,Stammdaten!$A$11:$C$25,3,FALSE)</f>
        <v>Milch</v>
      </c>
      <c r="F760" s="19">
        <f>VLOOKUP(C760,Stammdaten!$A$11:$D$25,4,FALSE)</f>
        <v>1.59</v>
      </c>
      <c r="G760" s="4">
        <f t="shared" si="143"/>
        <v>12</v>
      </c>
      <c r="H760" s="20" t="str">
        <f>VLOOKUP(G760,Stammdaten!$A$30:$B$41,2,FALSE)</f>
        <v>Dezember</v>
      </c>
      <c r="I760" s="4">
        <v>353</v>
      </c>
      <c r="J760" s="4">
        <v>361</v>
      </c>
      <c r="K760" s="4">
        <f t="shared" si="144"/>
        <v>8</v>
      </c>
      <c r="L760" s="27">
        <f t="shared" si="145"/>
        <v>2.2662889518413598</v>
      </c>
      <c r="M760" s="52" t="str">
        <f t="shared" si="146"/>
        <v>Überbestand</v>
      </c>
      <c r="N760" s="28">
        <f t="shared" si="147"/>
        <v>12.72</v>
      </c>
      <c r="O760" s="5">
        <v>0</v>
      </c>
      <c r="P760" s="4">
        <v>2</v>
      </c>
      <c r="Q760" s="28">
        <f t="shared" si="148"/>
        <v>0</v>
      </c>
      <c r="R760" s="50">
        <f t="shared" si="149"/>
        <v>0</v>
      </c>
      <c r="S760" s="2" t="str">
        <f t="shared" si="150"/>
        <v>Weihnachten/Silvester</v>
      </c>
      <c r="T760" s="4">
        <v>8</v>
      </c>
      <c r="U760" s="4" t="str">
        <f t="shared" si="151"/>
        <v>Abschreibung</v>
      </c>
      <c r="V760" s="4">
        <f t="shared" si="152"/>
        <v>100</v>
      </c>
      <c r="W760" s="19">
        <f t="shared" si="153"/>
        <v>0</v>
      </c>
      <c r="X760" s="5">
        <v>7</v>
      </c>
      <c r="Y760" s="28">
        <f t="shared" si="154"/>
        <v>11.13</v>
      </c>
      <c r="Z760" s="31" t="s">
        <v>173</v>
      </c>
      <c r="AA760" t="str">
        <f t="shared" si="155"/>
        <v>Verderb - Abgelaufen</v>
      </c>
    </row>
    <row r="761" spans="1:27" x14ac:dyDescent="0.35">
      <c r="A761" s="32" t="s">
        <v>18</v>
      </c>
      <c r="B761" s="2" t="str">
        <f>VLOOKUP(A761,Stammdaten!$A$3:$B$7,2,FALSE)</f>
        <v>Filiale Zentrum</v>
      </c>
      <c r="C761" s="3" t="str" cm="1">
        <f t="array" ref="C761">INDEX(Stammdaten!$A$11:$A$25,INT((ROW()-5)/12)+1 - INT((ROW()-5)/180)*15)</f>
        <v>A004</v>
      </c>
      <c r="D761" s="2" t="str">
        <f>VLOOKUP(C761,Stammdaten!$A$11:$B$25,2,FALSE)</f>
        <v>Butter 250g</v>
      </c>
      <c r="E761" s="3" t="str">
        <f>VLOOKUP(C761,Stammdaten!$A$11:$C$25,3,FALSE)</f>
        <v>Butter</v>
      </c>
      <c r="F761" s="19">
        <f>VLOOKUP(C761,Stammdaten!$A$11:$D$25,4,FALSE)</f>
        <v>2.29</v>
      </c>
      <c r="G761" s="4">
        <f t="shared" si="143"/>
        <v>1</v>
      </c>
      <c r="H761" s="20" t="str">
        <f>VLOOKUP(G761,Stammdaten!$A$30:$B$41,2,FALSE)</f>
        <v>Januar</v>
      </c>
      <c r="I761" s="4">
        <v>449</v>
      </c>
      <c r="J761" s="4">
        <v>444</v>
      </c>
      <c r="K761" s="4">
        <f t="shared" si="144"/>
        <v>-5</v>
      </c>
      <c r="L761" s="27">
        <f t="shared" si="145"/>
        <v>-1.1135857461024499</v>
      </c>
      <c r="M761" s="52" t="str">
        <f t="shared" si="146"/>
        <v>Schwund</v>
      </c>
      <c r="N761" s="28">
        <f t="shared" si="147"/>
        <v>11.45</v>
      </c>
      <c r="O761" s="5">
        <v>7</v>
      </c>
      <c r="P761" s="4">
        <v>8</v>
      </c>
      <c r="Q761" s="28">
        <f t="shared" si="148"/>
        <v>2.8624999999999998</v>
      </c>
      <c r="R761" s="50">
        <f t="shared" si="149"/>
        <v>3.4349999999999996</v>
      </c>
      <c r="S761" s="2" t="str">
        <f t="shared" si="150"/>
        <v>Normal</v>
      </c>
      <c r="T761" s="4">
        <v>0</v>
      </c>
      <c r="U761" s="4" t="str">
        <f t="shared" si="151"/>
        <v>Nein</v>
      </c>
      <c r="V761" s="4">
        <f t="shared" si="152"/>
        <v>0</v>
      </c>
      <c r="W761" s="19">
        <f t="shared" si="153"/>
        <v>2.29</v>
      </c>
      <c r="X761" s="5">
        <v>0</v>
      </c>
      <c r="Y761" s="28">
        <f t="shared" si="154"/>
        <v>0</v>
      </c>
      <c r="Z761" s="31" t="s">
        <v>172</v>
      </c>
      <c r="AA761" t="str">
        <f t="shared" si="155"/>
        <v>Normal/Gering</v>
      </c>
    </row>
    <row r="762" spans="1:27" x14ac:dyDescent="0.35">
      <c r="A762" s="32" t="s">
        <v>18</v>
      </c>
      <c r="B762" s="2" t="str">
        <f>VLOOKUP(A762,Stammdaten!$A$3:$B$7,2,FALSE)</f>
        <v>Filiale Zentrum</v>
      </c>
      <c r="C762" s="3" t="str" cm="1">
        <f t="array" ref="C762">INDEX(Stammdaten!$A$11:$A$25,INT((ROW()-5)/12)+1 - INT((ROW()-5)/180)*15)</f>
        <v>A004</v>
      </c>
      <c r="D762" s="2" t="str">
        <f>VLOOKUP(C762,Stammdaten!$A$11:$B$25,2,FALSE)</f>
        <v>Butter 250g</v>
      </c>
      <c r="E762" s="3" t="str">
        <f>VLOOKUP(C762,Stammdaten!$A$11:$C$25,3,FALSE)</f>
        <v>Butter</v>
      </c>
      <c r="F762" s="19">
        <f>VLOOKUP(C762,Stammdaten!$A$11:$D$25,4,FALSE)</f>
        <v>2.29</v>
      </c>
      <c r="G762" s="4">
        <f t="shared" si="143"/>
        <v>2</v>
      </c>
      <c r="H762" s="20" t="str">
        <f>VLOOKUP(G762,Stammdaten!$A$30:$B$41,2,FALSE)</f>
        <v>Februar</v>
      </c>
      <c r="I762" s="4">
        <v>442</v>
      </c>
      <c r="J762" s="4">
        <v>445</v>
      </c>
      <c r="K762" s="4">
        <f t="shared" si="144"/>
        <v>3</v>
      </c>
      <c r="L762" s="27">
        <f t="shared" si="145"/>
        <v>0.67873303167420818</v>
      </c>
      <c r="M762" s="52" t="str">
        <f t="shared" si="146"/>
        <v>Überbestand</v>
      </c>
      <c r="N762" s="28">
        <f t="shared" si="147"/>
        <v>6.87</v>
      </c>
      <c r="O762" s="5">
        <v>9</v>
      </c>
      <c r="P762" s="4">
        <v>9</v>
      </c>
      <c r="Q762" s="28">
        <f t="shared" si="148"/>
        <v>0</v>
      </c>
      <c r="R762" s="50">
        <f t="shared" si="149"/>
        <v>0</v>
      </c>
      <c r="S762" s="2" t="str">
        <f t="shared" si="150"/>
        <v>Karneval</v>
      </c>
      <c r="T762" s="4">
        <v>3</v>
      </c>
      <c r="U762" s="4" t="str">
        <f t="shared" si="151"/>
        <v>Nein</v>
      </c>
      <c r="V762" s="4">
        <f t="shared" si="152"/>
        <v>0</v>
      </c>
      <c r="W762" s="19">
        <f t="shared" si="153"/>
        <v>2.29</v>
      </c>
      <c r="X762" s="5">
        <v>0</v>
      </c>
      <c r="Y762" s="28">
        <f t="shared" si="154"/>
        <v>0</v>
      </c>
      <c r="Z762" s="31" t="s">
        <v>172</v>
      </c>
      <c r="AA762" t="str">
        <f t="shared" si="155"/>
        <v>Kassenfehler (Überbestand)</v>
      </c>
    </row>
    <row r="763" spans="1:27" x14ac:dyDescent="0.35">
      <c r="A763" s="32" t="s">
        <v>18</v>
      </c>
      <c r="B763" s="2" t="str">
        <f>VLOOKUP(A763,Stammdaten!$A$3:$B$7,2,FALSE)</f>
        <v>Filiale Zentrum</v>
      </c>
      <c r="C763" s="3" t="str" cm="1">
        <f t="array" ref="C763">INDEX(Stammdaten!$A$11:$A$25,INT((ROW()-5)/12)+1 - INT((ROW()-5)/180)*15)</f>
        <v>A004</v>
      </c>
      <c r="D763" s="2" t="str">
        <f>VLOOKUP(C763,Stammdaten!$A$11:$B$25,2,FALSE)</f>
        <v>Butter 250g</v>
      </c>
      <c r="E763" s="3" t="str">
        <f>VLOOKUP(C763,Stammdaten!$A$11:$C$25,3,FALSE)</f>
        <v>Butter</v>
      </c>
      <c r="F763" s="19">
        <f>VLOOKUP(C763,Stammdaten!$A$11:$D$25,4,FALSE)</f>
        <v>2.29</v>
      </c>
      <c r="G763" s="4">
        <f t="shared" si="143"/>
        <v>3</v>
      </c>
      <c r="H763" s="20" t="str">
        <f>VLOOKUP(G763,Stammdaten!$A$30:$B$41,2,FALSE)</f>
        <v>März</v>
      </c>
      <c r="I763" s="4">
        <v>519</v>
      </c>
      <c r="J763" s="4">
        <v>515</v>
      </c>
      <c r="K763" s="4">
        <f t="shared" si="144"/>
        <v>-4</v>
      </c>
      <c r="L763" s="27">
        <f t="shared" si="145"/>
        <v>-0.77071290944123316</v>
      </c>
      <c r="M763" s="52" t="str">
        <f t="shared" si="146"/>
        <v>Schwund</v>
      </c>
      <c r="N763" s="28">
        <f t="shared" si="147"/>
        <v>9.16</v>
      </c>
      <c r="O763" s="5">
        <v>0</v>
      </c>
      <c r="P763" s="4">
        <v>7</v>
      </c>
      <c r="Q763" s="28">
        <f t="shared" si="148"/>
        <v>2.29</v>
      </c>
      <c r="R763" s="50">
        <f t="shared" si="149"/>
        <v>2.7479999999999998</v>
      </c>
      <c r="S763" s="2" t="str">
        <f t="shared" si="150"/>
        <v>Normal</v>
      </c>
      <c r="T763" s="4">
        <v>0</v>
      </c>
      <c r="U763" s="4" t="str">
        <f t="shared" si="151"/>
        <v>Abschreibung</v>
      </c>
      <c r="V763" s="4">
        <f t="shared" si="152"/>
        <v>100</v>
      </c>
      <c r="W763" s="19">
        <f t="shared" si="153"/>
        <v>0</v>
      </c>
      <c r="X763" s="5">
        <v>10</v>
      </c>
      <c r="Y763" s="28">
        <f t="shared" si="154"/>
        <v>22.9</v>
      </c>
      <c r="Z763" s="31" t="s">
        <v>173</v>
      </c>
      <c r="AA763" t="str">
        <f t="shared" si="155"/>
        <v>Verderb - Abgelaufen</v>
      </c>
    </row>
    <row r="764" spans="1:27" x14ac:dyDescent="0.35">
      <c r="A764" s="32" t="s">
        <v>18</v>
      </c>
      <c r="B764" s="2" t="str">
        <f>VLOOKUP(A764,Stammdaten!$A$3:$B$7,2,FALSE)</f>
        <v>Filiale Zentrum</v>
      </c>
      <c r="C764" s="3" t="str" cm="1">
        <f t="array" ref="C764">INDEX(Stammdaten!$A$11:$A$25,INT((ROW()-5)/12)+1 - INT((ROW()-5)/180)*15)</f>
        <v>A004</v>
      </c>
      <c r="D764" s="2" t="str">
        <f>VLOOKUP(C764,Stammdaten!$A$11:$B$25,2,FALSE)</f>
        <v>Butter 250g</v>
      </c>
      <c r="E764" s="3" t="str">
        <f>VLOOKUP(C764,Stammdaten!$A$11:$C$25,3,FALSE)</f>
        <v>Butter</v>
      </c>
      <c r="F764" s="19">
        <f>VLOOKUP(C764,Stammdaten!$A$11:$D$25,4,FALSE)</f>
        <v>2.29</v>
      </c>
      <c r="G764" s="4">
        <f t="shared" si="143"/>
        <v>4</v>
      </c>
      <c r="H764" s="20" t="str">
        <f>VLOOKUP(G764,Stammdaten!$A$30:$B$41,2,FALSE)</f>
        <v>April</v>
      </c>
      <c r="I764" s="4">
        <v>618</v>
      </c>
      <c r="J764" s="4">
        <v>603</v>
      </c>
      <c r="K764" s="4">
        <f t="shared" si="144"/>
        <v>-15</v>
      </c>
      <c r="L764" s="27">
        <f t="shared" si="145"/>
        <v>-2.4271844660194173</v>
      </c>
      <c r="M764" s="52" t="str">
        <f t="shared" si="146"/>
        <v>Schwund</v>
      </c>
      <c r="N764" s="28">
        <f t="shared" si="147"/>
        <v>34.35</v>
      </c>
      <c r="O764" s="5">
        <v>4</v>
      </c>
      <c r="P764" s="4">
        <v>4</v>
      </c>
      <c r="Q764" s="28">
        <f t="shared" si="148"/>
        <v>8.5875000000000004</v>
      </c>
      <c r="R764" s="50">
        <f t="shared" si="149"/>
        <v>10.305</v>
      </c>
      <c r="S764" s="2" t="str">
        <f t="shared" si="150"/>
        <v>Ostern</v>
      </c>
      <c r="T764" s="4">
        <v>0</v>
      </c>
      <c r="U764" s="4" t="str">
        <f t="shared" si="151"/>
        <v>Nein</v>
      </c>
      <c r="V764" s="4">
        <f t="shared" si="152"/>
        <v>0</v>
      </c>
      <c r="W764" s="19">
        <f t="shared" si="153"/>
        <v>2.29</v>
      </c>
      <c r="X764" s="5">
        <v>0</v>
      </c>
      <c r="Y764" s="28">
        <f t="shared" si="154"/>
        <v>0</v>
      </c>
      <c r="Z764" s="31" t="s">
        <v>172</v>
      </c>
      <c r="AA764" t="str">
        <f t="shared" si="155"/>
        <v>Prozessfehler</v>
      </c>
    </row>
    <row r="765" spans="1:27" x14ac:dyDescent="0.35">
      <c r="A765" s="32" t="s">
        <v>18</v>
      </c>
      <c r="B765" s="2" t="str">
        <f>VLOOKUP(A765,Stammdaten!$A$3:$B$7,2,FALSE)</f>
        <v>Filiale Zentrum</v>
      </c>
      <c r="C765" s="3" t="str" cm="1">
        <f t="array" ref="C765">INDEX(Stammdaten!$A$11:$A$25,INT((ROW()-5)/12)+1 - INT((ROW()-5)/180)*15)</f>
        <v>A004</v>
      </c>
      <c r="D765" s="2" t="str">
        <f>VLOOKUP(C765,Stammdaten!$A$11:$B$25,2,FALSE)</f>
        <v>Butter 250g</v>
      </c>
      <c r="E765" s="3" t="str">
        <f>VLOOKUP(C765,Stammdaten!$A$11:$C$25,3,FALSE)</f>
        <v>Butter</v>
      </c>
      <c r="F765" s="19">
        <f>VLOOKUP(C765,Stammdaten!$A$11:$D$25,4,FALSE)</f>
        <v>2.29</v>
      </c>
      <c r="G765" s="4">
        <f t="shared" si="143"/>
        <v>5</v>
      </c>
      <c r="H765" s="20" t="str">
        <f>VLOOKUP(G765,Stammdaten!$A$30:$B$41,2,FALSE)</f>
        <v>Mai</v>
      </c>
      <c r="I765" s="4">
        <v>530</v>
      </c>
      <c r="J765" s="4">
        <v>523</v>
      </c>
      <c r="K765" s="4">
        <f t="shared" si="144"/>
        <v>-7</v>
      </c>
      <c r="L765" s="27">
        <f t="shared" si="145"/>
        <v>-1.3207547169811322</v>
      </c>
      <c r="M765" s="52" t="str">
        <f t="shared" si="146"/>
        <v>Schwund</v>
      </c>
      <c r="N765" s="28">
        <f t="shared" si="147"/>
        <v>16.03</v>
      </c>
      <c r="O765" s="5">
        <v>11</v>
      </c>
      <c r="P765" s="4">
        <v>0</v>
      </c>
      <c r="Q765" s="28">
        <f t="shared" si="148"/>
        <v>4.0075000000000003</v>
      </c>
      <c r="R765" s="50">
        <f t="shared" si="149"/>
        <v>4.8090000000000002</v>
      </c>
      <c r="S765" s="2" t="str">
        <f t="shared" si="150"/>
        <v>Normal</v>
      </c>
      <c r="T765" s="4">
        <v>0</v>
      </c>
      <c r="U765" s="4" t="str">
        <f t="shared" si="151"/>
        <v>Nein</v>
      </c>
      <c r="V765" s="4">
        <f t="shared" si="152"/>
        <v>0</v>
      </c>
      <c r="W765" s="19">
        <f t="shared" si="153"/>
        <v>2.29</v>
      </c>
      <c r="X765" s="5">
        <v>0</v>
      </c>
      <c r="Y765" s="28">
        <f t="shared" si="154"/>
        <v>0</v>
      </c>
      <c r="Z765" s="31" t="s">
        <v>172</v>
      </c>
      <c r="AA765" t="str">
        <f t="shared" si="155"/>
        <v>Normal/Gering</v>
      </c>
    </row>
    <row r="766" spans="1:27" x14ac:dyDescent="0.35">
      <c r="A766" s="32" t="s">
        <v>18</v>
      </c>
      <c r="B766" s="2" t="str">
        <f>VLOOKUP(A766,Stammdaten!$A$3:$B$7,2,FALSE)</f>
        <v>Filiale Zentrum</v>
      </c>
      <c r="C766" s="3" t="str" cm="1">
        <f t="array" ref="C766">INDEX(Stammdaten!$A$11:$A$25,INT((ROW()-5)/12)+1 - INT((ROW()-5)/180)*15)</f>
        <v>A004</v>
      </c>
      <c r="D766" s="2" t="str">
        <f>VLOOKUP(C766,Stammdaten!$A$11:$B$25,2,FALSE)</f>
        <v>Butter 250g</v>
      </c>
      <c r="E766" s="3" t="str">
        <f>VLOOKUP(C766,Stammdaten!$A$11:$C$25,3,FALSE)</f>
        <v>Butter</v>
      </c>
      <c r="F766" s="19">
        <f>VLOOKUP(C766,Stammdaten!$A$11:$D$25,4,FALSE)</f>
        <v>2.29</v>
      </c>
      <c r="G766" s="4">
        <f t="shared" si="143"/>
        <v>6</v>
      </c>
      <c r="H766" s="20" t="str">
        <f>VLOOKUP(G766,Stammdaten!$A$30:$B$41,2,FALSE)</f>
        <v>Juni</v>
      </c>
      <c r="I766" s="4">
        <v>578</v>
      </c>
      <c r="J766" s="4">
        <v>572</v>
      </c>
      <c r="K766" s="4">
        <f t="shared" si="144"/>
        <v>-6</v>
      </c>
      <c r="L766" s="27">
        <f t="shared" si="145"/>
        <v>-1.0380622837370241</v>
      </c>
      <c r="M766" s="52" t="str">
        <f t="shared" si="146"/>
        <v>Schwund</v>
      </c>
      <c r="N766" s="28">
        <f t="shared" si="147"/>
        <v>13.74</v>
      </c>
      <c r="O766" s="5">
        <v>14</v>
      </c>
      <c r="P766" s="4">
        <v>4</v>
      </c>
      <c r="Q766" s="28">
        <f t="shared" si="148"/>
        <v>3.4350000000000001</v>
      </c>
      <c r="R766" s="50">
        <f t="shared" si="149"/>
        <v>4.1219999999999999</v>
      </c>
      <c r="S766" s="2" t="str">
        <f t="shared" si="150"/>
        <v>Normal</v>
      </c>
      <c r="T766" s="4">
        <v>0</v>
      </c>
      <c r="U766" s="4" t="str">
        <f t="shared" si="151"/>
        <v>Nein</v>
      </c>
      <c r="V766" s="4">
        <f t="shared" si="152"/>
        <v>0</v>
      </c>
      <c r="W766" s="19">
        <f t="shared" si="153"/>
        <v>2.29</v>
      </c>
      <c r="X766" s="5">
        <v>0</v>
      </c>
      <c r="Y766" s="28">
        <f t="shared" si="154"/>
        <v>0</v>
      </c>
      <c r="Z766" s="31" t="s">
        <v>172</v>
      </c>
      <c r="AA766" t="str">
        <f t="shared" si="155"/>
        <v>Normal/Gering</v>
      </c>
    </row>
    <row r="767" spans="1:27" x14ac:dyDescent="0.35">
      <c r="A767" s="32" t="s">
        <v>18</v>
      </c>
      <c r="B767" s="2" t="str">
        <f>VLOOKUP(A767,Stammdaten!$A$3:$B$7,2,FALSE)</f>
        <v>Filiale Zentrum</v>
      </c>
      <c r="C767" s="3" t="str" cm="1">
        <f t="array" ref="C767">INDEX(Stammdaten!$A$11:$A$25,INT((ROW()-5)/12)+1 - INT((ROW()-5)/180)*15)</f>
        <v>A004</v>
      </c>
      <c r="D767" s="2" t="str">
        <f>VLOOKUP(C767,Stammdaten!$A$11:$B$25,2,FALSE)</f>
        <v>Butter 250g</v>
      </c>
      <c r="E767" s="3" t="str">
        <f>VLOOKUP(C767,Stammdaten!$A$11:$C$25,3,FALSE)</f>
        <v>Butter</v>
      </c>
      <c r="F767" s="19">
        <f>VLOOKUP(C767,Stammdaten!$A$11:$D$25,4,FALSE)</f>
        <v>2.29</v>
      </c>
      <c r="G767" s="4">
        <f t="shared" si="143"/>
        <v>7</v>
      </c>
      <c r="H767" s="20" t="str">
        <f>VLOOKUP(G767,Stammdaten!$A$30:$B$41,2,FALSE)</f>
        <v>Juli</v>
      </c>
      <c r="I767" s="4">
        <v>643</v>
      </c>
      <c r="J767" s="4">
        <v>649</v>
      </c>
      <c r="K767" s="4">
        <f t="shared" si="144"/>
        <v>6</v>
      </c>
      <c r="L767" s="27">
        <f t="shared" si="145"/>
        <v>0.93312597200622094</v>
      </c>
      <c r="M767" s="52" t="str">
        <f t="shared" si="146"/>
        <v>Überbestand</v>
      </c>
      <c r="N767" s="28">
        <f t="shared" si="147"/>
        <v>13.74</v>
      </c>
      <c r="O767" s="5">
        <v>9</v>
      </c>
      <c r="P767" s="4">
        <v>10</v>
      </c>
      <c r="Q767" s="28">
        <f t="shared" si="148"/>
        <v>0</v>
      </c>
      <c r="R767" s="50">
        <f t="shared" si="149"/>
        <v>0</v>
      </c>
      <c r="S767" s="2" t="str">
        <f t="shared" si="150"/>
        <v>Normal</v>
      </c>
      <c r="T767" s="4">
        <v>6</v>
      </c>
      <c r="U767" s="4" t="str">
        <f t="shared" si="151"/>
        <v>Nein</v>
      </c>
      <c r="V767" s="4">
        <f t="shared" si="152"/>
        <v>0</v>
      </c>
      <c r="W767" s="19">
        <f t="shared" si="153"/>
        <v>2.29</v>
      </c>
      <c r="X767" s="5">
        <v>0</v>
      </c>
      <c r="Y767" s="28">
        <f t="shared" si="154"/>
        <v>0</v>
      </c>
      <c r="Z767" s="31" t="s">
        <v>172</v>
      </c>
      <c r="AA767" t="str">
        <f t="shared" si="155"/>
        <v>Kassenfehler (Überbestand)</v>
      </c>
    </row>
    <row r="768" spans="1:27" x14ac:dyDescent="0.35">
      <c r="A768" s="32" t="s">
        <v>18</v>
      </c>
      <c r="B768" s="2" t="str">
        <f>VLOOKUP(A768,Stammdaten!$A$3:$B$7,2,FALSE)</f>
        <v>Filiale Zentrum</v>
      </c>
      <c r="C768" s="3" t="str" cm="1">
        <f t="array" ref="C768">INDEX(Stammdaten!$A$11:$A$25,INT((ROW()-5)/12)+1 - INT((ROW()-5)/180)*15)</f>
        <v>A004</v>
      </c>
      <c r="D768" s="2" t="str">
        <f>VLOOKUP(C768,Stammdaten!$A$11:$B$25,2,FALSE)</f>
        <v>Butter 250g</v>
      </c>
      <c r="E768" s="3" t="str">
        <f>VLOOKUP(C768,Stammdaten!$A$11:$C$25,3,FALSE)</f>
        <v>Butter</v>
      </c>
      <c r="F768" s="19">
        <f>VLOOKUP(C768,Stammdaten!$A$11:$D$25,4,FALSE)</f>
        <v>2.29</v>
      </c>
      <c r="G768" s="4">
        <f t="shared" si="143"/>
        <v>8</v>
      </c>
      <c r="H768" s="20" t="str">
        <f>VLOOKUP(G768,Stammdaten!$A$30:$B$41,2,FALSE)</f>
        <v>August</v>
      </c>
      <c r="I768" s="4">
        <v>580</v>
      </c>
      <c r="J768" s="4">
        <v>569</v>
      </c>
      <c r="K768" s="4">
        <f t="shared" si="144"/>
        <v>-11</v>
      </c>
      <c r="L768" s="27">
        <f t="shared" si="145"/>
        <v>-1.896551724137931</v>
      </c>
      <c r="M768" s="52" t="str">
        <f t="shared" si="146"/>
        <v>Schwund</v>
      </c>
      <c r="N768" s="28">
        <f t="shared" si="147"/>
        <v>25.19</v>
      </c>
      <c r="O768" s="5">
        <v>19</v>
      </c>
      <c r="P768" s="4">
        <v>5</v>
      </c>
      <c r="Q768" s="28">
        <f t="shared" si="148"/>
        <v>6.2975000000000003</v>
      </c>
      <c r="R768" s="50">
        <f t="shared" si="149"/>
        <v>7.5570000000000004</v>
      </c>
      <c r="S768" s="2" t="str">
        <f t="shared" si="150"/>
        <v>Normal</v>
      </c>
      <c r="T768" s="4">
        <v>0</v>
      </c>
      <c r="U768" s="4" t="str">
        <f t="shared" si="151"/>
        <v>Nein</v>
      </c>
      <c r="V768" s="4">
        <f t="shared" si="152"/>
        <v>0</v>
      </c>
      <c r="W768" s="19">
        <f t="shared" si="153"/>
        <v>2.29</v>
      </c>
      <c r="X768" s="5">
        <v>0</v>
      </c>
      <c r="Y768" s="28">
        <f t="shared" si="154"/>
        <v>0</v>
      </c>
      <c r="Z768" s="31" t="s">
        <v>172</v>
      </c>
      <c r="AA768" t="str">
        <f t="shared" si="155"/>
        <v>Normal/Gering</v>
      </c>
    </row>
    <row r="769" spans="1:27" x14ac:dyDescent="0.35">
      <c r="A769" s="32" t="s">
        <v>18</v>
      </c>
      <c r="B769" s="2" t="str">
        <f>VLOOKUP(A769,Stammdaten!$A$3:$B$7,2,FALSE)</f>
        <v>Filiale Zentrum</v>
      </c>
      <c r="C769" s="3" t="str" cm="1">
        <f t="array" ref="C769">INDEX(Stammdaten!$A$11:$A$25,INT((ROW()-5)/12)+1 - INT((ROW()-5)/180)*15)</f>
        <v>A004</v>
      </c>
      <c r="D769" s="2" t="str">
        <f>VLOOKUP(C769,Stammdaten!$A$11:$B$25,2,FALSE)</f>
        <v>Butter 250g</v>
      </c>
      <c r="E769" s="3" t="str">
        <f>VLOOKUP(C769,Stammdaten!$A$11:$C$25,3,FALSE)</f>
        <v>Butter</v>
      </c>
      <c r="F769" s="19">
        <f>VLOOKUP(C769,Stammdaten!$A$11:$D$25,4,FALSE)</f>
        <v>2.29</v>
      </c>
      <c r="G769" s="4">
        <f t="shared" si="143"/>
        <v>9</v>
      </c>
      <c r="H769" s="20" t="str">
        <f>VLOOKUP(G769,Stammdaten!$A$30:$B$41,2,FALSE)</f>
        <v>September</v>
      </c>
      <c r="I769" s="4">
        <v>519</v>
      </c>
      <c r="J769" s="4">
        <v>514</v>
      </c>
      <c r="K769" s="4">
        <f t="shared" si="144"/>
        <v>-5</v>
      </c>
      <c r="L769" s="27">
        <f t="shared" si="145"/>
        <v>-0.96339113680154131</v>
      </c>
      <c r="M769" s="52" t="str">
        <f t="shared" si="146"/>
        <v>Schwund</v>
      </c>
      <c r="N769" s="28">
        <f t="shared" si="147"/>
        <v>11.45</v>
      </c>
      <c r="O769" s="5">
        <v>27</v>
      </c>
      <c r="P769" s="4">
        <v>6</v>
      </c>
      <c r="Q769" s="28">
        <f t="shared" si="148"/>
        <v>2.8624999999999998</v>
      </c>
      <c r="R769" s="50">
        <f t="shared" si="149"/>
        <v>3.4349999999999996</v>
      </c>
      <c r="S769" s="2" t="str">
        <f t="shared" si="150"/>
        <v>Normal</v>
      </c>
      <c r="T769" s="4">
        <v>0</v>
      </c>
      <c r="U769" s="4" t="str">
        <f t="shared" si="151"/>
        <v>Nein</v>
      </c>
      <c r="V769" s="4">
        <f t="shared" si="152"/>
        <v>0</v>
      </c>
      <c r="W769" s="19">
        <f t="shared" si="153"/>
        <v>2.29</v>
      </c>
      <c r="X769" s="5">
        <v>0</v>
      </c>
      <c r="Y769" s="28">
        <f t="shared" si="154"/>
        <v>0</v>
      </c>
      <c r="Z769" s="31" t="s">
        <v>172</v>
      </c>
      <c r="AA769" t="str">
        <f t="shared" si="155"/>
        <v>Normal/Gering</v>
      </c>
    </row>
    <row r="770" spans="1:27" x14ac:dyDescent="0.35">
      <c r="A770" s="32" t="s">
        <v>18</v>
      </c>
      <c r="B770" s="2" t="str">
        <f>VLOOKUP(A770,Stammdaten!$A$3:$B$7,2,FALSE)</f>
        <v>Filiale Zentrum</v>
      </c>
      <c r="C770" s="3" t="str" cm="1">
        <f t="array" ref="C770">INDEX(Stammdaten!$A$11:$A$25,INT((ROW()-5)/12)+1 - INT((ROW()-5)/180)*15)</f>
        <v>A004</v>
      </c>
      <c r="D770" s="2" t="str">
        <f>VLOOKUP(C770,Stammdaten!$A$11:$B$25,2,FALSE)</f>
        <v>Butter 250g</v>
      </c>
      <c r="E770" s="3" t="str">
        <f>VLOOKUP(C770,Stammdaten!$A$11:$C$25,3,FALSE)</f>
        <v>Butter</v>
      </c>
      <c r="F770" s="19">
        <f>VLOOKUP(C770,Stammdaten!$A$11:$D$25,4,FALSE)</f>
        <v>2.29</v>
      </c>
      <c r="G770" s="4">
        <f t="shared" si="143"/>
        <v>10</v>
      </c>
      <c r="H770" s="20" t="str">
        <f>VLOOKUP(G770,Stammdaten!$A$30:$B$41,2,FALSE)</f>
        <v>Oktober</v>
      </c>
      <c r="I770" s="4">
        <v>530</v>
      </c>
      <c r="J770" s="4">
        <v>526</v>
      </c>
      <c r="K770" s="4">
        <f t="shared" si="144"/>
        <v>-4</v>
      </c>
      <c r="L770" s="27">
        <f t="shared" si="145"/>
        <v>-0.75471698113207553</v>
      </c>
      <c r="M770" s="52" t="str">
        <f t="shared" si="146"/>
        <v>Schwund</v>
      </c>
      <c r="N770" s="28">
        <f t="shared" si="147"/>
        <v>9.16</v>
      </c>
      <c r="O770" s="5">
        <v>6</v>
      </c>
      <c r="P770" s="4">
        <v>6</v>
      </c>
      <c r="Q770" s="28">
        <f t="shared" si="148"/>
        <v>2.29</v>
      </c>
      <c r="R770" s="50">
        <f t="shared" si="149"/>
        <v>2.7479999999999998</v>
      </c>
      <c r="S770" s="2" t="str">
        <f t="shared" si="150"/>
        <v>Normal</v>
      </c>
      <c r="T770" s="4">
        <v>0</v>
      </c>
      <c r="U770" s="4" t="str">
        <f t="shared" si="151"/>
        <v>Nein</v>
      </c>
      <c r="V770" s="4">
        <f t="shared" si="152"/>
        <v>0</v>
      </c>
      <c r="W770" s="19">
        <f t="shared" si="153"/>
        <v>2.29</v>
      </c>
      <c r="X770" s="5">
        <v>0</v>
      </c>
      <c r="Y770" s="28">
        <f t="shared" si="154"/>
        <v>0</v>
      </c>
      <c r="Z770" s="31" t="s">
        <v>172</v>
      </c>
      <c r="AA770" t="str">
        <f t="shared" si="155"/>
        <v>Normal/Gering</v>
      </c>
    </row>
    <row r="771" spans="1:27" x14ac:dyDescent="0.35">
      <c r="A771" s="32" t="s">
        <v>18</v>
      </c>
      <c r="B771" s="2" t="str">
        <f>VLOOKUP(A771,Stammdaten!$A$3:$B$7,2,FALSE)</f>
        <v>Filiale Zentrum</v>
      </c>
      <c r="C771" s="3" t="str" cm="1">
        <f t="array" ref="C771">INDEX(Stammdaten!$A$11:$A$25,INT((ROW()-5)/12)+1 - INT((ROW()-5)/180)*15)</f>
        <v>A004</v>
      </c>
      <c r="D771" s="2" t="str">
        <f>VLOOKUP(C771,Stammdaten!$A$11:$B$25,2,FALSE)</f>
        <v>Butter 250g</v>
      </c>
      <c r="E771" s="3" t="str">
        <f>VLOOKUP(C771,Stammdaten!$A$11:$C$25,3,FALSE)</f>
        <v>Butter</v>
      </c>
      <c r="F771" s="19">
        <f>VLOOKUP(C771,Stammdaten!$A$11:$D$25,4,FALSE)</f>
        <v>2.29</v>
      </c>
      <c r="G771" s="4">
        <f t="shared" si="143"/>
        <v>11</v>
      </c>
      <c r="H771" s="20" t="str">
        <f>VLOOKUP(G771,Stammdaten!$A$30:$B$41,2,FALSE)</f>
        <v>November</v>
      </c>
      <c r="I771" s="4">
        <v>572</v>
      </c>
      <c r="J771" s="4">
        <v>572</v>
      </c>
      <c r="K771" s="4">
        <f t="shared" si="144"/>
        <v>0</v>
      </c>
      <c r="L771" s="27">
        <f t="shared" si="145"/>
        <v>0</v>
      </c>
      <c r="M771" s="52" t="str">
        <f t="shared" si="146"/>
        <v>Perfekt</v>
      </c>
      <c r="N771" s="28">
        <f t="shared" si="147"/>
        <v>0</v>
      </c>
      <c r="O771" s="5">
        <v>23</v>
      </c>
      <c r="P771" s="4">
        <v>5</v>
      </c>
      <c r="Q771" s="28">
        <f t="shared" si="148"/>
        <v>0</v>
      </c>
      <c r="R771" s="50">
        <f t="shared" si="149"/>
        <v>0</v>
      </c>
      <c r="S771" s="2" t="str">
        <f t="shared" si="150"/>
        <v>Black Friday</v>
      </c>
      <c r="T771" s="4">
        <v>0</v>
      </c>
      <c r="U771" s="4" t="str">
        <f t="shared" si="151"/>
        <v>Nein</v>
      </c>
      <c r="V771" s="4">
        <f t="shared" si="152"/>
        <v>0</v>
      </c>
      <c r="W771" s="19">
        <f t="shared" si="153"/>
        <v>2.29</v>
      </c>
      <c r="X771" s="5">
        <v>0</v>
      </c>
      <c r="Y771" s="28">
        <f t="shared" si="154"/>
        <v>0</v>
      </c>
      <c r="Z771" s="31" t="s">
        <v>172</v>
      </c>
      <c r="AA771" t="str">
        <f t="shared" si="155"/>
        <v>Normal/Gering</v>
      </c>
    </row>
    <row r="772" spans="1:27" x14ac:dyDescent="0.35">
      <c r="A772" s="32" t="s">
        <v>18</v>
      </c>
      <c r="B772" s="2" t="str">
        <f>VLOOKUP(A772,Stammdaten!$A$3:$B$7,2,FALSE)</f>
        <v>Filiale Zentrum</v>
      </c>
      <c r="C772" s="3" t="str" cm="1">
        <f t="array" ref="C772">INDEX(Stammdaten!$A$11:$A$25,INT((ROW()-5)/12)+1 - INT((ROW()-5)/180)*15)</f>
        <v>A004</v>
      </c>
      <c r="D772" s="2" t="str">
        <f>VLOOKUP(C772,Stammdaten!$A$11:$B$25,2,FALSE)</f>
        <v>Butter 250g</v>
      </c>
      <c r="E772" s="3" t="str">
        <f>VLOOKUP(C772,Stammdaten!$A$11:$C$25,3,FALSE)</f>
        <v>Butter</v>
      </c>
      <c r="F772" s="19">
        <f>VLOOKUP(C772,Stammdaten!$A$11:$D$25,4,FALSE)</f>
        <v>2.29</v>
      </c>
      <c r="G772" s="4">
        <f t="shared" si="143"/>
        <v>12</v>
      </c>
      <c r="H772" s="20" t="str">
        <f>VLOOKUP(G772,Stammdaten!$A$30:$B$41,2,FALSE)</f>
        <v>Dezember</v>
      </c>
      <c r="I772" s="4">
        <v>764</v>
      </c>
      <c r="J772" s="4">
        <v>769</v>
      </c>
      <c r="K772" s="4">
        <f t="shared" si="144"/>
        <v>5</v>
      </c>
      <c r="L772" s="27">
        <f t="shared" si="145"/>
        <v>0.65445026178010468</v>
      </c>
      <c r="M772" s="52" t="str">
        <f t="shared" si="146"/>
        <v>Überbestand</v>
      </c>
      <c r="N772" s="28">
        <f t="shared" si="147"/>
        <v>11.45</v>
      </c>
      <c r="O772" s="5">
        <v>9</v>
      </c>
      <c r="P772" s="4">
        <v>4</v>
      </c>
      <c r="Q772" s="28">
        <f t="shared" si="148"/>
        <v>0</v>
      </c>
      <c r="R772" s="50">
        <f t="shared" si="149"/>
        <v>0</v>
      </c>
      <c r="S772" s="2" t="str">
        <f t="shared" si="150"/>
        <v>Weihnachten/Silvester</v>
      </c>
      <c r="T772" s="4">
        <v>5</v>
      </c>
      <c r="U772" s="4" t="str">
        <f t="shared" si="151"/>
        <v>Nein</v>
      </c>
      <c r="V772" s="4">
        <f t="shared" si="152"/>
        <v>0</v>
      </c>
      <c r="W772" s="19">
        <f t="shared" si="153"/>
        <v>2.29</v>
      </c>
      <c r="X772" s="5">
        <v>0</v>
      </c>
      <c r="Y772" s="28">
        <f t="shared" si="154"/>
        <v>0</v>
      </c>
      <c r="Z772" s="31" t="s">
        <v>172</v>
      </c>
      <c r="AA772" t="str">
        <f t="shared" si="155"/>
        <v>Kassenfehler (Überbestand)</v>
      </c>
    </row>
    <row r="773" spans="1:27" x14ac:dyDescent="0.35">
      <c r="A773" s="32" t="s">
        <v>18</v>
      </c>
      <c r="B773" s="2" t="str">
        <f>VLOOKUP(A773,Stammdaten!$A$3:$B$7,2,FALSE)</f>
        <v>Filiale Zentrum</v>
      </c>
      <c r="C773" s="3" t="str" cm="1">
        <f t="array" ref="C773">INDEX(Stammdaten!$A$11:$A$25,INT((ROW()-5)/12)+1 - INT((ROW()-5)/180)*15)</f>
        <v>A005</v>
      </c>
      <c r="D773" s="2" t="str">
        <f>VLOOKUP(C773,Stammdaten!$A$11:$B$25,2,FALSE)</f>
        <v>Gouda 200g</v>
      </c>
      <c r="E773" s="3" t="str">
        <f>VLOOKUP(C773,Stammdaten!$A$11:$C$25,3,FALSE)</f>
        <v>Käse</v>
      </c>
      <c r="F773" s="19">
        <f>VLOOKUP(C773,Stammdaten!$A$11:$D$25,4,FALSE)</f>
        <v>1.99</v>
      </c>
      <c r="G773" s="4">
        <f t="shared" si="143"/>
        <v>1</v>
      </c>
      <c r="H773" s="20" t="str">
        <f>VLOOKUP(G773,Stammdaten!$A$30:$B$41,2,FALSE)</f>
        <v>Januar</v>
      </c>
      <c r="I773" s="4">
        <v>340</v>
      </c>
      <c r="J773" s="4">
        <v>343</v>
      </c>
      <c r="K773" s="4">
        <f t="shared" si="144"/>
        <v>3</v>
      </c>
      <c r="L773" s="27">
        <f t="shared" si="145"/>
        <v>0.88235294117647056</v>
      </c>
      <c r="M773" s="52" t="str">
        <f t="shared" si="146"/>
        <v>Überbestand</v>
      </c>
      <c r="N773" s="28">
        <f t="shared" si="147"/>
        <v>5.97</v>
      </c>
      <c r="O773" s="5">
        <v>9</v>
      </c>
      <c r="P773" s="4">
        <v>1</v>
      </c>
      <c r="Q773" s="28">
        <f t="shared" si="148"/>
        <v>0</v>
      </c>
      <c r="R773" s="50">
        <f t="shared" si="149"/>
        <v>0</v>
      </c>
      <c r="S773" s="2" t="str">
        <f t="shared" si="150"/>
        <v>Normal</v>
      </c>
      <c r="T773" s="4">
        <v>3</v>
      </c>
      <c r="U773" s="4" t="str">
        <f t="shared" si="151"/>
        <v>Nein</v>
      </c>
      <c r="V773" s="4">
        <f t="shared" si="152"/>
        <v>0</v>
      </c>
      <c r="W773" s="19">
        <f t="shared" si="153"/>
        <v>1.99</v>
      </c>
      <c r="X773" s="5">
        <v>0</v>
      </c>
      <c r="Y773" s="28">
        <f t="shared" si="154"/>
        <v>0</v>
      </c>
      <c r="Z773" s="31" t="s">
        <v>172</v>
      </c>
      <c r="AA773" t="str">
        <f t="shared" si="155"/>
        <v>Kassenfehler (Überbestand)</v>
      </c>
    </row>
    <row r="774" spans="1:27" x14ac:dyDescent="0.35">
      <c r="A774" s="32" t="s">
        <v>18</v>
      </c>
      <c r="B774" s="2" t="str">
        <f>VLOOKUP(A774,Stammdaten!$A$3:$B$7,2,FALSE)</f>
        <v>Filiale Zentrum</v>
      </c>
      <c r="C774" s="3" t="str" cm="1">
        <f t="array" ref="C774">INDEX(Stammdaten!$A$11:$A$25,INT((ROW()-5)/12)+1 - INT((ROW()-5)/180)*15)</f>
        <v>A005</v>
      </c>
      <c r="D774" s="2" t="str">
        <f>VLOOKUP(C774,Stammdaten!$A$11:$B$25,2,FALSE)</f>
        <v>Gouda 200g</v>
      </c>
      <c r="E774" s="3" t="str">
        <f>VLOOKUP(C774,Stammdaten!$A$11:$C$25,3,FALSE)</f>
        <v>Käse</v>
      </c>
      <c r="F774" s="19">
        <f>VLOOKUP(C774,Stammdaten!$A$11:$D$25,4,FALSE)</f>
        <v>1.99</v>
      </c>
      <c r="G774" s="4">
        <f t="shared" ref="G774:G837" si="156">MOD(ROW()-5,12)+1</f>
        <v>2</v>
      </c>
      <c r="H774" s="20" t="str">
        <f>VLOOKUP(G774,Stammdaten!$A$30:$B$41,2,FALSE)</f>
        <v>Februar</v>
      </c>
      <c r="I774" s="4">
        <v>318</v>
      </c>
      <c r="J774" s="4">
        <v>313</v>
      </c>
      <c r="K774" s="4">
        <f t="shared" ref="K774:K837" si="157">J774-I774</f>
        <v>-5</v>
      </c>
      <c r="L774" s="27">
        <f t="shared" ref="L774:L837" si="158">IF(I774=0,0,(K774)/I774*100)</f>
        <v>-1.5723270440251573</v>
      </c>
      <c r="M774" s="52" t="str">
        <f t="shared" ref="M774:M837" si="159">IF(K774=0,"Perfekt",IF(K774&lt;0,"Schwund","Überbestand"))</f>
        <v>Schwund</v>
      </c>
      <c r="N774" s="28">
        <f t="shared" ref="N774:N837" si="160">ABS(K774)*F774</f>
        <v>9.9499999999999993</v>
      </c>
      <c r="O774" s="5">
        <v>15</v>
      </c>
      <c r="P774" s="4">
        <v>3</v>
      </c>
      <c r="Q774" s="28">
        <f t="shared" ref="Q774:Q837" si="161">IF(K774&lt;0,ABS(N774)*0.25,0)</f>
        <v>2.4874999999999998</v>
      </c>
      <c r="R774" s="50">
        <f t="shared" ref="R774:R837" si="162">IF(K774&lt;0,ABS(N774)*0.3,0)</f>
        <v>2.9849999999999999</v>
      </c>
      <c r="S774" s="2" t="str">
        <f t="shared" ref="S774:S837" si="163">IF(G774=4,"Ostern",IF(G774=12,"Weihnachten/Silvester",IF(G774=11,"Black Friday",IF(G774=2,"Karneval","Normal"))))</f>
        <v>Karneval</v>
      </c>
      <c r="T774" s="4">
        <v>0</v>
      </c>
      <c r="U774" s="4" t="str">
        <f t="shared" ref="U774:U837" si="164">IF(O774&lt;=0,"Abschreibung",IF(O774&lt;=3,"Ja - 20% Reduzierung","Nein"))</f>
        <v>Nein</v>
      </c>
      <c r="V774" s="4">
        <f t="shared" ref="V774:V837" si="165">IF(O774&lt;=0,100,IF(O774&lt;=3,20,0))</f>
        <v>0</v>
      </c>
      <c r="W774" s="19">
        <f t="shared" ref="W774:W837" si="166">IF(V774=100,0,ROUND(F774*(1-V774/100),2))</f>
        <v>1.99</v>
      </c>
      <c r="X774" s="5">
        <v>0</v>
      </c>
      <c r="Y774" s="28">
        <f t="shared" ref="Y774:Y837" si="167">ROUND(X774*F774*(V774/100),2)</f>
        <v>0</v>
      </c>
      <c r="Z774" s="31" t="s">
        <v>172</v>
      </c>
      <c r="AA774" t="str">
        <f t="shared" ref="AA774:AA837" si="168">IF(O774&lt;=0,"Verderb - Abgelaufen",IF(AND(O774&lt;=3,Z774&lt;&gt;"Korrekt",Z774&lt;&gt;"Kein MHD - Prozess"),"MHD - Prozessfehler",IF(K774&gt;0,"Kassenfehler (Überbestand)",IF(AND(ABS(L774)&gt;3,A774="F005"),"Diebstahlrisiko",IF(AND(ABS(L774)&gt;2,P774&lt;2),"Buchungsfehler Wareneingang",IF(ABS(L774)&gt;2,"Prozessfehler","Normal/Gering"))))))</f>
        <v>Normal/Gering</v>
      </c>
    </row>
    <row r="775" spans="1:27" x14ac:dyDescent="0.35">
      <c r="A775" s="32" t="s">
        <v>18</v>
      </c>
      <c r="B775" s="2" t="str">
        <f>VLOOKUP(A775,Stammdaten!$A$3:$B$7,2,FALSE)</f>
        <v>Filiale Zentrum</v>
      </c>
      <c r="C775" s="3" t="str" cm="1">
        <f t="array" ref="C775">INDEX(Stammdaten!$A$11:$A$25,INT((ROW()-5)/12)+1 - INT((ROW()-5)/180)*15)</f>
        <v>A005</v>
      </c>
      <c r="D775" s="2" t="str">
        <f>VLOOKUP(C775,Stammdaten!$A$11:$B$25,2,FALSE)</f>
        <v>Gouda 200g</v>
      </c>
      <c r="E775" s="3" t="str">
        <f>VLOOKUP(C775,Stammdaten!$A$11:$C$25,3,FALSE)</f>
        <v>Käse</v>
      </c>
      <c r="F775" s="19">
        <f>VLOOKUP(C775,Stammdaten!$A$11:$D$25,4,FALSE)</f>
        <v>1.99</v>
      </c>
      <c r="G775" s="4">
        <f t="shared" si="156"/>
        <v>3</v>
      </c>
      <c r="H775" s="20" t="str">
        <f>VLOOKUP(G775,Stammdaten!$A$30:$B$41,2,FALSE)</f>
        <v>März</v>
      </c>
      <c r="I775" s="4">
        <v>430</v>
      </c>
      <c r="J775" s="4">
        <v>422</v>
      </c>
      <c r="K775" s="4">
        <f t="shared" si="157"/>
        <v>-8</v>
      </c>
      <c r="L775" s="27">
        <f t="shared" si="158"/>
        <v>-1.8604651162790697</v>
      </c>
      <c r="M775" s="52" t="str">
        <f t="shared" si="159"/>
        <v>Schwund</v>
      </c>
      <c r="N775" s="28">
        <f t="shared" si="160"/>
        <v>15.92</v>
      </c>
      <c r="O775" s="5">
        <v>9</v>
      </c>
      <c r="P775" s="4">
        <v>3</v>
      </c>
      <c r="Q775" s="28">
        <f t="shared" si="161"/>
        <v>3.98</v>
      </c>
      <c r="R775" s="50">
        <f t="shared" si="162"/>
        <v>4.7759999999999998</v>
      </c>
      <c r="S775" s="2" t="str">
        <f t="shared" si="163"/>
        <v>Normal</v>
      </c>
      <c r="T775" s="4">
        <v>0</v>
      </c>
      <c r="U775" s="4" t="str">
        <f t="shared" si="164"/>
        <v>Nein</v>
      </c>
      <c r="V775" s="4">
        <f t="shared" si="165"/>
        <v>0</v>
      </c>
      <c r="W775" s="19">
        <f t="shared" si="166"/>
        <v>1.99</v>
      </c>
      <c r="X775" s="5">
        <v>0</v>
      </c>
      <c r="Y775" s="28">
        <f t="shared" si="167"/>
        <v>0</v>
      </c>
      <c r="Z775" s="31" t="s">
        <v>172</v>
      </c>
      <c r="AA775" t="str">
        <f t="shared" si="168"/>
        <v>Normal/Gering</v>
      </c>
    </row>
    <row r="776" spans="1:27" x14ac:dyDescent="0.35">
      <c r="A776" s="32" t="s">
        <v>18</v>
      </c>
      <c r="B776" s="2" t="str">
        <f>VLOOKUP(A776,Stammdaten!$A$3:$B$7,2,FALSE)</f>
        <v>Filiale Zentrum</v>
      </c>
      <c r="C776" s="3" t="str" cm="1">
        <f t="array" ref="C776">INDEX(Stammdaten!$A$11:$A$25,INT((ROW()-5)/12)+1 - INT((ROW()-5)/180)*15)</f>
        <v>A005</v>
      </c>
      <c r="D776" s="2" t="str">
        <f>VLOOKUP(C776,Stammdaten!$A$11:$B$25,2,FALSE)</f>
        <v>Gouda 200g</v>
      </c>
      <c r="E776" s="3" t="str">
        <f>VLOOKUP(C776,Stammdaten!$A$11:$C$25,3,FALSE)</f>
        <v>Käse</v>
      </c>
      <c r="F776" s="19">
        <f>VLOOKUP(C776,Stammdaten!$A$11:$D$25,4,FALSE)</f>
        <v>1.99</v>
      </c>
      <c r="G776" s="4">
        <f t="shared" si="156"/>
        <v>4</v>
      </c>
      <c r="H776" s="20" t="str">
        <f>VLOOKUP(G776,Stammdaten!$A$30:$B$41,2,FALSE)</f>
        <v>April</v>
      </c>
      <c r="I776" s="4">
        <v>497</v>
      </c>
      <c r="J776" s="4">
        <v>490</v>
      </c>
      <c r="K776" s="4">
        <f t="shared" si="157"/>
        <v>-7</v>
      </c>
      <c r="L776" s="27">
        <f t="shared" si="158"/>
        <v>-1.4084507042253522</v>
      </c>
      <c r="M776" s="52" t="str">
        <f t="shared" si="159"/>
        <v>Schwund</v>
      </c>
      <c r="N776" s="28">
        <f t="shared" si="160"/>
        <v>13.93</v>
      </c>
      <c r="O776" s="5">
        <v>5</v>
      </c>
      <c r="P776" s="4">
        <v>2</v>
      </c>
      <c r="Q776" s="28">
        <f t="shared" si="161"/>
        <v>3.4824999999999999</v>
      </c>
      <c r="R776" s="50">
        <f t="shared" si="162"/>
        <v>4.1789999999999994</v>
      </c>
      <c r="S776" s="2" t="str">
        <f t="shared" si="163"/>
        <v>Ostern</v>
      </c>
      <c r="T776" s="4">
        <v>0</v>
      </c>
      <c r="U776" s="4" t="str">
        <f t="shared" si="164"/>
        <v>Nein</v>
      </c>
      <c r="V776" s="4">
        <f t="shared" si="165"/>
        <v>0</v>
      </c>
      <c r="W776" s="19">
        <f t="shared" si="166"/>
        <v>1.99</v>
      </c>
      <c r="X776" s="5">
        <v>0</v>
      </c>
      <c r="Y776" s="28">
        <f t="shared" si="167"/>
        <v>0</v>
      </c>
      <c r="Z776" s="31" t="s">
        <v>172</v>
      </c>
      <c r="AA776" t="str">
        <f t="shared" si="168"/>
        <v>Normal/Gering</v>
      </c>
    </row>
    <row r="777" spans="1:27" x14ac:dyDescent="0.35">
      <c r="A777" s="32" t="s">
        <v>18</v>
      </c>
      <c r="B777" s="2" t="str">
        <f>VLOOKUP(A777,Stammdaten!$A$3:$B$7,2,FALSE)</f>
        <v>Filiale Zentrum</v>
      </c>
      <c r="C777" s="3" t="str" cm="1">
        <f t="array" ref="C777">INDEX(Stammdaten!$A$11:$A$25,INT((ROW()-5)/12)+1 - INT((ROW()-5)/180)*15)</f>
        <v>A005</v>
      </c>
      <c r="D777" s="2" t="str">
        <f>VLOOKUP(C777,Stammdaten!$A$11:$B$25,2,FALSE)</f>
        <v>Gouda 200g</v>
      </c>
      <c r="E777" s="3" t="str">
        <f>VLOOKUP(C777,Stammdaten!$A$11:$C$25,3,FALSE)</f>
        <v>Käse</v>
      </c>
      <c r="F777" s="19">
        <f>VLOOKUP(C777,Stammdaten!$A$11:$D$25,4,FALSE)</f>
        <v>1.99</v>
      </c>
      <c r="G777" s="4">
        <f t="shared" si="156"/>
        <v>5</v>
      </c>
      <c r="H777" s="20" t="str">
        <f>VLOOKUP(G777,Stammdaten!$A$30:$B$41,2,FALSE)</f>
        <v>Mai</v>
      </c>
      <c r="I777" s="4">
        <v>402</v>
      </c>
      <c r="J777" s="4">
        <v>390</v>
      </c>
      <c r="K777" s="4">
        <f t="shared" si="157"/>
        <v>-12</v>
      </c>
      <c r="L777" s="27">
        <f t="shared" si="158"/>
        <v>-2.9850746268656714</v>
      </c>
      <c r="M777" s="52" t="str">
        <f t="shared" si="159"/>
        <v>Schwund</v>
      </c>
      <c r="N777" s="28">
        <f t="shared" si="160"/>
        <v>23.88</v>
      </c>
      <c r="O777" s="5">
        <v>1</v>
      </c>
      <c r="P777" s="4">
        <v>6</v>
      </c>
      <c r="Q777" s="28">
        <f t="shared" si="161"/>
        <v>5.97</v>
      </c>
      <c r="R777" s="50">
        <f t="shared" si="162"/>
        <v>7.1639999999999997</v>
      </c>
      <c r="S777" s="2" t="str">
        <f t="shared" si="163"/>
        <v>Normal</v>
      </c>
      <c r="T777" s="4">
        <v>0</v>
      </c>
      <c r="U777" s="4" t="str">
        <f t="shared" si="164"/>
        <v>Ja - 20% Reduzierung</v>
      </c>
      <c r="V777" s="4">
        <f t="shared" si="165"/>
        <v>20</v>
      </c>
      <c r="W777" s="19">
        <f t="shared" si="166"/>
        <v>1.59</v>
      </c>
      <c r="X777" s="5">
        <v>32</v>
      </c>
      <c r="Y777" s="28">
        <f t="shared" si="167"/>
        <v>12.74</v>
      </c>
      <c r="Z777" s="31" t="s">
        <v>173</v>
      </c>
      <c r="AA777" t="str">
        <f t="shared" si="168"/>
        <v>Prozessfehler</v>
      </c>
    </row>
    <row r="778" spans="1:27" x14ac:dyDescent="0.35">
      <c r="A778" s="32" t="s">
        <v>18</v>
      </c>
      <c r="B778" s="2" t="str">
        <f>VLOOKUP(A778,Stammdaten!$A$3:$B$7,2,FALSE)</f>
        <v>Filiale Zentrum</v>
      </c>
      <c r="C778" s="3" t="str" cm="1">
        <f t="array" ref="C778">INDEX(Stammdaten!$A$11:$A$25,INT((ROW()-5)/12)+1 - INT((ROW()-5)/180)*15)</f>
        <v>A005</v>
      </c>
      <c r="D778" s="2" t="str">
        <f>VLOOKUP(C778,Stammdaten!$A$11:$B$25,2,FALSE)</f>
        <v>Gouda 200g</v>
      </c>
      <c r="E778" s="3" t="str">
        <f>VLOOKUP(C778,Stammdaten!$A$11:$C$25,3,FALSE)</f>
        <v>Käse</v>
      </c>
      <c r="F778" s="19">
        <f>VLOOKUP(C778,Stammdaten!$A$11:$D$25,4,FALSE)</f>
        <v>1.99</v>
      </c>
      <c r="G778" s="4">
        <f t="shared" si="156"/>
        <v>6</v>
      </c>
      <c r="H778" s="20" t="str">
        <f>VLOOKUP(G778,Stammdaten!$A$30:$B$41,2,FALSE)</f>
        <v>Juni</v>
      </c>
      <c r="I778" s="4">
        <v>450</v>
      </c>
      <c r="J778" s="4">
        <v>451</v>
      </c>
      <c r="K778" s="4">
        <f t="shared" si="157"/>
        <v>1</v>
      </c>
      <c r="L778" s="27">
        <f t="shared" si="158"/>
        <v>0.22222222222222221</v>
      </c>
      <c r="M778" s="52" t="str">
        <f t="shared" si="159"/>
        <v>Überbestand</v>
      </c>
      <c r="N778" s="28">
        <f t="shared" si="160"/>
        <v>1.99</v>
      </c>
      <c r="O778" s="5">
        <v>18</v>
      </c>
      <c r="P778" s="4">
        <v>3</v>
      </c>
      <c r="Q778" s="28">
        <f t="shared" si="161"/>
        <v>0</v>
      </c>
      <c r="R778" s="50">
        <f t="shared" si="162"/>
        <v>0</v>
      </c>
      <c r="S778" s="2" t="str">
        <f t="shared" si="163"/>
        <v>Normal</v>
      </c>
      <c r="T778" s="4">
        <v>1</v>
      </c>
      <c r="U778" s="4" t="str">
        <f t="shared" si="164"/>
        <v>Nein</v>
      </c>
      <c r="V778" s="4">
        <f t="shared" si="165"/>
        <v>0</v>
      </c>
      <c r="W778" s="19">
        <f t="shared" si="166"/>
        <v>1.99</v>
      </c>
      <c r="X778" s="5">
        <v>0</v>
      </c>
      <c r="Y778" s="28">
        <f t="shared" si="167"/>
        <v>0</v>
      </c>
      <c r="Z778" s="31" t="s">
        <v>172</v>
      </c>
      <c r="AA778" t="str">
        <f t="shared" si="168"/>
        <v>Kassenfehler (Überbestand)</v>
      </c>
    </row>
    <row r="779" spans="1:27" x14ac:dyDescent="0.35">
      <c r="A779" s="32" t="s">
        <v>18</v>
      </c>
      <c r="B779" s="2" t="str">
        <f>VLOOKUP(A779,Stammdaten!$A$3:$B$7,2,FALSE)</f>
        <v>Filiale Zentrum</v>
      </c>
      <c r="C779" s="3" t="str" cm="1">
        <f t="array" ref="C779">INDEX(Stammdaten!$A$11:$A$25,INT((ROW()-5)/12)+1 - INT((ROW()-5)/180)*15)</f>
        <v>A005</v>
      </c>
      <c r="D779" s="2" t="str">
        <f>VLOOKUP(C779,Stammdaten!$A$11:$B$25,2,FALSE)</f>
        <v>Gouda 200g</v>
      </c>
      <c r="E779" s="3" t="str">
        <f>VLOOKUP(C779,Stammdaten!$A$11:$C$25,3,FALSE)</f>
        <v>Käse</v>
      </c>
      <c r="F779" s="19">
        <f>VLOOKUP(C779,Stammdaten!$A$11:$D$25,4,FALSE)</f>
        <v>1.99</v>
      </c>
      <c r="G779" s="4">
        <f t="shared" si="156"/>
        <v>7</v>
      </c>
      <c r="H779" s="20" t="str">
        <f>VLOOKUP(G779,Stammdaten!$A$30:$B$41,2,FALSE)</f>
        <v>Juli</v>
      </c>
      <c r="I779" s="4">
        <v>445</v>
      </c>
      <c r="J779" s="4">
        <v>438</v>
      </c>
      <c r="K779" s="4">
        <f t="shared" si="157"/>
        <v>-7</v>
      </c>
      <c r="L779" s="27">
        <f t="shared" si="158"/>
        <v>-1.5730337078651686</v>
      </c>
      <c r="M779" s="52" t="str">
        <f t="shared" si="159"/>
        <v>Schwund</v>
      </c>
      <c r="N779" s="28">
        <f t="shared" si="160"/>
        <v>13.93</v>
      </c>
      <c r="O779" s="5">
        <v>7</v>
      </c>
      <c r="P779" s="4">
        <v>5</v>
      </c>
      <c r="Q779" s="28">
        <f t="shared" si="161"/>
        <v>3.4824999999999999</v>
      </c>
      <c r="R779" s="50">
        <f t="shared" si="162"/>
        <v>4.1789999999999994</v>
      </c>
      <c r="S779" s="2" t="str">
        <f t="shared" si="163"/>
        <v>Normal</v>
      </c>
      <c r="T779" s="4">
        <v>0</v>
      </c>
      <c r="U779" s="4" t="str">
        <f t="shared" si="164"/>
        <v>Nein</v>
      </c>
      <c r="V779" s="4">
        <f t="shared" si="165"/>
        <v>0</v>
      </c>
      <c r="W779" s="19">
        <f t="shared" si="166"/>
        <v>1.99</v>
      </c>
      <c r="X779" s="5">
        <v>0</v>
      </c>
      <c r="Y779" s="28">
        <f t="shared" si="167"/>
        <v>0</v>
      </c>
      <c r="Z779" s="31" t="s">
        <v>172</v>
      </c>
      <c r="AA779" t="str">
        <f t="shared" si="168"/>
        <v>Normal/Gering</v>
      </c>
    </row>
    <row r="780" spans="1:27" x14ac:dyDescent="0.35">
      <c r="A780" s="32" t="s">
        <v>18</v>
      </c>
      <c r="B780" s="2" t="str">
        <f>VLOOKUP(A780,Stammdaten!$A$3:$B$7,2,FALSE)</f>
        <v>Filiale Zentrum</v>
      </c>
      <c r="C780" s="3" t="str" cm="1">
        <f t="array" ref="C780">INDEX(Stammdaten!$A$11:$A$25,INT((ROW()-5)/12)+1 - INT((ROW()-5)/180)*15)</f>
        <v>A005</v>
      </c>
      <c r="D780" s="2" t="str">
        <f>VLOOKUP(C780,Stammdaten!$A$11:$B$25,2,FALSE)</f>
        <v>Gouda 200g</v>
      </c>
      <c r="E780" s="3" t="str">
        <f>VLOOKUP(C780,Stammdaten!$A$11:$C$25,3,FALSE)</f>
        <v>Käse</v>
      </c>
      <c r="F780" s="19">
        <f>VLOOKUP(C780,Stammdaten!$A$11:$D$25,4,FALSE)</f>
        <v>1.99</v>
      </c>
      <c r="G780" s="4">
        <f t="shared" si="156"/>
        <v>8</v>
      </c>
      <c r="H780" s="20" t="str">
        <f>VLOOKUP(G780,Stammdaten!$A$30:$B$41,2,FALSE)</f>
        <v>August</v>
      </c>
      <c r="I780" s="4">
        <v>462</v>
      </c>
      <c r="J780" s="4">
        <v>462</v>
      </c>
      <c r="K780" s="4">
        <f t="shared" si="157"/>
        <v>0</v>
      </c>
      <c r="L780" s="27">
        <f t="shared" si="158"/>
        <v>0</v>
      </c>
      <c r="M780" s="52" t="str">
        <f t="shared" si="159"/>
        <v>Perfekt</v>
      </c>
      <c r="N780" s="28">
        <f t="shared" si="160"/>
        <v>0</v>
      </c>
      <c r="O780" s="5">
        <v>15</v>
      </c>
      <c r="P780" s="4">
        <v>7</v>
      </c>
      <c r="Q780" s="28">
        <f t="shared" si="161"/>
        <v>0</v>
      </c>
      <c r="R780" s="50">
        <f t="shared" si="162"/>
        <v>0</v>
      </c>
      <c r="S780" s="2" t="str">
        <f t="shared" si="163"/>
        <v>Normal</v>
      </c>
      <c r="T780" s="4">
        <v>0</v>
      </c>
      <c r="U780" s="4" t="str">
        <f t="shared" si="164"/>
        <v>Nein</v>
      </c>
      <c r="V780" s="4">
        <f t="shared" si="165"/>
        <v>0</v>
      </c>
      <c r="W780" s="19">
        <f t="shared" si="166"/>
        <v>1.99</v>
      </c>
      <c r="X780" s="5">
        <v>0</v>
      </c>
      <c r="Y780" s="28">
        <f t="shared" si="167"/>
        <v>0</v>
      </c>
      <c r="Z780" s="31" t="s">
        <v>172</v>
      </c>
      <c r="AA780" t="str">
        <f t="shared" si="168"/>
        <v>Normal/Gering</v>
      </c>
    </row>
    <row r="781" spans="1:27" x14ac:dyDescent="0.35">
      <c r="A781" s="32" t="s">
        <v>18</v>
      </c>
      <c r="B781" s="2" t="str">
        <f>VLOOKUP(A781,Stammdaten!$A$3:$B$7,2,FALSE)</f>
        <v>Filiale Zentrum</v>
      </c>
      <c r="C781" s="3" t="str" cm="1">
        <f t="array" ref="C781">INDEX(Stammdaten!$A$11:$A$25,INT((ROW()-5)/12)+1 - INT((ROW()-5)/180)*15)</f>
        <v>A005</v>
      </c>
      <c r="D781" s="2" t="str">
        <f>VLOOKUP(C781,Stammdaten!$A$11:$B$25,2,FALSE)</f>
        <v>Gouda 200g</v>
      </c>
      <c r="E781" s="3" t="str">
        <f>VLOOKUP(C781,Stammdaten!$A$11:$C$25,3,FALSE)</f>
        <v>Käse</v>
      </c>
      <c r="F781" s="19">
        <f>VLOOKUP(C781,Stammdaten!$A$11:$D$25,4,FALSE)</f>
        <v>1.99</v>
      </c>
      <c r="G781" s="4">
        <f t="shared" si="156"/>
        <v>9</v>
      </c>
      <c r="H781" s="20" t="str">
        <f>VLOOKUP(G781,Stammdaten!$A$30:$B$41,2,FALSE)</f>
        <v>September</v>
      </c>
      <c r="I781" s="4">
        <v>352</v>
      </c>
      <c r="J781" s="4">
        <v>355</v>
      </c>
      <c r="K781" s="4">
        <f t="shared" si="157"/>
        <v>3</v>
      </c>
      <c r="L781" s="27">
        <f t="shared" si="158"/>
        <v>0.85227272727272718</v>
      </c>
      <c r="M781" s="52" t="str">
        <f t="shared" si="159"/>
        <v>Überbestand</v>
      </c>
      <c r="N781" s="28">
        <f t="shared" si="160"/>
        <v>5.97</v>
      </c>
      <c r="O781" s="5">
        <v>12</v>
      </c>
      <c r="P781" s="4">
        <v>3</v>
      </c>
      <c r="Q781" s="28">
        <f t="shared" si="161"/>
        <v>0</v>
      </c>
      <c r="R781" s="50">
        <f t="shared" si="162"/>
        <v>0</v>
      </c>
      <c r="S781" s="2" t="str">
        <f t="shared" si="163"/>
        <v>Normal</v>
      </c>
      <c r="T781" s="4">
        <v>3</v>
      </c>
      <c r="U781" s="4" t="str">
        <f t="shared" si="164"/>
        <v>Nein</v>
      </c>
      <c r="V781" s="4">
        <f t="shared" si="165"/>
        <v>0</v>
      </c>
      <c r="W781" s="19">
        <f t="shared" si="166"/>
        <v>1.99</v>
      </c>
      <c r="X781" s="5">
        <v>0</v>
      </c>
      <c r="Y781" s="28">
        <f t="shared" si="167"/>
        <v>0</v>
      </c>
      <c r="Z781" s="31" t="s">
        <v>172</v>
      </c>
      <c r="AA781" t="str">
        <f t="shared" si="168"/>
        <v>Kassenfehler (Überbestand)</v>
      </c>
    </row>
    <row r="782" spans="1:27" x14ac:dyDescent="0.35">
      <c r="A782" s="32" t="s">
        <v>18</v>
      </c>
      <c r="B782" s="2" t="str">
        <f>VLOOKUP(A782,Stammdaten!$A$3:$B$7,2,FALSE)</f>
        <v>Filiale Zentrum</v>
      </c>
      <c r="C782" s="3" t="str" cm="1">
        <f t="array" ref="C782">INDEX(Stammdaten!$A$11:$A$25,INT((ROW()-5)/12)+1 - INT((ROW()-5)/180)*15)</f>
        <v>A005</v>
      </c>
      <c r="D782" s="2" t="str">
        <f>VLOOKUP(C782,Stammdaten!$A$11:$B$25,2,FALSE)</f>
        <v>Gouda 200g</v>
      </c>
      <c r="E782" s="3" t="str">
        <f>VLOOKUP(C782,Stammdaten!$A$11:$C$25,3,FALSE)</f>
        <v>Käse</v>
      </c>
      <c r="F782" s="19">
        <f>VLOOKUP(C782,Stammdaten!$A$11:$D$25,4,FALSE)</f>
        <v>1.99</v>
      </c>
      <c r="G782" s="4">
        <f t="shared" si="156"/>
        <v>10</v>
      </c>
      <c r="H782" s="20" t="str">
        <f>VLOOKUP(G782,Stammdaten!$A$30:$B$41,2,FALSE)</f>
        <v>Oktober</v>
      </c>
      <c r="I782" s="4">
        <v>406</v>
      </c>
      <c r="J782" s="4">
        <v>394</v>
      </c>
      <c r="K782" s="4">
        <f t="shared" si="157"/>
        <v>-12</v>
      </c>
      <c r="L782" s="27">
        <f t="shared" si="158"/>
        <v>-2.9556650246305418</v>
      </c>
      <c r="M782" s="52" t="str">
        <f t="shared" si="159"/>
        <v>Schwund</v>
      </c>
      <c r="N782" s="28">
        <f t="shared" si="160"/>
        <v>23.88</v>
      </c>
      <c r="O782" s="5">
        <v>14</v>
      </c>
      <c r="P782" s="4">
        <v>0</v>
      </c>
      <c r="Q782" s="28">
        <f t="shared" si="161"/>
        <v>5.97</v>
      </c>
      <c r="R782" s="50">
        <f t="shared" si="162"/>
        <v>7.1639999999999997</v>
      </c>
      <c r="S782" s="2" t="str">
        <f t="shared" si="163"/>
        <v>Normal</v>
      </c>
      <c r="T782" s="4">
        <v>0</v>
      </c>
      <c r="U782" s="4" t="str">
        <f t="shared" si="164"/>
        <v>Nein</v>
      </c>
      <c r="V782" s="4">
        <f t="shared" si="165"/>
        <v>0</v>
      </c>
      <c r="W782" s="19">
        <f t="shared" si="166"/>
        <v>1.99</v>
      </c>
      <c r="X782" s="5">
        <v>0</v>
      </c>
      <c r="Y782" s="28">
        <f t="shared" si="167"/>
        <v>0</v>
      </c>
      <c r="Z782" s="31" t="s">
        <v>172</v>
      </c>
      <c r="AA782" t="str">
        <f t="shared" si="168"/>
        <v>Buchungsfehler Wareneingang</v>
      </c>
    </row>
    <row r="783" spans="1:27" x14ac:dyDescent="0.35">
      <c r="A783" s="32" t="s">
        <v>18</v>
      </c>
      <c r="B783" s="2" t="str">
        <f>VLOOKUP(A783,Stammdaten!$A$3:$B$7,2,FALSE)</f>
        <v>Filiale Zentrum</v>
      </c>
      <c r="C783" s="3" t="str" cm="1">
        <f t="array" ref="C783">INDEX(Stammdaten!$A$11:$A$25,INT((ROW()-5)/12)+1 - INT((ROW()-5)/180)*15)</f>
        <v>A005</v>
      </c>
      <c r="D783" s="2" t="str">
        <f>VLOOKUP(C783,Stammdaten!$A$11:$B$25,2,FALSE)</f>
        <v>Gouda 200g</v>
      </c>
      <c r="E783" s="3" t="str">
        <f>VLOOKUP(C783,Stammdaten!$A$11:$C$25,3,FALSE)</f>
        <v>Käse</v>
      </c>
      <c r="F783" s="19">
        <f>VLOOKUP(C783,Stammdaten!$A$11:$D$25,4,FALSE)</f>
        <v>1.99</v>
      </c>
      <c r="G783" s="4">
        <f t="shared" si="156"/>
        <v>11</v>
      </c>
      <c r="H783" s="20" t="str">
        <f>VLOOKUP(G783,Stammdaten!$A$30:$B$41,2,FALSE)</f>
        <v>November</v>
      </c>
      <c r="I783" s="4">
        <v>425</v>
      </c>
      <c r="J783" s="4">
        <v>412</v>
      </c>
      <c r="K783" s="4">
        <f t="shared" si="157"/>
        <v>-13</v>
      </c>
      <c r="L783" s="27">
        <f t="shared" si="158"/>
        <v>-3.0588235294117649</v>
      </c>
      <c r="M783" s="52" t="str">
        <f t="shared" si="159"/>
        <v>Schwund</v>
      </c>
      <c r="N783" s="28">
        <f t="shared" si="160"/>
        <v>25.87</v>
      </c>
      <c r="O783" s="5">
        <v>7</v>
      </c>
      <c r="P783" s="4">
        <v>7</v>
      </c>
      <c r="Q783" s="28">
        <f t="shared" si="161"/>
        <v>6.4675000000000002</v>
      </c>
      <c r="R783" s="50">
        <f t="shared" si="162"/>
        <v>7.7610000000000001</v>
      </c>
      <c r="S783" s="2" t="str">
        <f t="shared" si="163"/>
        <v>Black Friday</v>
      </c>
      <c r="T783" s="4">
        <v>0</v>
      </c>
      <c r="U783" s="4" t="str">
        <f t="shared" si="164"/>
        <v>Nein</v>
      </c>
      <c r="V783" s="4">
        <f t="shared" si="165"/>
        <v>0</v>
      </c>
      <c r="W783" s="19">
        <f t="shared" si="166"/>
        <v>1.99</v>
      </c>
      <c r="X783" s="5">
        <v>0</v>
      </c>
      <c r="Y783" s="28">
        <f t="shared" si="167"/>
        <v>0</v>
      </c>
      <c r="Z783" s="31" t="s">
        <v>172</v>
      </c>
      <c r="AA783" t="str">
        <f t="shared" si="168"/>
        <v>Diebstahlrisiko</v>
      </c>
    </row>
    <row r="784" spans="1:27" x14ac:dyDescent="0.35">
      <c r="A784" s="32" t="s">
        <v>18</v>
      </c>
      <c r="B784" s="2" t="str">
        <f>VLOOKUP(A784,Stammdaten!$A$3:$B$7,2,FALSE)</f>
        <v>Filiale Zentrum</v>
      </c>
      <c r="C784" s="3" t="str" cm="1">
        <f t="array" ref="C784">INDEX(Stammdaten!$A$11:$A$25,INT((ROW()-5)/12)+1 - INT((ROW()-5)/180)*15)</f>
        <v>A005</v>
      </c>
      <c r="D784" s="2" t="str">
        <f>VLOOKUP(C784,Stammdaten!$A$11:$B$25,2,FALSE)</f>
        <v>Gouda 200g</v>
      </c>
      <c r="E784" s="3" t="str">
        <f>VLOOKUP(C784,Stammdaten!$A$11:$C$25,3,FALSE)</f>
        <v>Käse</v>
      </c>
      <c r="F784" s="19">
        <f>VLOOKUP(C784,Stammdaten!$A$11:$D$25,4,FALSE)</f>
        <v>1.99</v>
      </c>
      <c r="G784" s="4">
        <f t="shared" si="156"/>
        <v>12</v>
      </c>
      <c r="H784" s="20" t="str">
        <f>VLOOKUP(G784,Stammdaten!$A$30:$B$41,2,FALSE)</f>
        <v>Dezember</v>
      </c>
      <c r="I784" s="4">
        <v>562</v>
      </c>
      <c r="J784" s="4">
        <v>539</v>
      </c>
      <c r="K784" s="4">
        <f t="shared" si="157"/>
        <v>-23</v>
      </c>
      <c r="L784" s="27">
        <f t="shared" si="158"/>
        <v>-4.092526690391459</v>
      </c>
      <c r="M784" s="52" t="str">
        <f t="shared" si="159"/>
        <v>Schwund</v>
      </c>
      <c r="N784" s="28">
        <f t="shared" si="160"/>
        <v>45.77</v>
      </c>
      <c r="O784" s="5">
        <v>16</v>
      </c>
      <c r="P784" s="4">
        <v>4</v>
      </c>
      <c r="Q784" s="28">
        <f t="shared" si="161"/>
        <v>11.442500000000001</v>
      </c>
      <c r="R784" s="50">
        <f t="shared" si="162"/>
        <v>13.731</v>
      </c>
      <c r="S784" s="2" t="str">
        <f t="shared" si="163"/>
        <v>Weihnachten/Silvester</v>
      </c>
      <c r="T784" s="4">
        <v>0</v>
      </c>
      <c r="U784" s="4" t="str">
        <f t="shared" si="164"/>
        <v>Nein</v>
      </c>
      <c r="V784" s="4">
        <f t="shared" si="165"/>
        <v>0</v>
      </c>
      <c r="W784" s="19">
        <f t="shared" si="166"/>
        <v>1.99</v>
      </c>
      <c r="X784" s="5">
        <v>0</v>
      </c>
      <c r="Y784" s="28">
        <f t="shared" si="167"/>
        <v>0</v>
      </c>
      <c r="Z784" s="31" t="s">
        <v>172</v>
      </c>
      <c r="AA784" t="str">
        <f t="shared" si="168"/>
        <v>Diebstahlrisiko</v>
      </c>
    </row>
    <row r="785" spans="1:27" x14ac:dyDescent="0.35">
      <c r="A785" s="32" t="s">
        <v>18</v>
      </c>
      <c r="B785" s="2" t="str">
        <f>VLOOKUP(A785,Stammdaten!$A$3:$B$7,2,FALSE)</f>
        <v>Filiale Zentrum</v>
      </c>
      <c r="C785" s="3" t="str" cm="1">
        <f t="array" ref="C785">INDEX(Stammdaten!$A$11:$A$25,INT((ROW()-5)/12)+1 - INT((ROW()-5)/180)*15)</f>
        <v>A006</v>
      </c>
      <c r="D785" s="2" t="str">
        <f>VLOOKUP(C785,Stammdaten!$A$11:$B$25,2,FALSE)</f>
        <v>Emmentaler 200g</v>
      </c>
      <c r="E785" s="3" t="str">
        <f>VLOOKUP(C785,Stammdaten!$A$11:$C$25,3,FALSE)</f>
        <v>Käse</v>
      </c>
      <c r="F785" s="19">
        <f>VLOOKUP(C785,Stammdaten!$A$11:$D$25,4,FALSE)</f>
        <v>2.4900000000000002</v>
      </c>
      <c r="G785" s="4">
        <f t="shared" si="156"/>
        <v>1</v>
      </c>
      <c r="H785" s="20" t="str">
        <f>VLOOKUP(G785,Stammdaten!$A$30:$B$41,2,FALSE)</f>
        <v>Januar</v>
      </c>
      <c r="I785" s="4">
        <v>307</v>
      </c>
      <c r="J785" s="4">
        <v>301</v>
      </c>
      <c r="K785" s="4">
        <f t="shared" si="157"/>
        <v>-6</v>
      </c>
      <c r="L785" s="27">
        <f t="shared" si="158"/>
        <v>-1.9543973941368076</v>
      </c>
      <c r="M785" s="52" t="str">
        <f t="shared" si="159"/>
        <v>Schwund</v>
      </c>
      <c r="N785" s="28">
        <f t="shared" si="160"/>
        <v>14.940000000000001</v>
      </c>
      <c r="O785" s="5">
        <v>20</v>
      </c>
      <c r="P785" s="4">
        <v>7</v>
      </c>
      <c r="Q785" s="28">
        <f t="shared" si="161"/>
        <v>3.7350000000000003</v>
      </c>
      <c r="R785" s="50">
        <f t="shared" si="162"/>
        <v>4.4820000000000002</v>
      </c>
      <c r="S785" s="2" t="str">
        <f t="shared" si="163"/>
        <v>Normal</v>
      </c>
      <c r="T785" s="4">
        <v>0</v>
      </c>
      <c r="U785" s="4" t="str">
        <f t="shared" si="164"/>
        <v>Nein</v>
      </c>
      <c r="V785" s="4">
        <f t="shared" si="165"/>
        <v>0</v>
      </c>
      <c r="W785" s="19">
        <f t="shared" si="166"/>
        <v>2.4900000000000002</v>
      </c>
      <c r="X785" s="5">
        <v>0</v>
      </c>
      <c r="Y785" s="28">
        <f t="shared" si="167"/>
        <v>0</v>
      </c>
      <c r="Z785" s="31" t="s">
        <v>172</v>
      </c>
      <c r="AA785" t="str">
        <f t="shared" si="168"/>
        <v>Normal/Gering</v>
      </c>
    </row>
    <row r="786" spans="1:27" x14ac:dyDescent="0.35">
      <c r="A786" s="32" t="s">
        <v>18</v>
      </c>
      <c r="B786" s="2" t="str">
        <f>VLOOKUP(A786,Stammdaten!$A$3:$B$7,2,FALSE)</f>
        <v>Filiale Zentrum</v>
      </c>
      <c r="C786" s="3" t="str" cm="1">
        <f t="array" ref="C786">INDEX(Stammdaten!$A$11:$A$25,INT((ROW()-5)/12)+1 - INT((ROW()-5)/180)*15)</f>
        <v>A006</v>
      </c>
      <c r="D786" s="2" t="str">
        <f>VLOOKUP(C786,Stammdaten!$A$11:$B$25,2,FALSE)</f>
        <v>Emmentaler 200g</v>
      </c>
      <c r="E786" s="3" t="str">
        <f>VLOOKUP(C786,Stammdaten!$A$11:$C$25,3,FALSE)</f>
        <v>Käse</v>
      </c>
      <c r="F786" s="19">
        <f>VLOOKUP(C786,Stammdaten!$A$11:$D$25,4,FALSE)</f>
        <v>2.4900000000000002</v>
      </c>
      <c r="G786" s="4">
        <f t="shared" si="156"/>
        <v>2</v>
      </c>
      <c r="H786" s="20" t="str">
        <f>VLOOKUP(G786,Stammdaten!$A$30:$B$41,2,FALSE)</f>
        <v>Februar</v>
      </c>
      <c r="I786" s="4">
        <v>268</v>
      </c>
      <c r="J786" s="4">
        <v>264</v>
      </c>
      <c r="K786" s="4">
        <f t="shared" si="157"/>
        <v>-4</v>
      </c>
      <c r="L786" s="27">
        <f t="shared" si="158"/>
        <v>-1.4925373134328357</v>
      </c>
      <c r="M786" s="52" t="str">
        <f t="shared" si="159"/>
        <v>Schwund</v>
      </c>
      <c r="N786" s="28">
        <f t="shared" si="160"/>
        <v>9.9600000000000009</v>
      </c>
      <c r="O786" s="5">
        <v>3</v>
      </c>
      <c r="P786" s="4">
        <v>5</v>
      </c>
      <c r="Q786" s="28">
        <f t="shared" si="161"/>
        <v>2.4900000000000002</v>
      </c>
      <c r="R786" s="50">
        <f t="shared" si="162"/>
        <v>2.988</v>
      </c>
      <c r="S786" s="2" t="str">
        <f t="shared" si="163"/>
        <v>Karneval</v>
      </c>
      <c r="T786" s="4">
        <v>0</v>
      </c>
      <c r="U786" s="4" t="str">
        <f t="shared" si="164"/>
        <v>Ja - 20% Reduzierung</v>
      </c>
      <c r="V786" s="4">
        <f t="shared" si="165"/>
        <v>20</v>
      </c>
      <c r="W786" s="19">
        <f t="shared" si="166"/>
        <v>1.99</v>
      </c>
      <c r="X786" s="5">
        <v>40</v>
      </c>
      <c r="Y786" s="28">
        <f t="shared" si="167"/>
        <v>19.920000000000002</v>
      </c>
      <c r="Z786" s="31" t="s">
        <v>173</v>
      </c>
      <c r="AA786" t="str">
        <f t="shared" si="168"/>
        <v>Normal/Gering</v>
      </c>
    </row>
    <row r="787" spans="1:27" x14ac:dyDescent="0.35">
      <c r="A787" s="32" t="s">
        <v>18</v>
      </c>
      <c r="B787" s="2" t="str">
        <f>VLOOKUP(A787,Stammdaten!$A$3:$B$7,2,FALSE)</f>
        <v>Filiale Zentrum</v>
      </c>
      <c r="C787" s="3" t="str" cm="1">
        <f t="array" ref="C787">INDEX(Stammdaten!$A$11:$A$25,INT((ROW()-5)/12)+1 - INT((ROW()-5)/180)*15)</f>
        <v>A006</v>
      </c>
      <c r="D787" s="2" t="str">
        <f>VLOOKUP(C787,Stammdaten!$A$11:$B$25,2,FALSE)</f>
        <v>Emmentaler 200g</v>
      </c>
      <c r="E787" s="3" t="str">
        <f>VLOOKUP(C787,Stammdaten!$A$11:$C$25,3,FALSE)</f>
        <v>Käse</v>
      </c>
      <c r="F787" s="19">
        <f>VLOOKUP(C787,Stammdaten!$A$11:$D$25,4,FALSE)</f>
        <v>2.4900000000000002</v>
      </c>
      <c r="G787" s="4">
        <f t="shared" si="156"/>
        <v>3</v>
      </c>
      <c r="H787" s="20" t="str">
        <f>VLOOKUP(G787,Stammdaten!$A$30:$B$41,2,FALSE)</f>
        <v>März</v>
      </c>
      <c r="I787" s="4">
        <v>328</v>
      </c>
      <c r="J787" s="4">
        <v>318</v>
      </c>
      <c r="K787" s="4">
        <f t="shared" si="157"/>
        <v>-10</v>
      </c>
      <c r="L787" s="27">
        <f t="shared" si="158"/>
        <v>-3.0487804878048781</v>
      </c>
      <c r="M787" s="52" t="str">
        <f t="shared" si="159"/>
        <v>Schwund</v>
      </c>
      <c r="N787" s="28">
        <f t="shared" si="160"/>
        <v>24.900000000000002</v>
      </c>
      <c r="O787" s="5">
        <v>18</v>
      </c>
      <c r="P787" s="4">
        <v>1</v>
      </c>
      <c r="Q787" s="28">
        <f t="shared" si="161"/>
        <v>6.2250000000000005</v>
      </c>
      <c r="R787" s="50">
        <f t="shared" si="162"/>
        <v>7.4700000000000006</v>
      </c>
      <c r="S787" s="2" t="str">
        <f t="shared" si="163"/>
        <v>Normal</v>
      </c>
      <c r="T787" s="4">
        <v>0</v>
      </c>
      <c r="U787" s="4" t="str">
        <f t="shared" si="164"/>
        <v>Nein</v>
      </c>
      <c r="V787" s="4">
        <f t="shared" si="165"/>
        <v>0</v>
      </c>
      <c r="W787" s="19">
        <f t="shared" si="166"/>
        <v>2.4900000000000002</v>
      </c>
      <c r="X787" s="5">
        <v>0</v>
      </c>
      <c r="Y787" s="28">
        <f t="shared" si="167"/>
        <v>0</v>
      </c>
      <c r="Z787" s="31" t="s">
        <v>172</v>
      </c>
      <c r="AA787" t="str">
        <f t="shared" si="168"/>
        <v>Diebstahlrisiko</v>
      </c>
    </row>
    <row r="788" spans="1:27" x14ac:dyDescent="0.35">
      <c r="A788" s="32" t="s">
        <v>18</v>
      </c>
      <c r="B788" s="2" t="str">
        <f>VLOOKUP(A788,Stammdaten!$A$3:$B$7,2,FALSE)</f>
        <v>Filiale Zentrum</v>
      </c>
      <c r="C788" s="3" t="str" cm="1">
        <f t="array" ref="C788">INDEX(Stammdaten!$A$11:$A$25,INT((ROW()-5)/12)+1 - INT((ROW()-5)/180)*15)</f>
        <v>A006</v>
      </c>
      <c r="D788" s="2" t="str">
        <f>VLOOKUP(C788,Stammdaten!$A$11:$B$25,2,FALSE)</f>
        <v>Emmentaler 200g</v>
      </c>
      <c r="E788" s="3" t="str">
        <f>VLOOKUP(C788,Stammdaten!$A$11:$C$25,3,FALSE)</f>
        <v>Käse</v>
      </c>
      <c r="F788" s="19">
        <f>VLOOKUP(C788,Stammdaten!$A$11:$D$25,4,FALSE)</f>
        <v>2.4900000000000002</v>
      </c>
      <c r="G788" s="4">
        <f t="shared" si="156"/>
        <v>4</v>
      </c>
      <c r="H788" s="20" t="str">
        <f>VLOOKUP(G788,Stammdaten!$A$30:$B$41,2,FALSE)</f>
        <v>April</v>
      </c>
      <c r="I788" s="4">
        <v>406</v>
      </c>
      <c r="J788" s="4">
        <v>397</v>
      </c>
      <c r="K788" s="4">
        <f t="shared" si="157"/>
        <v>-9</v>
      </c>
      <c r="L788" s="27">
        <f t="shared" si="158"/>
        <v>-2.2167487684729066</v>
      </c>
      <c r="M788" s="52" t="str">
        <f t="shared" si="159"/>
        <v>Schwund</v>
      </c>
      <c r="N788" s="28">
        <f t="shared" si="160"/>
        <v>22.410000000000004</v>
      </c>
      <c r="O788" s="5">
        <v>0</v>
      </c>
      <c r="P788" s="4">
        <v>3</v>
      </c>
      <c r="Q788" s="28">
        <f t="shared" si="161"/>
        <v>5.6025000000000009</v>
      </c>
      <c r="R788" s="50">
        <f t="shared" si="162"/>
        <v>6.7230000000000008</v>
      </c>
      <c r="S788" s="2" t="str">
        <f t="shared" si="163"/>
        <v>Ostern</v>
      </c>
      <c r="T788" s="4">
        <v>0</v>
      </c>
      <c r="U788" s="4" t="str">
        <f t="shared" si="164"/>
        <v>Abschreibung</v>
      </c>
      <c r="V788" s="4">
        <f t="shared" si="165"/>
        <v>100</v>
      </c>
      <c r="W788" s="19">
        <f t="shared" si="166"/>
        <v>0</v>
      </c>
      <c r="X788" s="5">
        <v>12</v>
      </c>
      <c r="Y788" s="28">
        <f t="shared" si="167"/>
        <v>29.88</v>
      </c>
      <c r="Z788" s="31" t="s">
        <v>173</v>
      </c>
      <c r="AA788" t="str">
        <f t="shared" si="168"/>
        <v>Verderb - Abgelaufen</v>
      </c>
    </row>
    <row r="789" spans="1:27" x14ac:dyDescent="0.35">
      <c r="A789" s="32" t="s">
        <v>18</v>
      </c>
      <c r="B789" s="2" t="str">
        <f>VLOOKUP(A789,Stammdaten!$A$3:$B$7,2,FALSE)</f>
        <v>Filiale Zentrum</v>
      </c>
      <c r="C789" s="3" t="str" cm="1">
        <f t="array" ref="C789">INDEX(Stammdaten!$A$11:$A$25,INT((ROW()-5)/12)+1 - INT((ROW()-5)/180)*15)</f>
        <v>A006</v>
      </c>
      <c r="D789" s="2" t="str">
        <f>VLOOKUP(C789,Stammdaten!$A$11:$B$25,2,FALSE)</f>
        <v>Emmentaler 200g</v>
      </c>
      <c r="E789" s="3" t="str">
        <f>VLOOKUP(C789,Stammdaten!$A$11:$C$25,3,FALSE)</f>
        <v>Käse</v>
      </c>
      <c r="F789" s="19">
        <f>VLOOKUP(C789,Stammdaten!$A$11:$D$25,4,FALSE)</f>
        <v>2.4900000000000002</v>
      </c>
      <c r="G789" s="4">
        <f t="shared" si="156"/>
        <v>5</v>
      </c>
      <c r="H789" s="20" t="str">
        <f>VLOOKUP(G789,Stammdaten!$A$30:$B$41,2,FALSE)</f>
        <v>Mai</v>
      </c>
      <c r="I789" s="4">
        <v>338</v>
      </c>
      <c r="J789" s="4">
        <v>331</v>
      </c>
      <c r="K789" s="4">
        <f t="shared" si="157"/>
        <v>-7</v>
      </c>
      <c r="L789" s="27">
        <f t="shared" si="158"/>
        <v>-2.0710059171597637</v>
      </c>
      <c r="M789" s="52" t="str">
        <f t="shared" si="159"/>
        <v>Schwund</v>
      </c>
      <c r="N789" s="28">
        <f t="shared" si="160"/>
        <v>17.43</v>
      </c>
      <c r="O789" s="5">
        <v>12</v>
      </c>
      <c r="P789" s="4">
        <v>1</v>
      </c>
      <c r="Q789" s="28">
        <f t="shared" si="161"/>
        <v>4.3574999999999999</v>
      </c>
      <c r="R789" s="50">
        <f t="shared" si="162"/>
        <v>5.2290000000000001</v>
      </c>
      <c r="S789" s="2" t="str">
        <f t="shared" si="163"/>
        <v>Normal</v>
      </c>
      <c r="T789" s="4">
        <v>0</v>
      </c>
      <c r="U789" s="4" t="str">
        <f t="shared" si="164"/>
        <v>Nein</v>
      </c>
      <c r="V789" s="4">
        <f t="shared" si="165"/>
        <v>0</v>
      </c>
      <c r="W789" s="19">
        <f t="shared" si="166"/>
        <v>2.4900000000000002</v>
      </c>
      <c r="X789" s="5">
        <v>0</v>
      </c>
      <c r="Y789" s="28">
        <f t="shared" si="167"/>
        <v>0</v>
      </c>
      <c r="Z789" s="31" t="s">
        <v>172</v>
      </c>
      <c r="AA789" t="str">
        <f t="shared" si="168"/>
        <v>Buchungsfehler Wareneingang</v>
      </c>
    </row>
    <row r="790" spans="1:27" x14ac:dyDescent="0.35">
      <c r="A790" s="32" t="s">
        <v>18</v>
      </c>
      <c r="B790" s="2" t="str">
        <f>VLOOKUP(A790,Stammdaten!$A$3:$B$7,2,FALSE)</f>
        <v>Filiale Zentrum</v>
      </c>
      <c r="C790" s="3" t="str" cm="1">
        <f t="array" ref="C790">INDEX(Stammdaten!$A$11:$A$25,INT((ROW()-5)/12)+1 - INT((ROW()-5)/180)*15)</f>
        <v>A006</v>
      </c>
      <c r="D790" s="2" t="str">
        <f>VLOOKUP(C790,Stammdaten!$A$11:$B$25,2,FALSE)</f>
        <v>Emmentaler 200g</v>
      </c>
      <c r="E790" s="3" t="str">
        <f>VLOOKUP(C790,Stammdaten!$A$11:$C$25,3,FALSE)</f>
        <v>Käse</v>
      </c>
      <c r="F790" s="19">
        <f>VLOOKUP(C790,Stammdaten!$A$11:$D$25,4,FALSE)</f>
        <v>2.4900000000000002</v>
      </c>
      <c r="G790" s="4">
        <f t="shared" si="156"/>
        <v>6</v>
      </c>
      <c r="H790" s="20" t="str">
        <f>VLOOKUP(G790,Stammdaten!$A$30:$B$41,2,FALSE)</f>
        <v>Juni</v>
      </c>
      <c r="I790" s="4">
        <v>343</v>
      </c>
      <c r="J790" s="4">
        <v>343</v>
      </c>
      <c r="K790" s="4">
        <f t="shared" si="157"/>
        <v>0</v>
      </c>
      <c r="L790" s="27">
        <f t="shared" si="158"/>
        <v>0</v>
      </c>
      <c r="M790" s="52" t="str">
        <f t="shared" si="159"/>
        <v>Perfekt</v>
      </c>
      <c r="N790" s="28">
        <f t="shared" si="160"/>
        <v>0</v>
      </c>
      <c r="O790" s="5">
        <v>13</v>
      </c>
      <c r="P790" s="4">
        <v>7</v>
      </c>
      <c r="Q790" s="28">
        <f t="shared" si="161"/>
        <v>0</v>
      </c>
      <c r="R790" s="50">
        <f t="shared" si="162"/>
        <v>0</v>
      </c>
      <c r="S790" s="2" t="str">
        <f t="shared" si="163"/>
        <v>Normal</v>
      </c>
      <c r="T790" s="4">
        <v>0</v>
      </c>
      <c r="U790" s="4" t="str">
        <f t="shared" si="164"/>
        <v>Nein</v>
      </c>
      <c r="V790" s="4">
        <f t="shared" si="165"/>
        <v>0</v>
      </c>
      <c r="W790" s="19">
        <f t="shared" si="166"/>
        <v>2.4900000000000002</v>
      </c>
      <c r="X790" s="5">
        <v>0</v>
      </c>
      <c r="Y790" s="28">
        <f t="shared" si="167"/>
        <v>0</v>
      </c>
      <c r="Z790" s="31" t="s">
        <v>172</v>
      </c>
      <c r="AA790" t="str">
        <f t="shared" si="168"/>
        <v>Normal/Gering</v>
      </c>
    </row>
    <row r="791" spans="1:27" x14ac:dyDescent="0.35">
      <c r="A791" s="32" t="s">
        <v>18</v>
      </c>
      <c r="B791" s="2" t="str">
        <f>VLOOKUP(A791,Stammdaten!$A$3:$B$7,2,FALSE)</f>
        <v>Filiale Zentrum</v>
      </c>
      <c r="C791" s="3" t="str" cm="1">
        <f t="array" ref="C791">INDEX(Stammdaten!$A$11:$A$25,INT((ROW()-5)/12)+1 - INT((ROW()-5)/180)*15)</f>
        <v>A006</v>
      </c>
      <c r="D791" s="2" t="str">
        <f>VLOOKUP(C791,Stammdaten!$A$11:$B$25,2,FALSE)</f>
        <v>Emmentaler 200g</v>
      </c>
      <c r="E791" s="3" t="str">
        <f>VLOOKUP(C791,Stammdaten!$A$11:$C$25,3,FALSE)</f>
        <v>Käse</v>
      </c>
      <c r="F791" s="19">
        <f>VLOOKUP(C791,Stammdaten!$A$11:$D$25,4,FALSE)</f>
        <v>2.4900000000000002</v>
      </c>
      <c r="G791" s="4">
        <f t="shared" si="156"/>
        <v>7</v>
      </c>
      <c r="H791" s="20" t="str">
        <f>VLOOKUP(G791,Stammdaten!$A$30:$B$41,2,FALSE)</f>
        <v>Juli</v>
      </c>
      <c r="I791" s="4">
        <v>390</v>
      </c>
      <c r="J791" s="4">
        <v>380</v>
      </c>
      <c r="K791" s="4">
        <f t="shared" si="157"/>
        <v>-10</v>
      </c>
      <c r="L791" s="27">
        <f t="shared" si="158"/>
        <v>-2.5641025641025639</v>
      </c>
      <c r="M791" s="52" t="str">
        <f t="shared" si="159"/>
        <v>Schwund</v>
      </c>
      <c r="N791" s="28">
        <f t="shared" si="160"/>
        <v>24.900000000000002</v>
      </c>
      <c r="O791" s="5">
        <v>8</v>
      </c>
      <c r="P791" s="4">
        <v>2</v>
      </c>
      <c r="Q791" s="28">
        <f t="shared" si="161"/>
        <v>6.2250000000000005</v>
      </c>
      <c r="R791" s="50">
        <f t="shared" si="162"/>
        <v>7.4700000000000006</v>
      </c>
      <c r="S791" s="2" t="str">
        <f t="shared" si="163"/>
        <v>Normal</v>
      </c>
      <c r="T791" s="4">
        <v>0</v>
      </c>
      <c r="U791" s="4" t="str">
        <f t="shared" si="164"/>
        <v>Nein</v>
      </c>
      <c r="V791" s="4">
        <f t="shared" si="165"/>
        <v>0</v>
      </c>
      <c r="W791" s="19">
        <f t="shared" si="166"/>
        <v>2.4900000000000002</v>
      </c>
      <c r="X791" s="5">
        <v>0</v>
      </c>
      <c r="Y791" s="28">
        <f t="shared" si="167"/>
        <v>0</v>
      </c>
      <c r="Z791" s="31" t="s">
        <v>172</v>
      </c>
      <c r="AA791" t="str">
        <f t="shared" si="168"/>
        <v>Prozessfehler</v>
      </c>
    </row>
    <row r="792" spans="1:27" x14ac:dyDescent="0.35">
      <c r="A792" s="32" t="s">
        <v>18</v>
      </c>
      <c r="B792" s="2" t="str">
        <f>VLOOKUP(A792,Stammdaten!$A$3:$B$7,2,FALSE)</f>
        <v>Filiale Zentrum</v>
      </c>
      <c r="C792" s="3" t="str" cm="1">
        <f t="array" ref="C792">INDEX(Stammdaten!$A$11:$A$25,INT((ROW()-5)/12)+1 - INT((ROW()-5)/180)*15)</f>
        <v>A006</v>
      </c>
      <c r="D792" s="2" t="str">
        <f>VLOOKUP(C792,Stammdaten!$A$11:$B$25,2,FALSE)</f>
        <v>Emmentaler 200g</v>
      </c>
      <c r="E792" s="3" t="str">
        <f>VLOOKUP(C792,Stammdaten!$A$11:$C$25,3,FALSE)</f>
        <v>Käse</v>
      </c>
      <c r="F792" s="19">
        <f>VLOOKUP(C792,Stammdaten!$A$11:$D$25,4,FALSE)</f>
        <v>2.4900000000000002</v>
      </c>
      <c r="G792" s="4">
        <f t="shared" si="156"/>
        <v>8</v>
      </c>
      <c r="H792" s="20" t="str">
        <f>VLOOKUP(G792,Stammdaten!$A$30:$B$41,2,FALSE)</f>
        <v>August</v>
      </c>
      <c r="I792" s="4">
        <v>359</v>
      </c>
      <c r="J792" s="4">
        <v>350</v>
      </c>
      <c r="K792" s="4">
        <f t="shared" si="157"/>
        <v>-9</v>
      </c>
      <c r="L792" s="27">
        <f t="shared" si="158"/>
        <v>-2.5069637883008355</v>
      </c>
      <c r="M792" s="52" t="str">
        <f t="shared" si="159"/>
        <v>Schwund</v>
      </c>
      <c r="N792" s="28">
        <f t="shared" si="160"/>
        <v>22.410000000000004</v>
      </c>
      <c r="O792" s="5">
        <v>5</v>
      </c>
      <c r="P792" s="4">
        <v>1</v>
      </c>
      <c r="Q792" s="28">
        <f t="shared" si="161"/>
        <v>5.6025000000000009</v>
      </c>
      <c r="R792" s="50">
        <f t="shared" si="162"/>
        <v>6.7230000000000008</v>
      </c>
      <c r="S792" s="2" t="str">
        <f t="shared" si="163"/>
        <v>Normal</v>
      </c>
      <c r="T792" s="4">
        <v>0</v>
      </c>
      <c r="U792" s="4" t="str">
        <f t="shared" si="164"/>
        <v>Nein</v>
      </c>
      <c r="V792" s="4">
        <f t="shared" si="165"/>
        <v>0</v>
      </c>
      <c r="W792" s="19">
        <f t="shared" si="166"/>
        <v>2.4900000000000002</v>
      </c>
      <c r="X792" s="5">
        <v>0</v>
      </c>
      <c r="Y792" s="28">
        <f t="shared" si="167"/>
        <v>0</v>
      </c>
      <c r="Z792" s="31" t="s">
        <v>172</v>
      </c>
      <c r="AA792" t="str">
        <f t="shared" si="168"/>
        <v>Buchungsfehler Wareneingang</v>
      </c>
    </row>
    <row r="793" spans="1:27" x14ac:dyDescent="0.35">
      <c r="A793" s="32" t="s">
        <v>18</v>
      </c>
      <c r="B793" s="2" t="str">
        <f>VLOOKUP(A793,Stammdaten!$A$3:$B$7,2,FALSE)</f>
        <v>Filiale Zentrum</v>
      </c>
      <c r="C793" s="3" t="str" cm="1">
        <f t="array" ref="C793">INDEX(Stammdaten!$A$11:$A$25,INT((ROW()-5)/12)+1 - INT((ROW()-5)/180)*15)</f>
        <v>A006</v>
      </c>
      <c r="D793" s="2" t="str">
        <f>VLOOKUP(C793,Stammdaten!$A$11:$B$25,2,FALSE)</f>
        <v>Emmentaler 200g</v>
      </c>
      <c r="E793" s="3" t="str">
        <f>VLOOKUP(C793,Stammdaten!$A$11:$C$25,3,FALSE)</f>
        <v>Käse</v>
      </c>
      <c r="F793" s="19">
        <f>VLOOKUP(C793,Stammdaten!$A$11:$D$25,4,FALSE)</f>
        <v>2.4900000000000002</v>
      </c>
      <c r="G793" s="4">
        <f t="shared" si="156"/>
        <v>9</v>
      </c>
      <c r="H793" s="20" t="str">
        <f>VLOOKUP(G793,Stammdaten!$A$30:$B$41,2,FALSE)</f>
        <v>September</v>
      </c>
      <c r="I793" s="4">
        <v>299</v>
      </c>
      <c r="J793" s="4">
        <v>292</v>
      </c>
      <c r="K793" s="4">
        <f t="shared" si="157"/>
        <v>-7</v>
      </c>
      <c r="L793" s="27">
        <f t="shared" si="158"/>
        <v>-2.3411371237458192</v>
      </c>
      <c r="M793" s="52" t="str">
        <f t="shared" si="159"/>
        <v>Schwund</v>
      </c>
      <c r="N793" s="28">
        <f t="shared" si="160"/>
        <v>17.43</v>
      </c>
      <c r="O793" s="5">
        <v>18</v>
      </c>
      <c r="P793" s="4">
        <v>2</v>
      </c>
      <c r="Q793" s="28">
        <f t="shared" si="161"/>
        <v>4.3574999999999999</v>
      </c>
      <c r="R793" s="50">
        <f t="shared" si="162"/>
        <v>5.2290000000000001</v>
      </c>
      <c r="S793" s="2" t="str">
        <f t="shared" si="163"/>
        <v>Normal</v>
      </c>
      <c r="T793" s="4">
        <v>0</v>
      </c>
      <c r="U793" s="4" t="str">
        <f t="shared" si="164"/>
        <v>Nein</v>
      </c>
      <c r="V793" s="4">
        <f t="shared" si="165"/>
        <v>0</v>
      </c>
      <c r="W793" s="19">
        <f t="shared" si="166"/>
        <v>2.4900000000000002</v>
      </c>
      <c r="X793" s="5">
        <v>0</v>
      </c>
      <c r="Y793" s="28">
        <f t="shared" si="167"/>
        <v>0</v>
      </c>
      <c r="Z793" s="31" t="s">
        <v>172</v>
      </c>
      <c r="AA793" t="str">
        <f t="shared" si="168"/>
        <v>Prozessfehler</v>
      </c>
    </row>
    <row r="794" spans="1:27" x14ac:dyDescent="0.35">
      <c r="A794" s="32" t="s">
        <v>18</v>
      </c>
      <c r="B794" s="2" t="str">
        <f>VLOOKUP(A794,Stammdaten!$A$3:$B$7,2,FALSE)</f>
        <v>Filiale Zentrum</v>
      </c>
      <c r="C794" s="3" t="str" cm="1">
        <f t="array" ref="C794">INDEX(Stammdaten!$A$11:$A$25,INT((ROW()-5)/12)+1 - INT((ROW()-5)/180)*15)</f>
        <v>A006</v>
      </c>
      <c r="D794" s="2" t="str">
        <f>VLOOKUP(C794,Stammdaten!$A$11:$B$25,2,FALSE)</f>
        <v>Emmentaler 200g</v>
      </c>
      <c r="E794" s="3" t="str">
        <f>VLOOKUP(C794,Stammdaten!$A$11:$C$25,3,FALSE)</f>
        <v>Käse</v>
      </c>
      <c r="F794" s="19">
        <f>VLOOKUP(C794,Stammdaten!$A$11:$D$25,4,FALSE)</f>
        <v>2.4900000000000002</v>
      </c>
      <c r="G794" s="4">
        <f t="shared" si="156"/>
        <v>10</v>
      </c>
      <c r="H794" s="20" t="str">
        <f>VLOOKUP(G794,Stammdaten!$A$30:$B$41,2,FALSE)</f>
        <v>Oktober</v>
      </c>
      <c r="I794" s="4">
        <v>322</v>
      </c>
      <c r="J794" s="4">
        <v>315</v>
      </c>
      <c r="K794" s="4">
        <f t="shared" si="157"/>
        <v>-7</v>
      </c>
      <c r="L794" s="27">
        <f t="shared" si="158"/>
        <v>-2.1739130434782608</v>
      </c>
      <c r="M794" s="52" t="str">
        <f t="shared" si="159"/>
        <v>Schwund</v>
      </c>
      <c r="N794" s="28">
        <f t="shared" si="160"/>
        <v>17.43</v>
      </c>
      <c r="O794" s="5">
        <v>8</v>
      </c>
      <c r="P794" s="4">
        <v>5</v>
      </c>
      <c r="Q794" s="28">
        <f t="shared" si="161"/>
        <v>4.3574999999999999</v>
      </c>
      <c r="R794" s="50">
        <f t="shared" si="162"/>
        <v>5.2290000000000001</v>
      </c>
      <c r="S794" s="2" t="str">
        <f t="shared" si="163"/>
        <v>Normal</v>
      </c>
      <c r="T794" s="4">
        <v>0</v>
      </c>
      <c r="U794" s="4" t="str">
        <f t="shared" si="164"/>
        <v>Nein</v>
      </c>
      <c r="V794" s="4">
        <f t="shared" si="165"/>
        <v>0</v>
      </c>
      <c r="W794" s="19">
        <f t="shared" si="166"/>
        <v>2.4900000000000002</v>
      </c>
      <c r="X794" s="5">
        <v>0</v>
      </c>
      <c r="Y794" s="28">
        <f t="shared" si="167"/>
        <v>0</v>
      </c>
      <c r="Z794" s="31" t="s">
        <v>172</v>
      </c>
      <c r="AA794" t="str">
        <f t="shared" si="168"/>
        <v>Prozessfehler</v>
      </c>
    </row>
    <row r="795" spans="1:27" x14ac:dyDescent="0.35">
      <c r="A795" s="32" t="s">
        <v>18</v>
      </c>
      <c r="B795" s="2" t="str">
        <f>VLOOKUP(A795,Stammdaten!$A$3:$B$7,2,FALSE)</f>
        <v>Filiale Zentrum</v>
      </c>
      <c r="C795" s="3" t="str" cm="1">
        <f t="array" ref="C795">INDEX(Stammdaten!$A$11:$A$25,INT((ROW()-5)/12)+1 - INT((ROW()-5)/180)*15)</f>
        <v>A006</v>
      </c>
      <c r="D795" s="2" t="str">
        <f>VLOOKUP(C795,Stammdaten!$A$11:$B$25,2,FALSE)</f>
        <v>Emmentaler 200g</v>
      </c>
      <c r="E795" s="3" t="str">
        <f>VLOOKUP(C795,Stammdaten!$A$11:$C$25,3,FALSE)</f>
        <v>Käse</v>
      </c>
      <c r="F795" s="19">
        <f>VLOOKUP(C795,Stammdaten!$A$11:$D$25,4,FALSE)</f>
        <v>2.4900000000000002</v>
      </c>
      <c r="G795" s="4">
        <f t="shared" si="156"/>
        <v>11</v>
      </c>
      <c r="H795" s="20" t="str">
        <f>VLOOKUP(G795,Stammdaten!$A$30:$B$41,2,FALSE)</f>
        <v>November</v>
      </c>
      <c r="I795" s="4">
        <v>361</v>
      </c>
      <c r="J795" s="4">
        <v>353</v>
      </c>
      <c r="K795" s="4">
        <f t="shared" si="157"/>
        <v>-8</v>
      </c>
      <c r="L795" s="27">
        <f t="shared" si="158"/>
        <v>-2.21606648199446</v>
      </c>
      <c r="M795" s="52" t="str">
        <f t="shared" si="159"/>
        <v>Schwund</v>
      </c>
      <c r="N795" s="28">
        <f t="shared" si="160"/>
        <v>19.920000000000002</v>
      </c>
      <c r="O795" s="5">
        <v>2</v>
      </c>
      <c r="P795" s="4">
        <v>5</v>
      </c>
      <c r="Q795" s="28">
        <f t="shared" si="161"/>
        <v>4.9800000000000004</v>
      </c>
      <c r="R795" s="50">
        <f t="shared" si="162"/>
        <v>5.976</v>
      </c>
      <c r="S795" s="2" t="str">
        <f t="shared" si="163"/>
        <v>Black Friday</v>
      </c>
      <c r="T795" s="4">
        <v>0</v>
      </c>
      <c r="U795" s="4" t="str">
        <f t="shared" si="164"/>
        <v>Ja - 20% Reduzierung</v>
      </c>
      <c r="V795" s="4">
        <f t="shared" si="165"/>
        <v>20</v>
      </c>
      <c r="W795" s="19">
        <f t="shared" si="166"/>
        <v>1.99</v>
      </c>
      <c r="X795" s="5">
        <v>40</v>
      </c>
      <c r="Y795" s="28">
        <f t="shared" si="167"/>
        <v>19.920000000000002</v>
      </c>
      <c r="Z795" s="31" t="s">
        <v>227</v>
      </c>
      <c r="AA795" t="str">
        <f t="shared" si="168"/>
        <v>MHD - Prozessfehler</v>
      </c>
    </row>
    <row r="796" spans="1:27" x14ac:dyDescent="0.35">
      <c r="A796" s="32" t="s">
        <v>18</v>
      </c>
      <c r="B796" s="2" t="str">
        <f>VLOOKUP(A796,Stammdaten!$A$3:$B$7,2,FALSE)</f>
        <v>Filiale Zentrum</v>
      </c>
      <c r="C796" s="3" t="str" cm="1">
        <f t="array" ref="C796">INDEX(Stammdaten!$A$11:$A$25,INT((ROW()-5)/12)+1 - INT((ROW()-5)/180)*15)</f>
        <v>A006</v>
      </c>
      <c r="D796" s="2" t="str">
        <f>VLOOKUP(C796,Stammdaten!$A$11:$B$25,2,FALSE)</f>
        <v>Emmentaler 200g</v>
      </c>
      <c r="E796" s="3" t="str">
        <f>VLOOKUP(C796,Stammdaten!$A$11:$C$25,3,FALSE)</f>
        <v>Käse</v>
      </c>
      <c r="F796" s="19">
        <f>VLOOKUP(C796,Stammdaten!$A$11:$D$25,4,FALSE)</f>
        <v>2.4900000000000002</v>
      </c>
      <c r="G796" s="4">
        <f t="shared" si="156"/>
        <v>12</v>
      </c>
      <c r="H796" s="20" t="str">
        <f>VLOOKUP(G796,Stammdaten!$A$30:$B$41,2,FALSE)</f>
        <v>Dezember</v>
      </c>
      <c r="I796" s="4">
        <v>450</v>
      </c>
      <c r="J796" s="4">
        <v>436</v>
      </c>
      <c r="K796" s="4">
        <f t="shared" si="157"/>
        <v>-14</v>
      </c>
      <c r="L796" s="27">
        <f t="shared" si="158"/>
        <v>-3.1111111111111112</v>
      </c>
      <c r="M796" s="52" t="str">
        <f t="shared" si="159"/>
        <v>Schwund</v>
      </c>
      <c r="N796" s="28">
        <f t="shared" si="160"/>
        <v>34.86</v>
      </c>
      <c r="O796" s="5">
        <v>6</v>
      </c>
      <c r="P796" s="4">
        <v>4</v>
      </c>
      <c r="Q796" s="28">
        <f t="shared" si="161"/>
        <v>8.7149999999999999</v>
      </c>
      <c r="R796" s="50">
        <f t="shared" si="162"/>
        <v>10.458</v>
      </c>
      <c r="S796" s="2" t="str">
        <f t="shared" si="163"/>
        <v>Weihnachten/Silvester</v>
      </c>
      <c r="T796" s="4">
        <v>0</v>
      </c>
      <c r="U796" s="4" t="str">
        <f t="shared" si="164"/>
        <v>Nein</v>
      </c>
      <c r="V796" s="4">
        <f t="shared" si="165"/>
        <v>0</v>
      </c>
      <c r="W796" s="19">
        <f t="shared" si="166"/>
        <v>2.4900000000000002</v>
      </c>
      <c r="X796" s="5">
        <v>0</v>
      </c>
      <c r="Y796" s="28">
        <f t="shared" si="167"/>
        <v>0</v>
      </c>
      <c r="Z796" s="31" t="s">
        <v>172</v>
      </c>
      <c r="AA796" t="str">
        <f t="shared" si="168"/>
        <v>Diebstahlrisiko</v>
      </c>
    </row>
    <row r="797" spans="1:27" x14ac:dyDescent="0.35">
      <c r="A797" s="32" t="s">
        <v>18</v>
      </c>
      <c r="B797" s="2" t="str">
        <f>VLOOKUP(A797,Stammdaten!$A$3:$B$7,2,FALSE)</f>
        <v>Filiale Zentrum</v>
      </c>
      <c r="C797" s="3" t="str" cm="1">
        <f t="array" ref="C797">INDEX(Stammdaten!$A$11:$A$25,INT((ROW()-5)/12)+1 - INT((ROW()-5)/180)*15)</f>
        <v>A007</v>
      </c>
      <c r="D797" s="2" t="str">
        <f>VLOOKUP(C797,Stammdaten!$A$11:$B$25,2,FALSE)</f>
        <v>Naturjoghurt 500g</v>
      </c>
      <c r="E797" s="3" t="str">
        <f>VLOOKUP(C797,Stammdaten!$A$11:$C$25,3,FALSE)</f>
        <v>Joghurt</v>
      </c>
      <c r="F797" s="19">
        <f>VLOOKUP(C797,Stammdaten!$A$11:$D$25,4,FALSE)</f>
        <v>0.89</v>
      </c>
      <c r="G797" s="4">
        <f t="shared" si="156"/>
        <v>1</v>
      </c>
      <c r="H797" s="20" t="str">
        <f>VLOOKUP(G797,Stammdaten!$A$30:$B$41,2,FALSE)</f>
        <v>Januar</v>
      </c>
      <c r="I797" s="4">
        <v>676</v>
      </c>
      <c r="J797" s="4">
        <v>654</v>
      </c>
      <c r="K797" s="4">
        <f t="shared" si="157"/>
        <v>-22</v>
      </c>
      <c r="L797" s="27">
        <f t="shared" si="158"/>
        <v>-3.2544378698224854</v>
      </c>
      <c r="M797" s="52" t="str">
        <f t="shared" si="159"/>
        <v>Schwund</v>
      </c>
      <c r="N797" s="28">
        <f t="shared" si="160"/>
        <v>19.580000000000002</v>
      </c>
      <c r="O797" s="5">
        <v>2</v>
      </c>
      <c r="P797" s="4">
        <v>0</v>
      </c>
      <c r="Q797" s="28">
        <f t="shared" si="161"/>
        <v>4.8950000000000005</v>
      </c>
      <c r="R797" s="50">
        <f t="shared" si="162"/>
        <v>5.8740000000000006</v>
      </c>
      <c r="S797" s="2" t="str">
        <f t="shared" si="163"/>
        <v>Normal</v>
      </c>
      <c r="T797" s="4">
        <v>0</v>
      </c>
      <c r="U797" s="4" t="str">
        <f t="shared" si="164"/>
        <v>Ja - 20% Reduzierung</v>
      </c>
      <c r="V797" s="4">
        <f t="shared" si="165"/>
        <v>20</v>
      </c>
      <c r="W797" s="19">
        <f t="shared" si="166"/>
        <v>0.71</v>
      </c>
      <c r="X797" s="5">
        <v>81</v>
      </c>
      <c r="Y797" s="28">
        <f t="shared" si="167"/>
        <v>14.42</v>
      </c>
      <c r="Z797" s="31" t="s">
        <v>173</v>
      </c>
      <c r="AA797" t="str">
        <f t="shared" si="168"/>
        <v>Diebstahlrisiko</v>
      </c>
    </row>
    <row r="798" spans="1:27" x14ac:dyDescent="0.35">
      <c r="A798" s="32" t="s">
        <v>18</v>
      </c>
      <c r="B798" s="2" t="str">
        <f>VLOOKUP(A798,Stammdaten!$A$3:$B$7,2,FALSE)</f>
        <v>Filiale Zentrum</v>
      </c>
      <c r="C798" s="3" t="str" cm="1">
        <f t="array" ref="C798">INDEX(Stammdaten!$A$11:$A$25,INT((ROW()-5)/12)+1 - INT((ROW()-5)/180)*15)</f>
        <v>A007</v>
      </c>
      <c r="D798" s="2" t="str">
        <f>VLOOKUP(C798,Stammdaten!$A$11:$B$25,2,FALSE)</f>
        <v>Naturjoghurt 500g</v>
      </c>
      <c r="E798" s="3" t="str">
        <f>VLOOKUP(C798,Stammdaten!$A$11:$C$25,3,FALSE)</f>
        <v>Joghurt</v>
      </c>
      <c r="F798" s="19">
        <f>VLOOKUP(C798,Stammdaten!$A$11:$D$25,4,FALSE)</f>
        <v>0.89</v>
      </c>
      <c r="G798" s="4">
        <f t="shared" si="156"/>
        <v>2</v>
      </c>
      <c r="H798" s="20" t="str">
        <f>VLOOKUP(G798,Stammdaten!$A$30:$B$41,2,FALSE)</f>
        <v>Februar</v>
      </c>
      <c r="I798" s="4">
        <v>583</v>
      </c>
      <c r="J798" s="4">
        <v>560</v>
      </c>
      <c r="K798" s="4">
        <f t="shared" si="157"/>
        <v>-23</v>
      </c>
      <c r="L798" s="27">
        <f t="shared" si="158"/>
        <v>-3.9451114922813035</v>
      </c>
      <c r="M798" s="52" t="str">
        <f t="shared" si="159"/>
        <v>Schwund</v>
      </c>
      <c r="N798" s="28">
        <f t="shared" si="160"/>
        <v>20.47</v>
      </c>
      <c r="O798" s="5">
        <v>5</v>
      </c>
      <c r="P798" s="4">
        <v>4</v>
      </c>
      <c r="Q798" s="28">
        <f t="shared" si="161"/>
        <v>5.1174999999999997</v>
      </c>
      <c r="R798" s="50">
        <f t="shared" si="162"/>
        <v>6.1409999999999991</v>
      </c>
      <c r="S798" s="2" t="str">
        <f t="shared" si="163"/>
        <v>Karneval</v>
      </c>
      <c r="T798" s="4">
        <v>0</v>
      </c>
      <c r="U798" s="4" t="str">
        <f t="shared" si="164"/>
        <v>Nein</v>
      </c>
      <c r="V798" s="4">
        <f t="shared" si="165"/>
        <v>0</v>
      </c>
      <c r="W798" s="19">
        <f t="shared" si="166"/>
        <v>0.89</v>
      </c>
      <c r="X798" s="5">
        <v>0</v>
      </c>
      <c r="Y798" s="28">
        <f t="shared" si="167"/>
        <v>0</v>
      </c>
      <c r="Z798" s="31" t="s">
        <v>172</v>
      </c>
      <c r="AA798" t="str">
        <f t="shared" si="168"/>
        <v>Diebstahlrisiko</v>
      </c>
    </row>
    <row r="799" spans="1:27" x14ac:dyDescent="0.35">
      <c r="A799" s="32" t="s">
        <v>18</v>
      </c>
      <c r="B799" s="2" t="str">
        <f>VLOOKUP(A799,Stammdaten!$A$3:$B$7,2,FALSE)</f>
        <v>Filiale Zentrum</v>
      </c>
      <c r="C799" s="3" t="str" cm="1">
        <f t="array" ref="C799">INDEX(Stammdaten!$A$11:$A$25,INT((ROW()-5)/12)+1 - INT((ROW()-5)/180)*15)</f>
        <v>A007</v>
      </c>
      <c r="D799" s="2" t="str">
        <f>VLOOKUP(C799,Stammdaten!$A$11:$B$25,2,FALSE)</f>
        <v>Naturjoghurt 500g</v>
      </c>
      <c r="E799" s="3" t="str">
        <f>VLOOKUP(C799,Stammdaten!$A$11:$C$25,3,FALSE)</f>
        <v>Joghurt</v>
      </c>
      <c r="F799" s="19">
        <f>VLOOKUP(C799,Stammdaten!$A$11:$D$25,4,FALSE)</f>
        <v>0.89</v>
      </c>
      <c r="G799" s="4">
        <f t="shared" si="156"/>
        <v>3</v>
      </c>
      <c r="H799" s="20" t="str">
        <f>VLOOKUP(G799,Stammdaten!$A$30:$B$41,2,FALSE)</f>
        <v>März</v>
      </c>
      <c r="I799" s="4">
        <v>728</v>
      </c>
      <c r="J799" s="4">
        <v>699</v>
      </c>
      <c r="K799" s="4">
        <f t="shared" si="157"/>
        <v>-29</v>
      </c>
      <c r="L799" s="27">
        <f t="shared" si="158"/>
        <v>-3.9835164835164831</v>
      </c>
      <c r="M799" s="52" t="str">
        <f t="shared" si="159"/>
        <v>Schwund</v>
      </c>
      <c r="N799" s="28">
        <f t="shared" si="160"/>
        <v>25.81</v>
      </c>
      <c r="O799" s="5">
        <v>3</v>
      </c>
      <c r="P799" s="4">
        <v>1</v>
      </c>
      <c r="Q799" s="28">
        <f t="shared" si="161"/>
        <v>6.4524999999999997</v>
      </c>
      <c r="R799" s="50">
        <f t="shared" si="162"/>
        <v>7.7429999999999994</v>
      </c>
      <c r="S799" s="2" t="str">
        <f t="shared" si="163"/>
        <v>Normal</v>
      </c>
      <c r="T799" s="4">
        <v>0</v>
      </c>
      <c r="U799" s="4" t="str">
        <f t="shared" si="164"/>
        <v>Ja - 20% Reduzierung</v>
      </c>
      <c r="V799" s="4">
        <f t="shared" si="165"/>
        <v>20</v>
      </c>
      <c r="W799" s="19">
        <f t="shared" si="166"/>
        <v>0.71</v>
      </c>
      <c r="X799" s="5">
        <v>66</v>
      </c>
      <c r="Y799" s="28">
        <f t="shared" si="167"/>
        <v>11.75</v>
      </c>
      <c r="Z799" s="31" t="s">
        <v>173</v>
      </c>
      <c r="AA799" t="str">
        <f t="shared" si="168"/>
        <v>Diebstahlrisiko</v>
      </c>
    </row>
    <row r="800" spans="1:27" x14ac:dyDescent="0.35">
      <c r="A800" s="32" t="s">
        <v>18</v>
      </c>
      <c r="B800" s="2" t="str">
        <f>VLOOKUP(A800,Stammdaten!$A$3:$B$7,2,FALSE)</f>
        <v>Filiale Zentrum</v>
      </c>
      <c r="C800" s="3" t="str" cm="1">
        <f t="array" ref="C800">INDEX(Stammdaten!$A$11:$A$25,INT((ROW()-5)/12)+1 - INT((ROW()-5)/180)*15)</f>
        <v>A007</v>
      </c>
      <c r="D800" s="2" t="str">
        <f>VLOOKUP(C800,Stammdaten!$A$11:$B$25,2,FALSE)</f>
        <v>Naturjoghurt 500g</v>
      </c>
      <c r="E800" s="3" t="str">
        <f>VLOOKUP(C800,Stammdaten!$A$11:$C$25,3,FALSE)</f>
        <v>Joghurt</v>
      </c>
      <c r="F800" s="19">
        <f>VLOOKUP(C800,Stammdaten!$A$11:$D$25,4,FALSE)</f>
        <v>0.89</v>
      </c>
      <c r="G800" s="4">
        <f t="shared" si="156"/>
        <v>4</v>
      </c>
      <c r="H800" s="20" t="str">
        <f>VLOOKUP(G800,Stammdaten!$A$30:$B$41,2,FALSE)</f>
        <v>April</v>
      </c>
      <c r="I800" s="4">
        <v>885</v>
      </c>
      <c r="J800" s="4">
        <v>860</v>
      </c>
      <c r="K800" s="4">
        <f t="shared" si="157"/>
        <v>-25</v>
      </c>
      <c r="L800" s="27">
        <f t="shared" si="158"/>
        <v>-2.8248587570621471</v>
      </c>
      <c r="M800" s="52" t="str">
        <f t="shared" si="159"/>
        <v>Schwund</v>
      </c>
      <c r="N800" s="28">
        <f t="shared" si="160"/>
        <v>22.25</v>
      </c>
      <c r="O800" s="5">
        <v>12</v>
      </c>
      <c r="P800" s="4">
        <v>1</v>
      </c>
      <c r="Q800" s="28">
        <f t="shared" si="161"/>
        <v>5.5625</v>
      </c>
      <c r="R800" s="50">
        <f t="shared" si="162"/>
        <v>6.6749999999999998</v>
      </c>
      <c r="S800" s="2" t="str">
        <f t="shared" si="163"/>
        <v>Ostern</v>
      </c>
      <c r="T800" s="4">
        <v>0</v>
      </c>
      <c r="U800" s="4" t="str">
        <f t="shared" si="164"/>
        <v>Nein</v>
      </c>
      <c r="V800" s="4">
        <f t="shared" si="165"/>
        <v>0</v>
      </c>
      <c r="W800" s="19">
        <f t="shared" si="166"/>
        <v>0.89</v>
      </c>
      <c r="X800" s="5">
        <v>0</v>
      </c>
      <c r="Y800" s="28">
        <f t="shared" si="167"/>
        <v>0</v>
      </c>
      <c r="Z800" s="31" t="s">
        <v>172</v>
      </c>
      <c r="AA800" t="str">
        <f t="shared" si="168"/>
        <v>Buchungsfehler Wareneingang</v>
      </c>
    </row>
    <row r="801" spans="1:27" x14ac:dyDescent="0.35">
      <c r="A801" s="32" t="s">
        <v>18</v>
      </c>
      <c r="B801" s="2" t="str">
        <f>VLOOKUP(A801,Stammdaten!$A$3:$B$7,2,FALSE)</f>
        <v>Filiale Zentrum</v>
      </c>
      <c r="C801" s="3" t="str" cm="1">
        <f t="array" ref="C801">INDEX(Stammdaten!$A$11:$A$25,INT((ROW()-5)/12)+1 - INT((ROW()-5)/180)*15)</f>
        <v>A007</v>
      </c>
      <c r="D801" s="2" t="str">
        <f>VLOOKUP(C801,Stammdaten!$A$11:$B$25,2,FALSE)</f>
        <v>Naturjoghurt 500g</v>
      </c>
      <c r="E801" s="3" t="str">
        <f>VLOOKUP(C801,Stammdaten!$A$11:$C$25,3,FALSE)</f>
        <v>Joghurt</v>
      </c>
      <c r="F801" s="19">
        <f>VLOOKUP(C801,Stammdaten!$A$11:$D$25,4,FALSE)</f>
        <v>0.89</v>
      </c>
      <c r="G801" s="4">
        <f t="shared" si="156"/>
        <v>5</v>
      </c>
      <c r="H801" s="20" t="str">
        <f>VLOOKUP(G801,Stammdaten!$A$30:$B$41,2,FALSE)</f>
        <v>Mai</v>
      </c>
      <c r="I801" s="4">
        <v>736</v>
      </c>
      <c r="J801" s="4">
        <v>716</v>
      </c>
      <c r="K801" s="4">
        <f t="shared" si="157"/>
        <v>-20</v>
      </c>
      <c r="L801" s="27">
        <f t="shared" si="158"/>
        <v>-2.7173913043478262</v>
      </c>
      <c r="M801" s="52" t="str">
        <f t="shared" si="159"/>
        <v>Schwund</v>
      </c>
      <c r="N801" s="28">
        <f t="shared" si="160"/>
        <v>17.8</v>
      </c>
      <c r="O801" s="5">
        <v>12</v>
      </c>
      <c r="P801" s="4">
        <v>5</v>
      </c>
      <c r="Q801" s="28">
        <f t="shared" si="161"/>
        <v>4.45</v>
      </c>
      <c r="R801" s="50">
        <f t="shared" si="162"/>
        <v>5.34</v>
      </c>
      <c r="S801" s="2" t="str">
        <f t="shared" si="163"/>
        <v>Normal</v>
      </c>
      <c r="T801" s="4">
        <v>0</v>
      </c>
      <c r="U801" s="4" t="str">
        <f t="shared" si="164"/>
        <v>Nein</v>
      </c>
      <c r="V801" s="4">
        <f t="shared" si="165"/>
        <v>0</v>
      </c>
      <c r="W801" s="19">
        <f t="shared" si="166"/>
        <v>0.89</v>
      </c>
      <c r="X801" s="5">
        <v>0</v>
      </c>
      <c r="Y801" s="28">
        <f t="shared" si="167"/>
        <v>0</v>
      </c>
      <c r="Z801" s="31" t="s">
        <v>172</v>
      </c>
      <c r="AA801" t="str">
        <f t="shared" si="168"/>
        <v>Prozessfehler</v>
      </c>
    </row>
    <row r="802" spans="1:27" x14ac:dyDescent="0.35">
      <c r="A802" s="32" t="s">
        <v>18</v>
      </c>
      <c r="B802" s="2" t="str">
        <f>VLOOKUP(A802,Stammdaten!$A$3:$B$7,2,FALSE)</f>
        <v>Filiale Zentrum</v>
      </c>
      <c r="C802" s="3" t="str" cm="1">
        <f t="array" ref="C802">INDEX(Stammdaten!$A$11:$A$25,INT((ROW()-5)/12)+1 - INT((ROW()-5)/180)*15)</f>
        <v>A007</v>
      </c>
      <c r="D802" s="2" t="str">
        <f>VLOOKUP(C802,Stammdaten!$A$11:$B$25,2,FALSE)</f>
        <v>Naturjoghurt 500g</v>
      </c>
      <c r="E802" s="3" t="str">
        <f>VLOOKUP(C802,Stammdaten!$A$11:$C$25,3,FALSE)</f>
        <v>Joghurt</v>
      </c>
      <c r="F802" s="19">
        <f>VLOOKUP(C802,Stammdaten!$A$11:$D$25,4,FALSE)</f>
        <v>0.89</v>
      </c>
      <c r="G802" s="4">
        <f t="shared" si="156"/>
        <v>6</v>
      </c>
      <c r="H802" s="20" t="str">
        <f>VLOOKUP(G802,Stammdaten!$A$30:$B$41,2,FALSE)</f>
        <v>Juni</v>
      </c>
      <c r="I802" s="4">
        <v>794</v>
      </c>
      <c r="J802" s="4">
        <v>795</v>
      </c>
      <c r="K802" s="4">
        <f t="shared" si="157"/>
        <v>1</v>
      </c>
      <c r="L802" s="27">
        <f t="shared" si="158"/>
        <v>0.12594458438287154</v>
      </c>
      <c r="M802" s="52" t="str">
        <f t="shared" si="159"/>
        <v>Überbestand</v>
      </c>
      <c r="N802" s="28">
        <f t="shared" si="160"/>
        <v>0.89</v>
      </c>
      <c r="O802" s="5">
        <v>2</v>
      </c>
      <c r="P802" s="4">
        <v>2</v>
      </c>
      <c r="Q802" s="28">
        <f t="shared" si="161"/>
        <v>0</v>
      </c>
      <c r="R802" s="50">
        <f t="shared" si="162"/>
        <v>0</v>
      </c>
      <c r="S802" s="2" t="str">
        <f t="shared" si="163"/>
        <v>Normal</v>
      </c>
      <c r="T802" s="4">
        <v>1</v>
      </c>
      <c r="U802" s="4" t="str">
        <f t="shared" si="164"/>
        <v>Ja - 20% Reduzierung</v>
      </c>
      <c r="V802" s="4">
        <f t="shared" si="165"/>
        <v>20</v>
      </c>
      <c r="W802" s="19">
        <f t="shared" si="166"/>
        <v>0.71</v>
      </c>
      <c r="X802" s="5">
        <v>40</v>
      </c>
      <c r="Y802" s="28">
        <f t="shared" si="167"/>
        <v>7.12</v>
      </c>
      <c r="Z802" s="31" t="s">
        <v>173</v>
      </c>
      <c r="AA802" t="str">
        <f t="shared" si="168"/>
        <v>Kassenfehler (Überbestand)</v>
      </c>
    </row>
    <row r="803" spans="1:27" x14ac:dyDescent="0.35">
      <c r="A803" s="32" t="s">
        <v>18</v>
      </c>
      <c r="B803" s="2" t="str">
        <f>VLOOKUP(A803,Stammdaten!$A$3:$B$7,2,FALSE)</f>
        <v>Filiale Zentrum</v>
      </c>
      <c r="C803" s="3" t="str" cm="1">
        <f t="array" ref="C803">INDEX(Stammdaten!$A$11:$A$25,INT((ROW()-5)/12)+1 - INT((ROW()-5)/180)*15)</f>
        <v>A007</v>
      </c>
      <c r="D803" s="2" t="str">
        <f>VLOOKUP(C803,Stammdaten!$A$11:$B$25,2,FALSE)</f>
        <v>Naturjoghurt 500g</v>
      </c>
      <c r="E803" s="3" t="str">
        <f>VLOOKUP(C803,Stammdaten!$A$11:$C$25,3,FALSE)</f>
        <v>Joghurt</v>
      </c>
      <c r="F803" s="19">
        <f>VLOOKUP(C803,Stammdaten!$A$11:$D$25,4,FALSE)</f>
        <v>0.89</v>
      </c>
      <c r="G803" s="4">
        <f t="shared" si="156"/>
        <v>7</v>
      </c>
      <c r="H803" s="20" t="str">
        <f>VLOOKUP(G803,Stammdaten!$A$30:$B$41,2,FALSE)</f>
        <v>Juli</v>
      </c>
      <c r="I803" s="4">
        <v>884</v>
      </c>
      <c r="J803" s="4">
        <v>840</v>
      </c>
      <c r="K803" s="4">
        <f t="shared" si="157"/>
        <v>-44</v>
      </c>
      <c r="L803" s="27">
        <f t="shared" si="158"/>
        <v>-4.9773755656108598</v>
      </c>
      <c r="M803" s="52" t="str">
        <f t="shared" si="159"/>
        <v>Schwund</v>
      </c>
      <c r="N803" s="28">
        <f t="shared" si="160"/>
        <v>39.160000000000004</v>
      </c>
      <c r="O803" s="5">
        <v>4</v>
      </c>
      <c r="P803" s="4">
        <v>0</v>
      </c>
      <c r="Q803" s="28">
        <f t="shared" si="161"/>
        <v>9.7900000000000009</v>
      </c>
      <c r="R803" s="50">
        <f t="shared" si="162"/>
        <v>11.748000000000001</v>
      </c>
      <c r="S803" s="2" t="str">
        <f t="shared" si="163"/>
        <v>Normal</v>
      </c>
      <c r="T803" s="4">
        <v>0</v>
      </c>
      <c r="U803" s="4" t="str">
        <f t="shared" si="164"/>
        <v>Nein</v>
      </c>
      <c r="V803" s="4">
        <f t="shared" si="165"/>
        <v>0</v>
      </c>
      <c r="W803" s="19">
        <f t="shared" si="166"/>
        <v>0.89</v>
      </c>
      <c r="X803" s="5">
        <v>0</v>
      </c>
      <c r="Y803" s="28">
        <f t="shared" si="167"/>
        <v>0</v>
      </c>
      <c r="Z803" s="31" t="s">
        <v>172</v>
      </c>
      <c r="AA803" t="str">
        <f t="shared" si="168"/>
        <v>Diebstahlrisiko</v>
      </c>
    </row>
    <row r="804" spans="1:27" x14ac:dyDescent="0.35">
      <c r="A804" s="32" t="s">
        <v>18</v>
      </c>
      <c r="B804" s="2" t="str">
        <f>VLOOKUP(A804,Stammdaten!$A$3:$B$7,2,FALSE)</f>
        <v>Filiale Zentrum</v>
      </c>
      <c r="C804" s="3" t="str" cm="1">
        <f t="array" ref="C804">INDEX(Stammdaten!$A$11:$A$25,INT((ROW()-5)/12)+1 - INT((ROW()-5)/180)*15)</f>
        <v>A007</v>
      </c>
      <c r="D804" s="2" t="str">
        <f>VLOOKUP(C804,Stammdaten!$A$11:$B$25,2,FALSE)</f>
        <v>Naturjoghurt 500g</v>
      </c>
      <c r="E804" s="3" t="str">
        <f>VLOOKUP(C804,Stammdaten!$A$11:$C$25,3,FALSE)</f>
        <v>Joghurt</v>
      </c>
      <c r="F804" s="19">
        <f>VLOOKUP(C804,Stammdaten!$A$11:$D$25,4,FALSE)</f>
        <v>0.89</v>
      </c>
      <c r="G804" s="4">
        <f t="shared" si="156"/>
        <v>8</v>
      </c>
      <c r="H804" s="20" t="str">
        <f>VLOOKUP(G804,Stammdaten!$A$30:$B$41,2,FALSE)</f>
        <v>August</v>
      </c>
      <c r="I804" s="4">
        <v>789</v>
      </c>
      <c r="J804" s="4">
        <v>752</v>
      </c>
      <c r="K804" s="4">
        <f t="shared" si="157"/>
        <v>-37</v>
      </c>
      <c r="L804" s="27">
        <f t="shared" si="158"/>
        <v>-4.6894803548795947</v>
      </c>
      <c r="M804" s="52" t="str">
        <f t="shared" si="159"/>
        <v>Schwund</v>
      </c>
      <c r="N804" s="28">
        <f t="shared" si="160"/>
        <v>32.93</v>
      </c>
      <c r="O804" s="5">
        <v>10</v>
      </c>
      <c r="P804" s="4">
        <v>3</v>
      </c>
      <c r="Q804" s="28">
        <f t="shared" si="161"/>
        <v>8.2324999999999999</v>
      </c>
      <c r="R804" s="50">
        <f t="shared" si="162"/>
        <v>9.8789999999999996</v>
      </c>
      <c r="S804" s="2" t="str">
        <f t="shared" si="163"/>
        <v>Normal</v>
      </c>
      <c r="T804" s="4">
        <v>0</v>
      </c>
      <c r="U804" s="4" t="str">
        <f t="shared" si="164"/>
        <v>Nein</v>
      </c>
      <c r="V804" s="4">
        <f t="shared" si="165"/>
        <v>0</v>
      </c>
      <c r="W804" s="19">
        <f t="shared" si="166"/>
        <v>0.89</v>
      </c>
      <c r="X804" s="5">
        <v>0</v>
      </c>
      <c r="Y804" s="28">
        <f t="shared" si="167"/>
        <v>0</v>
      </c>
      <c r="Z804" s="31" t="s">
        <v>172</v>
      </c>
      <c r="AA804" t="str">
        <f t="shared" si="168"/>
        <v>Diebstahlrisiko</v>
      </c>
    </row>
    <row r="805" spans="1:27" x14ac:dyDescent="0.35">
      <c r="A805" s="32" t="s">
        <v>18</v>
      </c>
      <c r="B805" s="2" t="str">
        <f>VLOOKUP(A805,Stammdaten!$A$3:$B$7,2,FALSE)</f>
        <v>Filiale Zentrum</v>
      </c>
      <c r="C805" s="3" t="str" cm="1">
        <f t="array" ref="C805">INDEX(Stammdaten!$A$11:$A$25,INT((ROW()-5)/12)+1 - INT((ROW()-5)/180)*15)</f>
        <v>A007</v>
      </c>
      <c r="D805" s="2" t="str">
        <f>VLOOKUP(C805,Stammdaten!$A$11:$B$25,2,FALSE)</f>
        <v>Naturjoghurt 500g</v>
      </c>
      <c r="E805" s="3" t="str">
        <f>VLOOKUP(C805,Stammdaten!$A$11:$C$25,3,FALSE)</f>
        <v>Joghurt</v>
      </c>
      <c r="F805" s="19">
        <f>VLOOKUP(C805,Stammdaten!$A$11:$D$25,4,FALSE)</f>
        <v>0.89</v>
      </c>
      <c r="G805" s="4">
        <f t="shared" si="156"/>
        <v>9</v>
      </c>
      <c r="H805" s="20" t="str">
        <f>VLOOKUP(G805,Stammdaten!$A$30:$B$41,2,FALSE)</f>
        <v>September</v>
      </c>
      <c r="I805" s="4">
        <v>652</v>
      </c>
      <c r="J805" s="4">
        <v>626</v>
      </c>
      <c r="K805" s="4">
        <f t="shared" si="157"/>
        <v>-26</v>
      </c>
      <c r="L805" s="27">
        <f t="shared" si="158"/>
        <v>-3.9877300613496933</v>
      </c>
      <c r="M805" s="52" t="str">
        <f t="shared" si="159"/>
        <v>Schwund</v>
      </c>
      <c r="N805" s="28">
        <f t="shared" si="160"/>
        <v>23.14</v>
      </c>
      <c r="O805" s="5">
        <v>2</v>
      </c>
      <c r="P805" s="4">
        <v>1</v>
      </c>
      <c r="Q805" s="28">
        <f t="shared" si="161"/>
        <v>5.7850000000000001</v>
      </c>
      <c r="R805" s="50">
        <f t="shared" si="162"/>
        <v>6.9420000000000002</v>
      </c>
      <c r="S805" s="2" t="str">
        <f t="shared" si="163"/>
        <v>Normal</v>
      </c>
      <c r="T805" s="4">
        <v>0</v>
      </c>
      <c r="U805" s="4" t="str">
        <f t="shared" si="164"/>
        <v>Ja - 20% Reduzierung</v>
      </c>
      <c r="V805" s="4">
        <f t="shared" si="165"/>
        <v>20</v>
      </c>
      <c r="W805" s="19">
        <f t="shared" si="166"/>
        <v>0.71</v>
      </c>
      <c r="X805" s="5">
        <v>33</v>
      </c>
      <c r="Y805" s="28">
        <f t="shared" si="167"/>
        <v>5.87</v>
      </c>
      <c r="Z805" s="31" t="s">
        <v>173</v>
      </c>
      <c r="AA805" t="str">
        <f t="shared" si="168"/>
        <v>Diebstahlrisiko</v>
      </c>
    </row>
    <row r="806" spans="1:27" x14ac:dyDescent="0.35">
      <c r="A806" s="32" t="s">
        <v>18</v>
      </c>
      <c r="B806" s="2" t="str">
        <f>VLOOKUP(A806,Stammdaten!$A$3:$B$7,2,FALSE)</f>
        <v>Filiale Zentrum</v>
      </c>
      <c r="C806" s="3" t="str" cm="1">
        <f t="array" ref="C806">INDEX(Stammdaten!$A$11:$A$25,INT((ROW()-5)/12)+1 - INT((ROW()-5)/180)*15)</f>
        <v>A007</v>
      </c>
      <c r="D806" s="2" t="str">
        <f>VLOOKUP(C806,Stammdaten!$A$11:$B$25,2,FALSE)</f>
        <v>Naturjoghurt 500g</v>
      </c>
      <c r="E806" s="3" t="str">
        <f>VLOOKUP(C806,Stammdaten!$A$11:$C$25,3,FALSE)</f>
        <v>Joghurt</v>
      </c>
      <c r="F806" s="19">
        <f>VLOOKUP(C806,Stammdaten!$A$11:$D$25,4,FALSE)</f>
        <v>0.89</v>
      </c>
      <c r="G806" s="4">
        <f t="shared" si="156"/>
        <v>10</v>
      </c>
      <c r="H806" s="20" t="str">
        <f>VLOOKUP(G806,Stammdaten!$A$30:$B$41,2,FALSE)</f>
        <v>Oktober</v>
      </c>
      <c r="I806" s="4">
        <v>694</v>
      </c>
      <c r="J806" s="4">
        <v>663</v>
      </c>
      <c r="K806" s="4">
        <f t="shared" si="157"/>
        <v>-31</v>
      </c>
      <c r="L806" s="27">
        <f t="shared" si="158"/>
        <v>-4.46685878962536</v>
      </c>
      <c r="M806" s="52" t="str">
        <f t="shared" si="159"/>
        <v>Schwund</v>
      </c>
      <c r="N806" s="28">
        <f t="shared" si="160"/>
        <v>27.59</v>
      </c>
      <c r="O806" s="5">
        <v>5</v>
      </c>
      <c r="P806" s="4">
        <v>1</v>
      </c>
      <c r="Q806" s="28">
        <f t="shared" si="161"/>
        <v>6.8975</v>
      </c>
      <c r="R806" s="50">
        <f t="shared" si="162"/>
        <v>8.2769999999999992</v>
      </c>
      <c r="S806" s="2" t="str">
        <f t="shared" si="163"/>
        <v>Normal</v>
      </c>
      <c r="T806" s="4">
        <v>0</v>
      </c>
      <c r="U806" s="4" t="str">
        <f t="shared" si="164"/>
        <v>Nein</v>
      </c>
      <c r="V806" s="4">
        <f t="shared" si="165"/>
        <v>0</v>
      </c>
      <c r="W806" s="19">
        <f t="shared" si="166"/>
        <v>0.89</v>
      </c>
      <c r="X806" s="5">
        <v>0</v>
      </c>
      <c r="Y806" s="28">
        <f t="shared" si="167"/>
        <v>0</v>
      </c>
      <c r="Z806" s="31" t="s">
        <v>172</v>
      </c>
      <c r="AA806" t="str">
        <f t="shared" si="168"/>
        <v>Diebstahlrisiko</v>
      </c>
    </row>
    <row r="807" spans="1:27" x14ac:dyDescent="0.35">
      <c r="A807" s="32" t="s">
        <v>18</v>
      </c>
      <c r="B807" s="2" t="str">
        <f>VLOOKUP(A807,Stammdaten!$A$3:$B$7,2,FALSE)</f>
        <v>Filiale Zentrum</v>
      </c>
      <c r="C807" s="3" t="str" cm="1">
        <f t="array" ref="C807">INDEX(Stammdaten!$A$11:$A$25,INT((ROW()-5)/12)+1 - INT((ROW()-5)/180)*15)</f>
        <v>A007</v>
      </c>
      <c r="D807" s="2" t="str">
        <f>VLOOKUP(C807,Stammdaten!$A$11:$B$25,2,FALSE)</f>
        <v>Naturjoghurt 500g</v>
      </c>
      <c r="E807" s="3" t="str">
        <f>VLOOKUP(C807,Stammdaten!$A$11:$C$25,3,FALSE)</f>
        <v>Joghurt</v>
      </c>
      <c r="F807" s="19">
        <f>VLOOKUP(C807,Stammdaten!$A$11:$D$25,4,FALSE)</f>
        <v>0.89</v>
      </c>
      <c r="G807" s="4">
        <f t="shared" si="156"/>
        <v>11</v>
      </c>
      <c r="H807" s="20" t="str">
        <f>VLOOKUP(G807,Stammdaten!$A$30:$B$41,2,FALSE)</f>
        <v>November</v>
      </c>
      <c r="I807" s="4">
        <v>771</v>
      </c>
      <c r="J807" s="4">
        <v>779</v>
      </c>
      <c r="K807" s="4">
        <f t="shared" si="157"/>
        <v>8</v>
      </c>
      <c r="L807" s="27">
        <f t="shared" si="158"/>
        <v>1.0376134889753565</v>
      </c>
      <c r="M807" s="52" t="str">
        <f t="shared" si="159"/>
        <v>Überbestand</v>
      </c>
      <c r="N807" s="28">
        <f t="shared" si="160"/>
        <v>7.12</v>
      </c>
      <c r="O807" s="5">
        <v>14</v>
      </c>
      <c r="P807" s="4">
        <v>2</v>
      </c>
      <c r="Q807" s="28">
        <f t="shared" si="161"/>
        <v>0</v>
      </c>
      <c r="R807" s="50">
        <f t="shared" si="162"/>
        <v>0</v>
      </c>
      <c r="S807" s="2" t="str">
        <f t="shared" si="163"/>
        <v>Black Friday</v>
      </c>
      <c r="T807" s="4">
        <v>8</v>
      </c>
      <c r="U807" s="4" t="str">
        <f t="shared" si="164"/>
        <v>Nein</v>
      </c>
      <c r="V807" s="4">
        <f t="shared" si="165"/>
        <v>0</v>
      </c>
      <c r="W807" s="19">
        <f t="shared" si="166"/>
        <v>0.89</v>
      </c>
      <c r="X807" s="5">
        <v>0</v>
      </c>
      <c r="Y807" s="28">
        <f t="shared" si="167"/>
        <v>0</v>
      </c>
      <c r="Z807" s="31" t="s">
        <v>172</v>
      </c>
      <c r="AA807" t="str">
        <f t="shared" si="168"/>
        <v>Kassenfehler (Überbestand)</v>
      </c>
    </row>
    <row r="808" spans="1:27" x14ac:dyDescent="0.35">
      <c r="A808" s="32" t="s">
        <v>18</v>
      </c>
      <c r="B808" s="2" t="str">
        <f>VLOOKUP(A808,Stammdaten!$A$3:$B$7,2,FALSE)</f>
        <v>Filiale Zentrum</v>
      </c>
      <c r="C808" s="3" t="str" cm="1">
        <f t="array" ref="C808">INDEX(Stammdaten!$A$11:$A$25,INT((ROW()-5)/12)+1 - INT((ROW()-5)/180)*15)</f>
        <v>A007</v>
      </c>
      <c r="D808" s="2" t="str">
        <f>VLOOKUP(C808,Stammdaten!$A$11:$B$25,2,FALSE)</f>
        <v>Naturjoghurt 500g</v>
      </c>
      <c r="E808" s="3" t="str">
        <f>VLOOKUP(C808,Stammdaten!$A$11:$C$25,3,FALSE)</f>
        <v>Joghurt</v>
      </c>
      <c r="F808" s="19">
        <f>VLOOKUP(C808,Stammdaten!$A$11:$D$25,4,FALSE)</f>
        <v>0.89</v>
      </c>
      <c r="G808" s="4">
        <f t="shared" si="156"/>
        <v>12</v>
      </c>
      <c r="H808" s="20" t="str">
        <f>VLOOKUP(G808,Stammdaten!$A$30:$B$41,2,FALSE)</f>
        <v>Dezember</v>
      </c>
      <c r="I808" s="4">
        <v>1011</v>
      </c>
      <c r="J808" s="4">
        <v>950</v>
      </c>
      <c r="K808" s="4">
        <f t="shared" si="157"/>
        <v>-61</v>
      </c>
      <c r="L808" s="27">
        <f t="shared" si="158"/>
        <v>-6.0336300692383782</v>
      </c>
      <c r="M808" s="52" t="str">
        <f t="shared" si="159"/>
        <v>Schwund</v>
      </c>
      <c r="N808" s="28">
        <f t="shared" si="160"/>
        <v>54.29</v>
      </c>
      <c r="O808" s="5">
        <v>3</v>
      </c>
      <c r="P808" s="4">
        <v>3</v>
      </c>
      <c r="Q808" s="28">
        <f t="shared" si="161"/>
        <v>13.5725</v>
      </c>
      <c r="R808" s="50">
        <f t="shared" si="162"/>
        <v>16.286999999999999</v>
      </c>
      <c r="S808" s="2" t="str">
        <f t="shared" si="163"/>
        <v>Weihnachten/Silvester</v>
      </c>
      <c r="T808" s="4">
        <v>0</v>
      </c>
      <c r="U808" s="4" t="str">
        <f t="shared" si="164"/>
        <v>Ja - 20% Reduzierung</v>
      </c>
      <c r="V808" s="4">
        <f t="shared" si="165"/>
        <v>20</v>
      </c>
      <c r="W808" s="19">
        <f t="shared" si="166"/>
        <v>0.71</v>
      </c>
      <c r="X808" s="5">
        <v>101</v>
      </c>
      <c r="Y808" s="28">
        <f t="shared" si="167"/>
        <v>17.98</v>
      </c>
      <c r="Z808" s="31" t="s">
        <v>173</v>
      </c>
      <c r="AA808" t="str">
        <f t="shared" si="168"/>
        <v>Diebstahlrisiko</v>
      </c>
    </row>
    <row r="809" spans="1:27" x14ac:dyDescent="0.35">
      <c r="A809" s="32" t="s">
        <v>18</v>
      </c>
      <c r="B809" s="2" t="str">
        <f>VLOOKUP(A809,Stammdaten!$A$3:$B$7,2,FALSE)</f>
        <v>Filiale Zentrum</v>
      </c>
      <c r="C809" s="3" t="str" cm="1">
        <f t="array" ref="C809">INDEX(Stammdaten!$A$11:$A$25,INT((ROW()-5)/12)+1 - INT((ROW()-5)/180)*15)</f>
        <v>A008</v>
      </c>
      <c r="D809" s="2" t="str">
        <f>VLOOKUP(C809,Stammdaten!$A$11:$B$25,2,FALSE)</f>
        <v>Fruchtjoghurt 4er</v>
      </c>
      <c r="E809" s="3" t="str">
        <f>VLOOKUP(C809,Stammdaten!$A$11:$C$25,3,FALSE)</f>
        <v>Joghurt</v>
      </c>
      <c r="F809" s="19">
        <f>VLOOKUP(C809,Stammdaten!$A$11:$D$25,4,FALSE)</f>
        <v>1.89</v>
      </c>
      <c r="G809" s="4">
        <f t="shared" si="156"/>
        <v>1</v>
      </c>
      <c r="H809" s="20" t="str">
        <f>VLOOKUP(G809,Stammdaten!$A$30:$B$41,2,FALSE)</f>
        <v>Januar</v>
      </c>
      <c r="I809" s="4">
        <v>393</v>
      </c>
      <c r="J809" s="4">
        <v>376</v>
      </c>
      <c r="K809" s="4">
        <f t="shared" si="157"/>
        <v>-17</v>
      </c>
      <c r="L809" s="27">
        <f t="shared" si="158"/>
        <v>-4.3256997455470731</v>
      </c>
      <c r="M809" s="52" t="str">
        <f t="shared" si="159"/>
        <v>Schwund</v>
      </c>
      <c r="N809" s="28">
        <f t="shared" si="160"/>
        <v>32.129999999999995</v>
      </c>
      <c r="O809" s="5">
        <v>10</v>
      </c>
      <c r="P809" s="4">
        <v>5</v>
      </c>
      <c r="Q809" s="28">
        <f t="shared" si="161"/>
        <v>8.0324999999999989</v>
      </c>
      <c r="R809" s="50">
        <f t="shared" si="162"/>
        <v>9.6389999999999976</v>
      </c>
      <c r="S809" s="2" t="str">
        <f t="shared" si="163"/>
        <v>Normal</v>
      </c>
      <c r="T809" s="4">
        <v>0</v>
      </c>
      <c r="U809" s="4" t="str">
        <f t="shared" si="164"/>
        <v>Nein</v>
      </c>
      <c r="V809" s="4">
        <f t="shared" si="165"/>
        <v>0</v>
      </c>
      <c r="W809" s="19">
        <f t="shared" si="166"/>
        <v>1.89</v>
      </c>
      <c r="X809" s="5">
        <v>0</v>
      </c>
      <c r="Y809" s="28">
        <f t="shared" si="167"/>
        <v>0</v>
      </c>
      <c r="Z809" s="31" t="s">
        <v>172</v>
      </c>
      <c r="AA809" t="str">
        <f t="shared" si="168"/>
        <v>Diebstahlrisiko</v>
      </c>
    </row>
    <row r="810" spans="1:27" x14ac:dyDescent="0.35">
      <c r="A810" s="32" t="s">
        <v>18</v>
      </c>
      <c r="B810" s="2" t="str">
        <f>VLOOKUP(A810,Stammdaten!$A$3:$B$7,2,FALSE)</f>
        <v>Filiale Zentrum</v>
      </c>
      <c r="C810" s="3" t="str" cm="1">
        <f t="array" ref="C810">INDEX(Stammdaten!$A$11:$A$25,INT((ROW()-5)/12)+1 - INT((ROW()-5)/180)*15)</f>
        <v>A008</v>
      </c>
      <c r="D810" s="2" t="str">
        <f>VLOOKUP(C810,Stammdaten!$A$11:$B$25,2,FALSE)</f>
        <v>Fruchtjoghurt 4er</v>
      </c>
      <c r="E810" s="3" t="str">
        <f>VLOOKUP(C810,Stammdaten!$A$11:$C$25,3,FALSE)</f>
        <v>Joghurt</v>
      </c>
      <c r="F810" s="19">
        <f>VLOOKUP(C810,Stammdaten!$A$11:$D$25,4,FALSE)</f>
        <v>1.89</v>
      </c>
      <c r="G810" s="4">
        <f t="shared" si="156"/>
        <v>2</v>
      </c>
      <c r="H810" s="20" t="str">
        <f>VLOOKUP(G810,Stammdaten!$A$30:$B$41,2,FALSE)</f>
        <v>Februar</v>
      </c>
      <c r="I810" s="4">
        <v>387</v>
      </c>
      <c r="J810" s="4">
        <v>369</v>
      </c>
      <c r="K810" s="4">
        <f t="shared" si="157"/>
        <v>-18</v>
      </c>
      <c r="L810" s="27">
        <f t="shared" si="158"/>
        <v>-4.6511627906976747</v>
      </c>
      <c r="M810" s="52" t="str">
        <f t="shared" si="159"/>
        <v>Schwund</v>
      </c>
      <c r="N810" s="28">
        <f t="shared" si="160"/>
        <v>34.019999999999996</v>
      </c>
      <c r="O810" s="5">
        <v>13</v>
      </c>
      <c r="P810" s="4">
        <v>0</v>
      </c>
      <c r="Q810" s="28">
        <f t="shared" si="161"/>
        <v>8.504999999999999</v>
      </c>
      <c r="R810" s="50">
        <f t="shared" si="162"/>
        <v>10.205999999999998</v>
      </c>
      <c r="S810" s="2" t="str">
        <f t="shared" si="163"/>
        <v>Karneval</v>
      </c>
      <c r="T810" s="4">
        <v>0</v>
      </c>
      <c r="U810" s="4" t="str">
        <f t="shared" si="164"/>
        <v>Nein</v>
      </c>
      <c r="V810" s="4">
        <f t="shared" si="165"/>
        <v>0</v>
      </c>
      <c r="W810" s="19">
        <f t="shared" si="166"/>
        <v>1.89</v>
      </c>
      <c r="X810" s="5">
        <v>0</v>
      </c>
      <c r="Y810" s="28">
        <f t="shared" si="167"/>
        <v>0</v>
      </c>
      <c r="Z810" s="31" t="s">
        <v>172</v>
      </c>
      <c r="AA810" t="str">
        <f t="shared" si="168"/>
        <v>Diebstahlrisiko</v>
      </c>
    </row>
    <row r="811" spans="1:27" x14ac:dyDescent="0.35">
      <c r="A811" s="32" t="s">
        <v>18</v>
      </c>
      <c r="B811" s="2" t="str">
        <f>VLOOKUP(A811,Stammdaten!$A$3:$B$7,2,FALSE)</f>
        <v>Filiale Zentrum</v>
      </c>
      <c r="C811" s="3" t="str" cm="1">
        <f t="array" ref="C811">INDEX(Stammdaten!$A$11:$A$25,INT((ROW()-5)/12)+1 - INT((ROW()-5)/180)*15)</f>
        <v>A008</v>
      </c>
      <c r="D811" s="2" t="str">
        <f>VLOOKUP(C811,Stammdaten!$A$11:$B$25,2,FALSE)</f>
        <v>Fruchtjoghurt 4er</v>
      </c>
      <c r="E811" s="3" t="str">
        <f>VLOOKUP(C811,Stammdaten!$A$11:$C$25,3,FALSE)</f>
        <v>Joghurt</v>
      </c>
      <c r="F811" s="19">
        <f>VLOOKUP(C811,Stammdaten!$A$11:$D$25,4,FALSE)</f>
        <v>1.89</v>
      </c>
      <c r="G811" s="4">
        <f t="shared" si="156"/>
        <v>3</v>
      </c>
      <c r="H811" s="20" t="str">
        <f>VLOOKUP(G811,Stammdaten!$A$30:$B$41,2,FALSE)</f>
        <v>März</v>
      </c>
      <c r="I811" s="4">
        <v>463</v>
      </c>
      <c r="J811" s="4">
        <v>441</v>
      </c>
      <c r="K811" s="4">
        <f t="shared" si="157"/>
        <v>-22</v>
      </c>
      <c r="L811" s="27">
        <f t="shared" si="158"/>
        <v>-4.7516198704103676</v>
      </c>
      <c r="M811" s="52" t="str">
        <f t="shared" si="159"/>
        <v>Schwund</v>
      </c>
      <c r="N811" s="28">
        <f t="shared" si="160"/>
        <v>41.58</v>
      </c>
      <c r="O811" s="5">
        <v>13</v>
      </c>
      <c r="P811" s="4">
        <v>3</v>
      </c>
      <c r="Q811" s="28">
        <f t="shared" si="161"/>
        <v>10.395</v>
      </c>
      <c r="R811" s="50">
        <f t="shared" si="162"/>
        <v>12.473999999999998</v>
      </c>
      <c r="S811" s="2" t="str">
        <f t="shared" si="163"/>
        <v>Normal</v>
      </c>
      <c r="T811" s="4">
        <v>0</v>
      </c>
      <c r="U811" s="4" t="str">
        <f t="shared" si="164"/>
        <v>Nein</v>
      </c>
      <c r="V811" s="4">
        <f t="shared" si="165"/>
        <v>0</v>
      </c>
      <c r="W811" s="19">
        <f t="shared" si="166"/>
        <v>1.89</v>
      </c>
      <c r="X811" s="5">
        <v>0</v>
      </c>
      <c r="Y811" s="28">
        <f t="shared" si="167"/>
        <v>0</v>
      </c>
      <c r="Z811" s="31" t="s">
        <v>172</v>
      </c>
      <c r="AA811" t="str">
        <f t="shared" si="168"/>
        <v>Diebstahlrisiko</v>
      </c>
    </row>
    <row r="812" spans="1:27" x14ac:dyDescent="0.35">
      <c r="A812" s="32" t="s">
        <v>18</v>
      </c>
      <c r="B812" s="2" t="str">
        <f>VLOOKUP(A812,Stammdaten!$A$3:$B$7,2,FALSE)</f>
        <v>Filiale Zentrum</v>
      </c>
      <c r="C812" s="3" t="str" cm="1">
        <f t="array" ref="C812">INDEX(Stammdaten!$A$11:$A$25,INT((ROW()-5)/12)+1 - INT((ROW()-5)/180)*15)</f>
        <v>A008</v>
      </c>
      <c r="D812" s="2" t="str">
        <f>VLOOKUP(C812,Stammdaten!$A$11:$B$25,2,FALSE)</f>
        <v>Fruchtjoghurt 4er</v>
      </c>
      <c r="E812" s="3" t="str">
        <f>VLOOKUP(C812,Stammdaten!$A$11:$C$25,3,FALSE)</f>
        <v>Joghurt</v>
      </c>
      <c r="F812" s="19">
        <f>VLOOKUP(C812,Stammdaten!$A$11:$D$25,4,FALSE)</f>
        <v>1.89</v>
      </c>
      <c r="G812" s="4">
        <f t="shared" si="156"/>
        <v>4</v>
      </c>
      <c r="H812" s="20" t="str">
        <f>VLOOKUP(G812,Stammdaten!$A$30:$B$41,2,FALSE)</f>
        <v>April</v>
      </c>
      <c r="I812" s="4">
        <v>592</v>
      </c>
      <c r="J812" s="4">
        <v>556</v>
      </c>
      <c r="K812" s="4">
        <f t="shared" si="157"/>
        <v>-36</v>
      </c>
      <c r="L812" s="27">
        <f t="shared" si="158"/>
        <v>-6.0810810810810816</v>
      </c>
      <c r="M812" s="52" t="str">
        <f t="shared" si="159"/>
        <v>Schwund</v>
      </c>
      <c r="N812" s="28">
        <f t="shared" si="160"/>
        <v>68.039999999999992</v>
      </c>
      <c r="O812" s="5">
        <v>0</v>
      </c>
      <c r="P812" s="4">
        <v>2</v>
      </c>
      <c r="Q812" s="28">
        <f t="shared" si="161"/>
        <v>17.009999999999998</v>
      </c>
      <c r="R812" s="50">
        <f t="shared" si="162"/>
        <v>20.411999999999995</v>
      </c>
      <c r="S812" s="2" t="str">
        <f t="shared" si="163"/>
        <v>Ostern</v>
      </c>
      <c r="T812" s="4">
        <v>0</v>
      </c>
      <c r="U812" s="4" t="str">
        <f t="shared" si="164"/>
        <v>Abschreibung</v>
      </c>
      <c r="V812" s="4">
        <f t="shared" si="165"/>
        <v>100</v>
      </c>
      <c r="W812" s="19">
        <f t="shared" si="166"/>
        <v>0</v>
      </c>
      <c r="X812" s="5">
        <v>6</v>
      </c>
      <c r="Y812" s="28">
        <f t="shared" si="167"/>
        <v>11.34</v>
      </c>
      <c r="Z812" s="31" t="s">
        <v>173</v>
      </c>
      <c r="AA812" t="str">
        <f t="shared" si="168"/>
        <v>Verderb - Abgelaufen</v>
      </c>
    </row>
    <row r="813" spans="1:27" x14ac:dyDescent="0.35">
      <c r="A813" s="32" t="s">
        <v>18</v>
      </c>
      <c r="B813" s="2" t="str">
        <f>VLOOKUP(A813,Stammdaten!$A$3:$B$7,2,FALSE)</f>
        <v>Filiale Zentrum</v>
      </c>
      <c r="C813" s="3" t="str" cm="1">
        <f t="array" ref="C813">INDEX(Stammdaten!$A$11:$A$25,INT((ROW()-5)/12)+1 - INT((ROW()-5)/180)*15)</f>
        <v>A008</v>
      </c>
      <c r="D813" s="2" t="str">
        <f>VLOOKUP(C813,Stammdaten!$A$11:$B$25,2,FALSE)</f>
        <v>Fruchtjoghurt 4er</v>
      </c>
      <c r="E813" s="3" t="str">
        <f>VLOOKUP(C813,Stammdaten!$A$11:$C$25,3,FALSE)</f>
        <v>Joghurt</v>
      </c>
      <c r="F813" s="19">
        <f>VLOOKUP(C813,Stammdaten!$A$11:$D$25,4,FALSE)</f>
        <v>1.89</v>
      </c>
      <c r="G813" s="4">
        <f t="shared" si="156"/>
        <v>5</v>
      </c>
      <c r="H813" s="20" t="str">
        <f>VLOOKUP(G813,Stammdaten!$A$30:$B$41,2,FALSE)</f>
        <v>Mai</v>
      </c>
      <c r="I813" s="4">
        <v>432</v>
      </c>
      <c r="J813" s="4">
        <v>415</v>
      </c>
      <c r="K813" s="4">
        <f t="shared" si="157"/>
        <v>-17</v>
      </c>
      <c r="L813" s="27">
        <f t="shared" si="158"/>
        <v>-3.9351851851851851</v>
      </c>
      <c r="M813" s="52" t="str">
        <f t="shared" si="159"/>
        <v>Schwund</v>
      </c>
      <c r="N813" s="28">
        <f t="shared" si="160"/>
        <v>32.129999999999995</v>
      </c>
      <c r="O813" s="5">
        <v>11</v>
      </c>
      <c r="P813" s="4">
        <v>1</v>
      </c>
      <c r="Q813" s="28">
        <f t="shared" si="161"/>
        <v>8.0324999999999989</v>
      </c>
      <c r="R813" s="50">
        <f t="shared" si="162"/>
        <v>9.6389999999999976</v>
      </c>
      <c r="S813" s="2" t="str">
        <f t="shared" si="163"/>
        <v>Normal</v>
      </c>
      <c r="T813" s="4">
        <v>0</v>
      </c>
      <c r="U813" s="4" t="str">
        <f t="shared" si="164"/>
        <v>Nein</v>
      </c>
      <c r="V813" s="4">
        <f t="shared" si="165"/>
        <v>0</v>
      </c>
      <c r="W813" s="19">
        <f t="shared" si="166"/>
        <v>1.89</v>
      </c>
      <c r="X813" s="5">
        <v>0</v>
      </c>
      <c r="Y813" s="28">
        <f t="shared" si="167"/>
        <v>0</v>
      </c>
      <c r="Z813" s="31" t="s">
        <v>172</v>
      </c>
      <c r="AA813" t="str">
        <f t="shared" si="168"/>
        <v>Diebstahlrisiko</v>
      </c>
    </row>
    <row r="814" spans="1:27" x14ac:dyDescent="0.35">
      <c r="A814" s="32" t="s">
        <v>18</v>
      </c>
      <c r="B814" s="2" t="str">
        <f>VLOOKUP(A814,Stammdaten!$A$3:$B$7,2,FALSE)</f>
        <v>Filiale Zentrum</v>
      </c>
      <c r="C814" s="3" t="str" cm="1">
        <f t="array" ref="C814">INDEX(Stammdaten!$A$11:$A$25,INT((ROW()-5)/12)+1 - INT((ROW()-5)/180)*15)</f>
        <v>A008</v>
      </c>
      <c r="D814" s="2" t="str">
        <f>VLOOKUP(C814,Stammdaten!$A$11:$B$25,2,FALSE)</f>
        <v>Fruchtjoghurt 4er</v>
      </c>
      <c r="E814" s="3" t="str">
        <f>VLOOKUP(C814,Stammdaten!$A$11:$C$25,3,FALSE)</f>
        <v>Joghurt</v>
      </c>
      <c r="F814" s="19">
        <f>VLOOKUP(C814,Stammdaten!$A$11:$D$25,4,FALSE)</f>
        <v>1.89</v>
      </c>
      <c r="G814" s="4">
        <f t="shared" si="156"/>
        <v>6</v>
      </c>
      <c r="H814" s="20" t="str">
        <f>VLOOKUP(G814,Stammdaten!$A$30:$B$41,2,FALSE)</f>
        <v>Juni</v>
      </c>
      <c r="I814" s="4">
        <v>501</v>
      </c>
      <c r="J814" s="4">
        <v>507</v>
      </c>
      <c r="K814" s="4">
        <f t="shared" si="157"/>
        <v>6</v>
      </c>
      <c r="L814" s="27">
        <f t="shared" si="158"/>
        <v>1.1976047904191618</v>
      </c>
      <c r="M814" s="52" t="str">
        <f t="shared" si="159"/>
        <v>Überbestand</v>
      </c>
      <c r="N814" s="28">
        <f t="shared" si="160"/>
        <v>11.34</v>
      </c>
      <c r="O814" s="5">
        <v>4</v>
      </c>
      <c r="P814" s="4">
        <v>5</v>
      </c>
      <c r="Q814" s="28">
        <f t="shared" si="161"/>
        <v>0</v>
      </c>
      <c r="R814" s="50">
        <f t="shared" si="162"/>
        <v>0</v>
      </c>
      <c r="S814" s="2" t="str">
        <f t="shared" si="163"/>
        <v>Normal</v>
      </c>
      <c r="T814" s="4">
        <v>6</v>
      </c>
      <c r="U814" s="4" t="str">
        <f t="shared" si="164"/>
        <v>Nein</v>
      </c>
      <c r="V814" s="4">
        <f t="shared" si="165"/>
        <v>0</v>
      </c>
      <c r="W814" s="19">
        <f t="shared" si="166"/>
        <v>1.89</v>
      </c>
      <c r="X814" s="5">
        <v>0</v>
      </c>
      <c r="Y814" s="28">
        <f t="shared" si="167"/>
        <v>0</v>
      </c>
      <c r="Z814" s="31" t="s">
        <v>172</v>
      </c>
      <c r="AA814" t="str">
        <f t="shared" si="168"/>
        <v>Kassenfehler (Überbestand)</v>
      </c>
    </row>
    <row r="815" spans="1:27" x14ac:dyDescent="0.35">
      <c r="A815" s="32" t="s">
        <v>18</v>
      </c>
      <c r="B815" s="2" t="str">
        <f>VLOOKUP(A815,Stammdaten!$A$3:$B$7,2,FALSE)</f>
        <v>Filiale Zentrum</v>
      </c>
      <c r="C815" s="3" t="str" cm="1">
        <f t="array" ref="C815">INDEX(Stammdaten!$A$11:$A$25,INT((ROW()-5)/12)+1 - INT((ROW()-5)/180)*15)</f>
        <v>A008</v>
      </c>
      <c r="D815" s="2" t="str">
        <f>VLOOKUP(C815,Stammdaten!$A$11:$B$25,2,FALSE)</f>
        <v>Fruchtjoghurt 4er</v>
      </c>
      <c r="E815" s="3" t="str">
        <f>VLOOKUP(C815,Stammdaten!$A$11:$C$25,3,FALSE)</f>
        <v>Joghurt</v>
      </c>
      <c r="F815" s="19">
        <f>VLOOKUP(C815,Stammdaten!$A$11:$D$25,4,FALSE)</f>
        <v>1.89</v>
      </c>
      <c r="G815" s="4">
        <f t="shared" si="156"/>
        <v>7</v>
      </c>
      <c r="H815" s="20" t="str">
        <f>VLOOKUP(G815,Stammdaten!$A$30:$B$41,2,FALSE)</f>
        <v>Juli</v>
      </c>
      <c r="I815" s="4">
        <v>519</v>
      </c>
      <c r="J815" s="4">
        <v>487</v>
      </c>
      <c r="K815" s="4">
        <f t="shared" si="157"/>
        <v>-32</v>
      </c>
      <c r="L815" s="27">
        <f t="shared" si="158"/>
        <v>-6.1657032755298653</v>
      </c>
      <c r="M815" s="52" t="str">
        <f t="shared" si="159"/>
        <v>Schwund</v>
      </c>
      <c r="N815" s="28">
        <f t="shared" si="160"/>
        <v>60.48</v>
      </c>
      <c r="O815" s="5">
        <v>1</v>
      </c>
      <c r="P815" s="4">
        <v>5</v>
      </c>
      <c r="Q815" s="28">
        <f t="shared" si="161"/>
        <v>15.12</v>
      </c>
      <c r="R815" s="50">
        <f t="shared" si="162"/>
        <v>18.143999999999998</v>
      </c>
      <c r="S815" s="2" t="str">
        <f t="shared" si="163"/>
        <v>Normal</v>
      </c>
      <c r="T815" s="4">
        <v>0</v>
      </c>
      <c r="U815" s="4" t="str">
        <f t="shared" si="164"/>
        <v>Ja - 20% Reduzierung</v>
      </c>
      <c r="V815" s="4">
        <f t="shared" si="165"/>
        <v>20</v>
      </c>
      <c r="W815" s="19">
        <f t="shared" si="166"/>
        <v>1.51</v>
      </c>
      <c r="X815" s="5">
        <v>47</v>
      </c>
      <c r="Y815" s="28">
        <f t="shared" si="167"/>
        <v>17.77</v>
      </c>
      <c r="Z815" s="31" t="s">
        <v>173</v>
      </c>
      <c r="AA815" t="str">
        <f t="shared" si="168"/>
        <v>Diebstahlrisiko</v>
      </c>
    </row>
    <row r="816" spans="1:27" x14ac:dyDescent="0.35">
      <c r="A816" s="32" t="s">
        <v>18</v>
      </c>
      <c r="B816" s="2" t="str">
        <f>VLOOKUP(A816,Stammdaten!$A$3:$B$7,2,FALSE)</f>
        <v>Filiale Zentrum</v>
      </c>
      <c r="C816" s="3" t="str" cm="1">
        <f t="array" ref="C816">INDEX(Stammdaten!$A$11:$A$25,INT((ROW()-5)/12)+1 - INT((ROW()-5)/180)*15)</f>
        <v>A008</v>
      </c>
      <c r="D816" s="2" t="str">
        <f>VLOOKUP(C816,Stammdaten!$A$11:$B$25,2,FALSE)</f>
        <v>Fruchtjoghurt 4er</v>
      </c>
      <c r="E816" s="3" t="str">
        <f>VLOOKUP(C816,Stammdaten!$A$11:$C$25,3,FALSE)</f>
        <v>Joghurt</v>
      </c>
      <c r="F816" s="19">
        <f>VLOOKUP(C816,Stammdaten!$A$11:$D$25,4,FALSE)</f>
        <v>1.89</v>
      </c>
      <c r="G816" s="4">
        <f t="shared" si="156"/>
        <v>8</v>
      </c>
      <c r="H816" s="20" t="str">
        <f>VLOOKUP(G816,Stammdaten!$A$30:$B$41,2,FALSE)</f>
        <v>August</v>
      </c>
      <c r="I816" s="4">
        <v>528</v>
      </c>
      <c r="J816" s="4">
        <v>534</v>
      </c>
      <c r="K816" s="4">
        <f t="shared" si="157"/>
        <v>6</v>
      </c>
      <c r="L816" s="27">
        <f t="shared" si="158"/>
        <v>1.1363636363636365</v>
      </c>
      <c r="M816" s="52" t="str">
        <f t="shared" si="159"/>
        <v>Überbestand</v>
      </c>
      <c r="N816" s="28">
        <f t="shared" si="160"/>
        <v>11.34</v>
      </c>
      <c r="O816" s="5">
        <v>5</v>
      </c>
      <c r="P816" s="4">
        <v>5</v>
      </c>
      <c r="Q816" s="28">
        <f t="shared" si="161"/>
        <v>0</v>
      </c>
      <c r="R816" s="50">
        <f t="shared" si="162"/>
        <v>0</v>
      </c>
      <c r="S816" s="2" t="str">
        <f t="shared" si="163"/>
        <v>Normal</v>
      </c>
      <c r="T816" s="4">
        <v>6</v>
      </c>
      <c r="U816" s="4" t="str">
        <f t="shared" si="164"/>
        <v>Nein</v>
      </c>
      <c r="V816" s="4">
        <f t="shared" si="165"/>
        <v>0</v>
      </c>
      <c r="W816" s="19">
        <f t="shared" si="166"/>
        <v>1.89</v>
      </c>
      <c r="X816" s="5">
        <v>0</v>
      </c>
      <c r="Y816" s="28">
        <f t="shared" si="167"/>
        <v>0</v>
      </c>
      <c r="Z816" s="31" t="s">
        <v>172</v>
      </c>
      <c r="AA816" t="str">
        <f t="shared" si="168"/>
        <v>Kassenfehler (Überbestand)</v>
      </c>
    </row>
    <row r="817" spans="1:27" x14ac:dyDescent="0.35">
      <c r="A817" s="32" t="s">
        <v>18</v>
      </c>
      <c r="B817" s="2" t="str">
        <f>VLOOKUP(A817,Stammdaten!$A$3:$B$7,2,FALSE)</f>
        <v>Filiale Zentrum</v>
      </c>
      <c r="C817" s="3" t="str" cm="1">
        <f t="array" ref="C817">INDEX(Stammdaten!$A$11:$A$25,INT((ROW()-5)/12)+1 - INT((ROW()-5)/180)*15)</f>
        <v>A008</v>
      </c>
      <c r="D817" s="2" t="str">
        <f>VLOOKUP(C817,Stammdaten!$A$11:$B$25,2,FALSE)</f>
        <v>Fruchtjoghurt 4er</v>
      </c>
      <c r="E817" s="3" t="str">
        <f>VLOOKUP(C817,Stammdaten!$A$11:$C$25,3,FALSE)</f>
        <v>Joghurt</v>
      </c>
      <c r="F817" s="19">
        <f>VLOOKUP(C817,Stammdaten!$A$11:$D$25,4,FALSE)</f>
        <v>1.89</v>
      </c>
      <c r="G817" s="4">
        <f t="shared" si="156"/>
        <v>9</v>
      </c>
      <c r="H817" s="20" t="str">
        <f>VLOOKUP(G817,Stammdaten!$A$30:$B$41,2,FALSE)</f>
        <v>September</v>
      </c>
      <c r="I817" s="4">
        <v>454</v>
      </c>
      <c r="J817" s="4">
        <v>459</v>
      </c>
      <c r="K817" s="4">
        <f t="shared" si="157"/>
        <v>5</v>
      </c>
      <c r="L817" s="27">
        <f t="shared" si="158"/>
        <v>1.1013215859030838</v>
      </c>
      <c r="M817" s="52" t="str">
        <f t="shared" si="159"/>
        <v>Überbestand</v>
      </c>
      <c r="N817" s="28">
        <f t="shared" si="160"/>
        <v>9.4499999999999993</v>
      </c>
      <c r="O817" s="5">
        <v>11</v>
      </c>
      <c r="P817" s="4">
        <v>1</v>
      </c>
      <c r="Q817" s="28">
        <f t="shared" si="161"/>
        <v>0</v>
      </c>
      <c r="R817" s="50">
        <f t="shared" si="162"/>
        <v>0</v>
      </c>
      <c r="S817" s="2" t="str">
        <f t="shared" si="163"/>
        <v>Normal</v>
      </c>
      <c r="T817" s="4">
        <v>5</v>
      </c>
      <c r="U817" s="4" t="str">
        <f t="shared" si="164"/>
        <v>Nein</v>
      </c>
      <c r="V817" s="4">
        <f t="shared" si="165"/>
        <v>0</v>
      </c>
      <c r="W817" s="19">
        <f t="shared" si="166"/>
        <v>1.89</v>
      </c>
      <c r="X817" s="5">
        <v>0</v>
      </c>
      <c r="Y817" s="28">
        <f t="shared" si="167"/>
        <v>0</v>
      </c>
      <c r="Z817" s="31" t="s">
        <v>172</v>
      </c>
      <c r="AA817" t="str">
        <f t="shared" si="168"/>
        <v>Kassenfehler (Überbestand)</v>
      </c>
    </row>
    <row r="818" spans="1:27" x14ac:dyDescent="0.35">
      <c r="A818" s="32" t="s">
        <v>18</v>
      </c>
      <c r="B818" s="2" t="str">
        <f>VLOOKUP(A818,Stammdaten!$A$3:$B$7,2,FALSE)</f>
        <v>Filiale Zentrum</v>
      </c>
      <c r="C818" s="3" t="str" cm="1">
        <f t="array" ref="C818">INDEX(Stammdaten!$A$11:$A$25,INT((ROW()-5)/12)+1 - INT((ROW()-5)/180)*15)</f>
        <v>A008</v>
      </c>
      <c r="D818" s="2" t="str">
        <f>VLOOKUP(C818,Stammdaten!$A$11:$B$25,2,FALSE)</f>
        <v>Fruchtjoghurt 4er</v>
      </c>
      <c r="E818" s="3" t="str">
        <f>VLOOKUP(C818,Stammdaten!$A$11:$C$25,3,FALSE)</f>
        <v>Joghurt</v>
      </c>
      <c r="F818" s="19">
        <f>VLOOKUP(C818,Stammdaten!$A$11:$D$25,4,FALSE)</f>
        <v>1.89</v>
      </c>
      <c r="G818" s="4">
        <f t="shared" si="156"/>
        <v>10</v>
      </c>
      <c r="H818" s="20" t="str">
        <f>VLOOKUP(G818,Stammdaten!$A$30:$B$41,2,FALSE)</f>
        <v>Oktober</v>
      </c>
      <c r="I818" s="4">
        <v>432</v>
      </c>
      <c r="J818" s="4">
        <v>408</v>
      </c>
      <c r="K818" s="4">
        <f t="shared" si="157"/>
        <v>-24</v>
      </c>
      <c r="L818" s="27">
        <f t="shared" si="158"/>
        <v>-5.5555555555555554</v>
      </c>
      <c r="M818" s="52" t="str">
        <f t="shared" si="159"/>
        <v>Schwund</v>
      </c>
      <c r="N818" s="28">
        <f t="shared" si="160"/>
        <v>45.36</v>
      </c>
      <c r="O818" s="5">
        <v>1</v>
      </c>
      <c r="P818" s="4">
        <v>0</v>
      </c>
      <c r="Q818" s="28">
        <f t="shared" si="161"/>
        <v>11.34</v>
      </c>
      <c r="R818" s="50">
        <f t="shared" si="162"/>
        <v>13.607999999999999</v>
      </c>
      <c r="S818" s="2" t="str">
        <f t="shared" si="163"/>
        <v>Normal</v>
      </c>
      <c r="T818" s="4">
        <v>0</v>
      </c>
      <c r="U818" s="4" t="str">
        <f t="shared" si="164"/>
        <v>Ja - 20% Reduzierung</v>
      </c>
      <c r="V818" s="4">
        <f t="shared" si="165"/>
        <v>20</v>
      </c>
      <c r="W818" s="19">
        <f t="shared" si="166"/>
        <v>1.51</v>
      </c>
      <c r="X818" s="5">
        <v>65</v>
      </c>
      <c r="Y818" s="28">
        <f t="shared" si="167"/>
        <v>24.57</v>
      </c>
      <c r="Z818" s="31" t="s">
        <v>226</v>
      </c>
      <c r="AA818" t="str">
        <f t="shared" si="168"/>
        <v>MHD - Prozessfehler</v>
      </c>
    </row>
    <row r="819" spans="1:27" x14ac:dyDescent="0.35">
      <c r="A819" s="32" t="s">
        <v>18</v>
      </c>
      <c r="B819" s="2" t="str">
        <f>VLOOKUP(A819,Stammdaten!$A$3:$B$7,2,FALSE)</f>
        <v>Filiale Zentrum</v>
      </c>
      <c r="C819" s="3" t="str" cm="1">
        <f t="array" ref="C819">INDEX(Stammdaten!$A$11:$A$25,INT((ROW()-5)/12)+1 - INT((ROW()-5)/180)*15)</f>
        <v>A008</v>
      </c>
      <c r="D819" s="2" t="str">
        <f>VLOOKUP(C819,Stammdaten!$A$11:$B$25,2,FALSE)</f>
        <v>Fruchtjoghurt 4er</v>
      </c>
      <c r="E819" s="3" t="str">
        <f>VLOOKUP(C819,Stammdaten!$A$11:$C$25,3,FALSE)</f>
        <v>Joghurt</v>
      </c>
      <c r="F819" s="19">
        <f>VLOOKUP(C819,Stammdaten!$A$11:$D$25,4,FALSE)</f>
        <v>1.89</v>
      </c>
      <c r="G819" s="4">
        <f t="shared" si="156"/>
        <v>11</v>
      </c>
      <c r="H819" s="20" t="str">
        <f>VLOOKUP(G819,Stammdaten!$A$30:$B$41,2,FALSE)</f>
        <v>November</v>
      </c>
      <c r="I819" s="4">
        <v>506</v>
      </c>
      <c r="J819" s="4">
        <v>506</v>
      </c>
      <c r="K819" s="4">
        <f t="shared" si="157"/>
        <v>0</v>
      </c>
      <c r="L819" s="27">
        <f t="shared" si="158"/>
        <v>0</v>
      </c>
      <c r="M819" s="52" t="str">
        <f t="shared" si="159"/>
        <v>Perfekt</v>
      </c>
      <c r="N819" s="28">
        <f t="shared" si="160"/>
        <v>0</v>
      </c>
      <c r="O819" s="5">
        <v>14</v>
      </c>
      <c r="P819" s="4">
        <v>2</v>
      </c>
      <c r="Q819" s="28">
        <f t="shared" si="161"/>
        <v>0</v>
      </c>
      <c r="R819" s="50">
        <f t="shared" si="162"/>
        <v>0</v>
      </c>
      <c r="S819" s="2" t="str">
        <f t="shared" si="163"/>
        <v>Black Friday</v>
      </c>
      <c r="T819" s="4">
        <v>0</v>
      </c>
      <c r="U819" s="4" t="str">
        <f t="shared" si="164"/>
        <v>Nein</v>
      </c>
      <c r="V819" s="4">
        <f t="shared" si="165"/>
        <v>0</v>
      </c>
      <c r="W819" s="19">
        <f t="shared" si="166"/>
        <v>1.89</v>
      </c>
      <c r="X819" s="5">
        <v>0</v>
      </c>
      <c r="Y819" s="28">
        <f t="shared" si="167"/>
        <v>0</v>
      </c>
      <c r="Z819" s="31" t="s">
        <v>172</v>
      </c>
      <c r="AA819" t="str">
        <f t="shared" si="168"/>
        <v>Normal/Gering</v>
      </c>
    </row>
    <row r="820" spans="1:27" x14ac:dyDescent="0.35">
      <c r="A820" s="32" t="s">
        <v>18</v>
      </c>
      <c r="B820" s="2" t="str">
        <f>VLOOKUP(A820,Stammdaten!$A$3:$B$7,2,FALSE)</f>
        <v>Filiale Zentrum</v>
      </c>
      <c r="C820" s="3" t="str" cm="1">
        <f t="array" ref="C820">INDEX(Stammdaten!$A$11:$A$25,INT((ROW()-5)/12)+1 - INT((ROW()-5)/180)*15)</f>
        <v>A008</v>
      </c>
      <c r="D820" s="2" t="str">
        <f>VLOOKUP(C820,Stammdaten!$A$11:$B$25,2,FALSE)</f>
        <v>Fruchtjoghurt 4er</v>
      </c>
      <c r="E820" s="3" t="str">
        <f>VLOOKUP(C820,Stammdaten!$A$11:$C$25,3,FALSE)</f>
        <v>Joghurt</v>
      </c>
      <c r="F820" s="19">
        <f>VLOOKUP(C820,Stammdaten!$A$11:$D$25,4,FALSE)</f>
        <v>1.89</v>
      </c>
      <c r="G820" s="4">
        <f t="shared" si="156"/>
        <v>12</v>
      </c>
      <c r="H820" s="20" t="str">
        <f>VLOOKUP(G820,Stammdaten!$A$30:$B$41,2,FALSE)</f>
        <v>Dezember</v>
      </c>
      <c r="I820" s="4">
        <v>624</v>
      </c>
      <c r="J820" s="4">
        <v>587</v>
      </c>
      <c r="K820" s="4">
        <f t="shared" si="157"/>
        <v>-37</v>
      </c>
      <c r="L820" s="27">
        <f t="shared" si="158"/>
        <v>-5.9294871794871788</v>
      </c>
      <c r="M820" s="52" t="str">
        <f t="shared" si="159"/>
        <v>Schwund</v>
      </c>
      <c r="N820" s="28">
        <f t="shared" si="160"/>
        <v>69.929999999999993</v>
      </c>
      <c r="O820" s="5">
        <v>13</v>
      </c>
      <c r="P820" s="4">
        <v>1</v>
      </c>
      <c r="Q820" s="28">
        <f t="shared" si="161"/>
        <v>17.482499999999998</v>
      </c>
      <c r="R820" s="50">
        <f t="shared" si="162"/>
        <v>20.978999999999996</v>
      </c>
      <c r="S820" s="2" t="str">
        <f t="shared" si="163"/>
        <v>Weihnachten/Silvester</v>
      </c>
      <c r="T820" s="4">
        <v>0</v>
      </c>
      <c r="U820" s="4" t="str">
        <f t="shared" si="164"/>
        <v>Nein</v>
      </c>
      <c r="V820" s="4">
        <f t="shared" si="165"/>
        <v>0</v>
      </c>
      <c r="W820" s="19">
        <f t="shared" si="166"/>
        <v>1.89</v>
      </c>
      <c r="X820" s="5">
        <v>0</v>
      </c>
      <c r="Y820" s="28">
        <f t="shared" si="167"/>
        <v>0</v>
      </c>
      <c r="Z820" s="31" t="s">
        <v>172</v>
      </c>
      <c r="AA820" t="str">
        <f t="shared" si="168"/>
        <v>Diebstahlrisiko</v>
      </c>
    </row>
    <row r="821" spans="1:27" x14ac:dyDescent="0.35">
      <c r="A821" s="32" t="s">
        <v>18</v>
      </c>
      <c r="B821" s="2" t="str">
        <f>VLOOKUP(A821,Stammdaten!$A$3:$B$7,2,FALSE)</f>
        <v>Filiale Zentrum</v>
      </c>
      <c r="C821" s="3" t="str" cm="1">
        <f t="array" ref="C821">INDEX(Stammdaten!$A$11:$A$25,INT((ROW()-5)/12)+1 - INT((ROW()-5)/180)*15)</f>
        <v>A009</v>
      </c>
      <c r="D821" s="2" t="str">
        <f>VLOOKUP(C821,Stammdaten!$A$11:$B$25,2,FALSE)</f>
        <v>Sahne 200ml</v>
      </c>
      <c r="E821" s="3" t="str">
        <f>VLOOKUP(C821,Stammdaten!$A$11:$C$25,3,FALSE)</f>
        <v>Sahne</v>
      </c>
      <c r="F821" s="19">
        <f>VLOOKUP(C821,Stammdaten!$A$11:$D$25,4,FALSE)</f>
        <v>0.79</v>
      </c>
      <c r="G821" s="4">
        <f t="shared" si="156"/>
        <v>1</v>
      </c>
      <c r="H821" s="20" t="str">
        <f>VLOOKUP(G821,Stammdaten!$A$30:$B$41,2,FALSE)</f>
        <v>Januar</v>
      </c>
      <c r="I821" s="4">
        <v>243</v>
      </c>
      <c r="J821" s="4">
        <v>239</v>
      </c>
      <c r="K821" s="4">
        <f t="shared" si="157"/>
        <v>-4</v>
      </c>
      <c r="L821" s="27">
        <f t="shared" si="158"/>
        <v>-1.6460905349794239</v>
      </c>
      <c r="M821" s="52" t="str">
        <f t="shared" si="159"/>
        <v>Schwund</v>
      </c>
      <c r="N821" s="28">
        <f t="shared" si="160"/>
        <v>3.16</v>
      </c>
      <c r="O821" s="5">
        <v>4</v>
      </c>
      <c r="P821" s="4">
        <v>4</v>
      </c>
      <c r="Q821" s="28">
        <f t="shared" si="161"/>
        <v>0.79</v>
      </c>
      <c r="R821" s="50">
        <f t="shared" si="162"/>
        <v>0.94799999999999995</v>
      </c>
      <c r="S821" s="2" t="str">
        <f t="shared" si="163"/>
        <v>Normal</v>
      </c>
      <c r="T821" s="4">
        <v>0</v>
      </c>
      <c r="U821" s="4" t="str">
        <f t="shared" si="164"/>
        <v>Nein</v>
      </c>
      <c r="V821" s="4">
        <f t="shared" si="165"/>
        <v>0</v>
      </c>
      <c r="W821" s="19">
        <f t="shared" si="166"/>
        <v>0.79</v>
      </c>
      <c r="X821" s="5">
        <v>0</v>
      </c>
      <c r="Y821" s="28">
        <f t="shared" si="167"/>
        <v>0</v>
      </c>
      <c r="Z821" s="31" t="s">
        <v>172</v>
      </c>
      <c r="AA821" t="str">
        <f t="shared" si="168"/>
        <v>Normal/Gering</v>
      </c>
    </row>
    <row r="822" spans="1:27" x14ac:dyDescent="0.35">
      <c r="A822" s="32" t="s">
        <v>18</v>
      </c>
      <c r="B822" s="2" t="str">
        <f>VLOOKUP(A822,Stammdaten!$A$3:$B$7,2,FALSE)</f>
        <v>Filiale Zentrum</v>
      </c>
      <c r="C822" s="3" t="str" cm="1">
        <f t="array" ref="C822">INDEX(Stammdaten!$A$11:$A$25,INT((ROW()-5)/12)+1 - INT((ROW()-5)/180)*15)</f>
        <v>A009</v>
      </c>
      <c r="D822" s="2" t="str">
        <f>VLOOKUP(C822,Stammdaten!$A$11:$B$25,2,FALSE)</f>
        <v>Sahne 200ml</v>
      </c>
      <c r="E822" s="3" t="str">
        <f>VLOOKUP(C822,Stammdaten!$A$11:$C$25,3,FALSE)</f>
        <v>Sahne</v>
      </c>
      <c r="F822" s="19">
        <f>VLOOKUP(C822,Stammdaten!$A$11:$D$25,4,FALSE)</f>
        <v>0.79</v>
      </c>
      <c r="G822" s="4">
        <f t="shared" si="156"/>
        <v>2</v>
      </c>
      <c r="H822" s="20" t="str">
        <f>VLOOKUP(G822,Stammdaten!$A$30:$B$41,2,FALSE)</f>
        <v>Februar</v>
      </c>
      <c r="I822" s="4">
        <v>214</v>
      </c>
      <c r="J822" s="4">
        <v>210</v>
      </c>
      <c r="K822" s="4">
        <f t="shared" si="157"/>
        <v>-4</v>
      </c>
      <c r="L822" s="27">
        <f t="shared" si="158"/>
        <v>-1.8691588785046727</v>
      </c>
      <c r="M822" s="52" t="str">
        <f t="shared" si="159"/>
        <v>Schwund</v>
      </c>
      <c r="N822" s="28">
        <f t="shared" si="160"/>
        <v>3.16</v>
      </c>
      <c r="O822" s="5">
        <v>2</v>
      </c>
      <c r="P822" s="4">
        <v>1</v>
      </c>
      <c r="Q822" s="28">
        <f t="shared" si="161"/>
        <v>0.79</v>
      </c>
      <c r="R822" s="50">
        <f t="shared" si="162"/>
        <v>0.94799999999999995</v>
      </c>
      <c r="S822" s="2" t="str">
        <f t="shared" si="163"/>
        <v>Karneval</v>
      </c>
      <c r="T822" s="4">
        <v>0</v>
      </c>
      <c r="U822" s="4" t="str">
        <f t="shared" si="164"/>
        <v>Ja - 20% Reduzierung</v>
      </c>
      <c r="V822" s="4">
        <f t="shared" si="165"/>
        <v>20</v>
      </c>
      <c r="W822" s="19">
        <f t="shared" si="166"/>
        <v>0.63</v>
      </c>
      <c r="X822" s="5">
        <v>17</v>
      </c>
      <c r="Y822" s="28">
        <f t="shared" si="167"/>
        <v>2.69</v>
      </c>
      <c r="Z822" s="31" t="s">
        <v>173</v>
      </c>
      <c r="AA822" t="str">
        <f t="shared" si="168"/>
        <v>Normal/Gering</v>
      </c>
    </row>
    <row r="823" spans="1:27" x14ac:dyDescent="0.35">
      <c r="A823" s="32" t="s">
        <v>18</v>
      </c>
      <c r="B823" s="2" t="str">
        <f>VLOOKUP(A823,Stammdaten!$A$3:$B$7,2,FALSE)</f>
        <v>Filiale Zentrum</v>
      </c>
      <c r="C823" s="3" t="str" cm="1">
        <f t="array" ref="C823">INDEX(Stammdaten!$A$11:$A$25,INT((ROW()-5)/12)+1 - INT((ROW()-5)/180)*15)</f>
        <v>A009</v>
      </c>
      <c r="D823" s="2" t="str">
        <f>VLOOKUP(C823,Stammdaten!$A$11:$B$25,2,FALSE)</f>
        <v>Sahne 200ml</v>
      </c>
      <c r="E823" s="3" t="str">
        <f>VLOOKUP(C823,Stammdaten!$A$11:$C$25,3,FALSE)</f>
        <v>Sahne</v>
      </c>
      <c r="F823" s="19">
        <f>VLOOKUP(C823,Stammdaten!$A$11:$D$25,4,FALSE)</f>
        <v>0.79</v>
      </c>
      <c r="G823" s="4">
        <f t="shared" si="156"/>
        <v>3</v>
      </c>
      <c r="H823" s="20" t="str">
        <f>VLOOKUP(G823,Stammdaten!$A$30:$B$41,2,FALSE)</f>
        <v>März</v>
      </c>
      <c r="I823" s="4">
        <v>265</v>
      </c>
      <c r="J823" s="4">
        <v>261</v>
      </c>
      <c r="K823" s="4">
        <f t="shared" si="157"/>
        <v>-4</v>
      </c>
      <c r="L823" s="27">
        <f t="shared" si="158"/>
        <v>-1.5094339622641511</v>
      </c>
      <c r="M823" s="52" t="str">
        <f t="shared" si="159"/>
        <v>Schwund</v>
      </c>
      <c r="N823" s="28">
        <f t="shared" si="160"/>
        <v>3.16</v>
      </c>
      <c r="O823" s="5">
        <v>2</v>
      </c>
      <c r="P823" s="4">
        <v>4</v>
      </c>
      <c r="Q823" s="28">
        <f t="shared" si="161"/>
        <v>0.79</v>
      </c>
      <c r="R823" s="50">
        <f t="shared" si="162"/>
        <v>0.94799999999999995</v>
      </c>
      <c r="S823" s="2" t="str">
        <f t="shared" si="163"/>
        <v>Normal</v>
      </c>
      <c r="T823" s="4">
        <v>0</v>
      </c>
      <c r="U823" s="4" t="str">
        <f t="shared" si="164"/>
        <v>Ja - 20% Reduzierung</v>
      </c>
      <c r="V823" s="4">
        <f t="shared" si="165"/>
        <v>20</v>
      </c>
      <c r="W823" s="19">
        <f t="shared" si="166"/>
        <v>0.63</v>
      </c>
      <c r="X823" s="5">
        <v>34</v>
      </c>
      <c r="Y823" s="28">
        <f t="shared" si="167"/>
        <v>5.37</v>
      </c>
      <c r="Z823" s="31" t="s">
        <v>173</v>
      </c>
      <c r="AA823" t="str">
        <f t="shared" si="168"/>
        <v>Normal/Gering</v>
      </c>
    </row>
    <row r="824" spans="1:27" x14ac:dyDescent="0.35">
      <c r="A824" s="32" t="s">
        <v>18</v>
      </c>
      <c r="B824" s="2" t="str">
        <f>VLOOKUP(A824,Stammdaten!$A$3:$B$7,2,FALSE)</f>
        <v>Filiale Zentrum</v>
      </c>
      <c r="C824" s="3" t="str" cm="1">
        <f t="array" ref="C824">INDEX(Stammdaten!$A$11:$A$25,INT((ROW()-5)/12)+1 - INT((ROW()-5)/180)*15)</f>
        <v>A009</v>
      </c>
      <c r="D824" s="2" t="str">
        <f>VLOOKUP(C824,Stammdaten!$A$11:$B$25,2,FALSE)</f>
        <v>Sahne 200ml</v>
      </c>
      <c r="E824" s="3" t="str">
        <f>VLOOKUP(C824,Stammdaten!$A$11:$C$25,3,FALSE)</f>
        <v>Sahne</v>
      </c>
      <c r="F824" s="19">
        <f>VLOOKUP(C824,Stammdaten!$A$11:$D$25,4,FALSE)</f>
        <v>0.79</v>
      </c>
      <c r="G824" s="4">
        <f t="shared" si="156"/>
        <v>4</v>
      </c>
      <c r="H824" s="20" t="str">
        <f>VLOOKUP(G824,Stammdaten!$A$30:$B$41,2,FALSE)</f>
        <v>April</v>
      </c>
      <c r="I824" s="4">
        <v>322</v>
      </c>
      <c r="J824" s="4">
        <v>311</v>
      </c>
      <c r="K824" s="4">
        <f t="shared" si="157"/>
        <v>-11</v>
      </c>
      <c r="L824" s="27">
        <f t="shared" si="158"/>
        <v>-3.4161490683229814</v>
      </c>
      <c r="M824" s="52" t="str">
        <f t="shared" si="159"/>
        <v>Schwund</v>
      </c>
      <c r="N824" s="28">
        <f t="shared" si="160"/>
        <v>8.6900000000000013</v>
      </c>
      <c r="O824" s="5">
        <v>3</v>
      </c>
      <c r="P824" s="4">
        <v>3</v>
      </c>
      <c r="Q824" s="28">
        <f t="shared" si="161"/>
        <v>2.1725000000000003</v>
      </c>
      <c r="R824" s="50">
        <f t="shared" si="162"/>
        <v>2.6070000000000002</v>
      </c>
      <c r="S824" s="2" t="str">
        <f t="shared" si="163"/>
        <v>Ostern</v>
      </c>
      <c r="T824" s="4">
        <v>0</v>
      </c>
      <c r="U824" s="4" t="str">
        <f t="shared" si="164"/>
        <v>Ja - 20% Reduzierung</v>
      </c>
      <c r="V824" s="4">
        <f t="shared" si="165"/>
        <v>20</v>
      </c>
      <c r="W824" s="19">
        <f t="shared" si="166"/>
        <v>0.63</v>
      </c>
      <c r="X824" s="5">
        <v>45</v>
      </c>
      <c r="Y824" s="28">
        <f t="shared" si="167"/>
        <v>7.11</v>
      </c>
      <c r="Z824" s="31" t="s">
        <v>173</v>
      </c>
      <c r="AA824" t="str">
        <f t="shared" si="168"/>
        <v>Diebstahlrisiko</v>
      </c>
    </row>
    <row r="825" spans="1:27" x14ac:dyDescent="0.35">
      <c r="A825" s="32" t="s">
        <v>18</v>
      </c>
      <c r="B825" s="2" t="str">
        <f>VLOOKUP(A825,Stammdaten!$A$3:$B$7,2,FALSE)</f>
        <v>Filiale Zentrum</v>
      </c>
      <c r="C825" s="3" t="str" cm="1">
        <f t="array" ref="C825">INDEX(Stammdaten!$A$11:$A$25,INT((ROW()-5)/12)+1 - INT((ROW()-5)/180)*15)</f>
        <v>A009</v>
      </c>
      <c r="D825" s="2" t="str">
        <f>VLOOKUP(C825,Stammdaten!$A$11:$B$25,2,FALSE)</f>
        <v>Sahne 200ml</v>
      </c>
      <c r="E825" s="3" t="str">
        <f>VLOOKUP(C825,Stammdaten!$A$11:$C$25,3,FALSE)</f>
        <v>Sahne</v>
      </c>
      <c r="F825" s="19">
        <f>VLOOKUP(C825,Stammdaten!$A$11:$D$25,4,FALSE)</f>
        <v>0.79</v>
      </c>
      <c r="G825" s="4">
        <f t="shared" si="156"/>
        <v>5</v>
      </c>
      <c r="H825" s="20" t="str">
        <f>VLOOKUP(G825,Stammdaten!$A$30:$B$41,2,FALSE)</f>
        <v>Mai</v>
      </c>
      <c r="I825" s="4">
        <v>255</v>
      </c>
      <c r="J825" s="4">
        <v>250</v>
      </c>
      <c r="K825" s="4">
        <f t="shared" si="157"/>
        <v>-5</v>
      </c>
      <c r="L825" s="27">
        <f t="shared" si="158"/>
        <v>-1.9607843137254901</v>
      </c>
      <c r="M825" s="52" t="str">
        <f t="shared" si="159"/>
        <v>Schwund</v>
      </c>
      <c r="N825" s="28">
        <f t="shared" si="160"/>
        <v>3.95</v>
      </c>
      <c r="O825" s="5">
        <v>10</v>
      </c>
      <c r="P825" s="4">
        <v>1</v>
      </c>
      <c r="Q825" s="28">
        <f t="shared" si="161"/>
        <v>0.98750000000000004</v>
      </c>
      <c r="R825" s="50">
        <f t="shared" si="162"/>
        <v>1.1850000000000001</v>
      </c>
      <c r="S825" s="2" t="str">
        <f t="shared" si="163"/>
        <v>Normal</v>
      </c>
      <c r="T825" s="4">
        <v>0</v>
      </c>
      <c r="U825" s="4" t="str">
        <f t="shared" si="164"/>
        <v>Nein</v>
      </c>
      <c r="V825" s="4">
        <f t="shared" si="165"/>
        <v>0</v>
      </c>
      <c r="W825" s="19">
        <f t="shared" si="166"/>
        <v>0.79</v>
      </c>
      <c r="X825" s="5">
        <v>0</v>
      </c>
      <c r="Y825" s="28">
        <f t="shared" si="167"/>
        <v>0</v>
      </c>
      <c r="Z825" s="31" t="s">
        <v>172</v>
      </c>
      <c r="AA825" t="str">
        <f t="shared" si="168"/>
        <v>Normal/Gering</v>
      </c>
    </row>
    <row r="826" spans="1:27" x14ac:dyDescent="0.35">
      <c r="A826" s="32" t="s">
        <v>18</v>
      </c>
      <c r="B826" s="2" t="str">
        <f>VLOOKUP(A826,Stammdaten!$A$3:$B$7,2,FALSE)</f>
        <v>Filiale Zentrum</v>
      </c>
      <c r="C826" s="3" t="str" cm="1">
        <f t="array" ref="C826">INDEX(Stammdaten!$A$11:$A$25,INT((ROW()-5)/12)+1 - INT((ROW()-5)/180)*15)</f>
        <v>A009</v>
      </c>
      <c r="D826" s="2" t="str">
        <f>VLOOKUP(C826,Stammdaten!$A$11:$B$25,2,FALSE)</f>
        <v>Sahne 200ml</v>
      </c>
      <c r="E826" s="3" t="str">
        <f>VLOOKUP(C826,Stammdaten!$A$11:$C$25,3,FALSE)</f>
        <v>Sahne</v>
      </c>
      <c r="F826" s="19">
        <f>VLOOKUP(C826,Stammdaten!$A$11:$D$25,4,FALSE)</f>
        <v>0.79</v>
      </c>
      <c r="G826" s="4">
        <f t="shared" si="156"/>
        <v>6</v>
      </c>
      <c r="H826" s="20" t="str">
        <f>VLOOKUP(G826,Stammdaten!$A$30:$B$41,2,FALSE)</f>
        <v>Juni</v>
      </c>
      <c r="I826" s="4">
        <v>286</v>
      </c>
      <c r="J826" s="4">
        <v>292</v>
      </c>
      <c r="K826" s="4">
        <f t="shared" si="157"/>
        <v>6</v>
      </c>
      <c r="L826" s="27">
        <f t="shared" si="158"/>
        <v>2.0979020979020979</v>
      </c>
      <c r="M826" s="52" t="str">
        <f t="shared" si="159"/>
        <v>Überbestand</v>
      </c>
      <c r="N826" s="28">
        <f t="shared" si="160"/>
        <v>4.74</v>
      </c>
      <c r="O826" s="5">
        <v>0</v>
      </c>
      <c r="P826" s="4">
        <v>0</v>
      </c>
      <c r="Q826" s="28">
        <f t="shared" si="161"/>
        <v>0</v>
      </c>
      <c r="R826" s="50">
        <f t="shared" si="162"/>
        <v>0</v>
      </c>
      <c r="S826" s="2" t="str">
        <f t="shared" si="163"/>
        <v>Normal</v>
      </c>
      <c r="T826" s="4">
        <v>6</v>
      </c>
      <c r="U826" s="4" t="str">
        <f t="shared" si="164"/>
        <v>Abschreibung</v>
      </c>
      <c r="V826" s="4">
        <f t="shared" si="165"/>
        <v>100</v>
      </c>
      <c r="W826" s="19">
        <f t="shared" si="166"/>
        <v>0</v>
      </c>
      <c r="X826" s="5">
        <v>3</v>
      </c>
      <c r="Y826" s="28">
        <f t="shared" si="167"/>
        <v>2.37</v>
      </c>
      <c r="Z826" s="31" t="s">
        <v>173</v>
      </c>
      <c r="AA826" t="str">
        <f t="shared" si="168"/>
        <v>Verderb - Abgelaufen</v>
      </c>
    </row>
    <row r="827" spans="1:27" x14ac:dyDescent="0.35">
      <c r="A827" s="32" t="s">
        <v>18</v>
      </c>
      <c r="B827" s="2" t="str">
        <f>VLOOKUP(A827,Stammdaten!$A$3:$B$7,2,FALSE)</f>
        <v>Filiale Zentrum</v>
      </c>
      <c r="C827" s="3" t="str" cm="1">
        <f t="array" ref="C827">INDEX(Stammdaten!$A$11:$A$25,INT((ROW()-5)/12)+1 - INT((ROW()-5)/180)*15)</f>
        <v>A009</v>
      </c>
      <c r="D827" s="2" t="str">
        <f>VLOOKUP(C827,Stammdaten!$A$11:$B$25,2,FALSE)</f>
        <v>Sahne 200ml</v>
      </c>
      <c r="E827" s="3" t="str">
        <f>VLOOKUP(C827,Stammdaten!$A$11:$C$25,3,FALSE)</f>
        <v>Sahne</v>
      </c>
      <c r="F827" s="19">
        <f>VLOOKUP(C827,Stammdaten!$A$11:$D$25,4,FALSE)</f>
        <v>0.79</v>
      </c>
      <c r="G827" s="4">
        <f t="shared" si="156"/>
        <v>7</v>
      </c>
      <c r="H827" s="20" t="str">
        <f>VLOOKUP(G827,Stammdaten!$A$30:$B$41,2,FALSE)</f>
        <v>Juli</v>
      </c>
      <c r="I827" s="4">
        <v>328</v>
      </c>
      <c r="J827" s="4">
        <v>314</v>
      </c>
      <c r="K827" s="4">
        <f t="shared" si="157"/>
        <v>-14</v>
      </c>
      <c r="L827" s="27">
        <f t="shared" si="158"/>
        <v>-4.2682926829268295</v>
      </c>
      <c r="M827" s="52" t="str">
        <f t="shared" si="159"/>
        <v>Schwund</v>
      </c>
      <c r="N827" s="28">
        <f t="shared" si="160"/>
        <v>11.06</v>
      </c>
      <c r="O827" s="5">
        <v>5</v>
      </c>
      <c r="P827" s="4">
        <v>0</v>
      </c>
      <c r="Q827" s="28">
        <f t="shared" si="161"/>
        <v>2.7650000000000001</v>
      </c>
      <c r="R827" s="50">
        <f t="shared" si="162"/>
        <v>3.3180000000000001</v>
      </c>
      <c r="S827" s="2" t="str">
        <f t="shared" si="163"/>
        <v>Normal</v>
      </c>
      <c r="T827" s="4">
        <v>0</v>
      </c>
      <c r="U827" s="4" t="str">
        <f t="shared" si="164"/>
        <v>Nein</v>
      </c>
      <c r="V827" s="4">
        <f t="shared" si="165"/>
        <v>0</v>
      </c>
      <c r="W827" s="19">
        <f t="shared" si="166"/>
        <v>0.79</v>
      </c>
      <c r="X827" s="5">
        <v>0</v>
      </c>
      <c r="Y827" s="28">
        <f t="shared" si="167"/>
        <v>0</v>
      </c>
      <c r="Z827" s="31" t="s">
        <v>172</v>
      </c>
      <c r="AA827" t="str">
        <f t="shared" si="168"/>
        <v>Diebstahlrisiko</v>
      </c>
    </row>
    <row r="828" spans="1:27" x14ac:dyDescent="0.35">
      <c r="A828" s="32" t="s">
        <v>18</v>
      </c>
      <c r="B828" s="2" t="str">
        <f>VLOOKUP(A828,Stammdaten!$A$3:$B$7,2,FALSE)</f>
        <v>Filiale Zentrum</v>
      </c>
      <c r="C828" s="3" t="str" cm="1">
        <f t="array" ref="C828">INDEX(Stammdaten!$A$11:$A$25,INT((ROW()-5)/12)+1 - INT((ROW()-5)/180)*15)</f>
        <v>A009</v>
      </c>
      <c r="D828" s="2" t="str">
        <f>VLOOKUP(C828,Stammdaten!$A$11:$B$25,2,FALSE)</f>
        <v>Sahne 200ml</v>
      </c>
      <c r="E828" s="3" t="str">
        <f>VLOOKUP(C828,Stammdaten!$A$11:$C$25,3,FALSE)</f>
        <v>Sahne</v>
      </c>
      <c r="F828" s="19">
        <f>VLOOKUP(C828,Stammdaten!$A$11:$D$25,4,FALSE)</f>
        <v>0.79</v>
      </c>
      <c r="G828" s="4">
        <f t="shared" si="156"/>
        <v>8</v>
      </c>
      <c r="H828" s="20" t="str">
        <f>VLOOKUP(G828,Stammdaten!$A$30:$B$41,2,FALSE)</f>
        <v>August</v>
      </c>
      <c r="I828" s="4">
        <v>302</v>
      </c>
      <c r="J828" s="4">
        <v>291</v>
      </c>
      <c r="K828" s="4">
        <f t="shared" si="157"/>
        <v>-11</v>
      </c>
      <c r="L828" s="27">
        <f t="shared" si="158"/>
        <v>-3.6423841059602649</v>
      </c>
      <c r="M828" s="52" t="str">
        <f t="shared" si="159"/>
        <v>Schwund</v>
      </c>
      <c r="N828" s="28">
        <f t="shared" si="160"/>
        <v>8.6900000000000013</v>
      </c>
      <c r="O828" s="5">
        <v>9</v>
      </c>
      <c r="P828" s="4">
        <v>3</v>
      </c>
      <c r="Q828" s="28">
        <f t="shared" si="161"/>
        <v>2.1725000000000003</v>
      </c>
      <c r="R828" s="50">
        <f t="shared" si="162"/>
        <v>2.6070000000000002</v>
      </c>
      <c r="S828" s="2" t="str">
        <f t="shared" si="163"/>
        <v>Normal</v>
      </c>
      <c r="T828" s="4">
        <v>0</v>
      </c>
      <c r="U828" s="4" t="str">
        <f t="shared" si="164"/>
        <v>Nein</v>
      </c>
      <c r="V828" s="4">
        <f t="shared" si="165"/>
        <v>0</v>
      </c>
      <c r="W828" s="19">
        <f t="shared" si="166"/>
        <v>0.79</v>
      </c>
      <c r="X828" s="5">
        <v>0</v>
      </c>
      <c r="Y828" s="28">
        <f t="shared" si="167"/>
        <v>0</v>
      </c>
      <c r="Z828" s="31" t="s">
        <v>172</v>
      </c>
      <c r="AA828" t="str">
        <f t="shared" si="168"/>
        <v>Diebstahlrisiko</v>
      </c>
    </row>
    <row r="829" spans="1:27" x14ac:dyDescent="0.35">
      <c r="A829" s="32" t="s">
        <v>18</v>
      </c>
      <c r="B829" s="2" t="str">
        <f>VLOOKUP(A829,Stammdaten!$A$3:$B$7,2,FALSE)</f>
        <v>Filiale Zentrum</v>
      </c>
      <c r="C829" s="3" t="str" cm="1">
        <f t="array" ref="C829">INDEX(Stammdaten!$A$11:$A$25,INT((ROW()-5)/12)+1 - INT((ROW()-5)/180)*15)</f>
        <v>A009</v>
      </c>
      <c r="D829" s="2" t="str">
        <f>VLOOKUP(C829,Stammdaten!$A$11:$B$25,2,FALSE)</f>
        <v>Sahne 200ml</v>
      </c>
      <c r="E829" s="3" t="str">
        <f>VLOOKUP(C829,Stammdaten!$A$11:$C$25,3,FALSE)</f>
        <v>Sahne</v>
      </c>
      <c r="F829" s="19">
        <f>VLOOKUP(C829,Stammdaten!$A$11:$D$25,4,FALSE)</f>
        <v>0.79</v>
      </c>
      <c r="G829" s="4">
        <f t="shared" si="156"/>
        <v>9</v>
      </c>
      <c r="H829" s="20" t="str">
        <f>VLOOKUP(G829,Stammdaten!$A$30:$B$41,2,FALSE)</f>
        <v>September</v>
      </c>
      <c r="I829" s="4">
        <v>259</v>
      </c>
      <c r="J829" s="4">
        <v>254</v>
      </c>
      <c r="K829" s="4">
        <f t="shared" si="157"/>
        <v>-5</v>
      </c>
      <c r="L829" s="27">
        <f t="shared" si="158"/>
        <v>-1.9305019305019304</v>
      </c>
      <c r="M829" s="52" t="str">
        <f t="shared" si="159"/>
        <v>Schwund</v>
      </c>
      <c r="N829" s="28">
        <f t="shared" si="160"/>
        <v>3.95</v>
      </c>
      <c r="O829" s="5">
        <v>2</v>
      </c>
      <c r="P829" s="4">
        <v>0</v>
      </c>
      <c r="Q829" s="28">
        <f t="shared" si="161"/>
        <v>0.98750000000000004</v>
      </c>
      <c r="R829" s="50">
        <f t="shared" si="162"/>
        <v>1.1850000000000001</v>
      </c>
      <c r="S829" s="2" t="str">
        <f t="shared" si="163"/>
        <v>Normal</v>
      </c>
      <c r="T829" s="4">
        <v>0</v>
      </c>
      <c r="U829" s="4" t="str">
        <f t="shared" si="164"/>
        <v>Ja - 20% Reduzierung</v>
      </c>
      <c r="V829" s="4">
        <f t="shared" si="165"/>
        <v>20</v>
      </c>
      <c r="W829" s="19">
        <f t="shared" si="166"/>
        <v>0.63</v>
      </c>
      <c r="X829" s="5">
        <v>26</v>
      </c>
      <c r="Y829" s="28">
        <f t="shared" si="167"/>
        <v>4.1100000000000003</v>
      </c>
      <c r="Z829" s="31" t="s">
        <v>173</v>
      </c>
      <c r="AA829" t="str">
        <f t="shared" si="168"/>
        <v>Normal/Gering</v>
      </c>
    </row>
    <row r="830" spans="1:27" x14ac:dyDescent="0.35">
      <c r="A830" s="32" t="s">
        <v>18</v>
      </c>
      <c r="B830" s="2" t="str">
        <f>VLOOKUP(A830,Stammdaten!$A$3:$B$7,2,FALSE)</f>
        <v>Filiale Zentrum</v>
      </c>
      <c r="C830" s="3" t="str" cm="1">
        <f t="array" ref="C830">INDEX(Stammdaten!$A$11:$A$25,INT((ROW()-5)/12)+1 - INT((ROW()-5)/180)*15)</f>
        <v>A009</v>
      </c>
      <c r="D830" s="2" t="str">
        <f>VLOOKUP(C830,Stammdaten!$A$11:$B$25,2,FALSE)</f>
        <v>Sahne 200ml</v>
      </c>
      <c r="E830" s="3" t="str">
        <f>VLOOKUP(C830,Stammdaten!$A$11:$C$25,3,FALSE)</f>
        <v>Sahne</v>
      </c>
      <c r="F830" s="19">
        <f>VLOOKUP(C830,Stammdaten!$A$11:$D$25,4,FALSE)</f>
        <v>0.79</v>
      </c>
      <c r="G830" s="4">
        <f t="shared" si="156"/>
        <v>10</v>
      </c>
      <c r="H830" s="20" t="str">
        <f>VLOOKUP(G830,Stammdaten!$A$30:$B$41,2,FALSE)</f>
        <v>Oktober</v>
      </c>
      <c r="I830" s="4">
        <v>263</v>
      </c>
      <c r="J830" s="4">
        <v>255</v>
      </c>
      <c r="K830" s="4">
        <f t="shared" si="157"/>
        <v>-8</v>
      </c>
      <c r="L830" s="27">
        <f t="shared" si="158"/>
        <v>-3.041825095057034</v>
      </c>
      <c r="M830" s="52" t="str">
        <f t="shared" si="159"/>
        <v>Schwund</v>
      </c>
      <c r="N830" s="28">
        <f t="shared" si="160"/>
        <v>6.32</v>
      </c>
      <c r="O830" s="5">
        <v>6</v>
      </c>
      <c r="P830" s="4">
        <v>4</v>
      </c>
      <c r="Q830" s="28">
        <f t="shared" si="161"/>
        <v>1.58</v>
      </c>
      <c r="R830" s="50">
        <f t="shared" si="162"/>
        <v>1.8959999999999999</v>
      </c>
      <c r="S830" s="2" t="str">
        <f t="shared" si="163"/>
        <v>Normal</v>
      </c>
      <c r="T830" s="4">
        <v>0</v>
      </c>
      <c r="U830" s="4" t="str">
        <f t="shared" si="164"/>
        <v>Nein</v>
      </c>
      <c r="V830" s="4">
        <f t="shared" si="165"/>
        <v>0</v>
      </c>
      <c r="W830" s="19">
        <f t="shared" si="166"/>
        <v>0.79</v>
      </c>
      <c r="X830" s="5">
        <v>0</v>
      </c>
      <c r="Y830" s="28">
        <f t="shared" si="167"/>
        <v>0</v>
      </c>
      <c r="Z830" s="31" t="s">
        <v>172</v>
      </c>
      <c r="AA830" t="str">
        <f t="shared" si="168"/>
        <v>Diebstahlrisiko</v>
      </c>
    </row>
    <row r="831" spans="1:27" x14ac:dyDescent="0.35">
      <c r="A831" s="32" t="s">
        <v>18</v>
      </c>
      <c r="B831" s="2" t="str">
        <f>VLOOKUP(A831,Stammdaten!$A$3:$B$7,2,FALSE)</f>
        <v>Filiale Zentrum</v>
      </c>
      <c r="C831" s="3" t="str" cm="1">
        <f t="array" ref="C831">INDEX(Stammdaten!$A$11:$A$25,INT((ROW()-5)/12)+1 - INT((ROW()-5)/180)*15)</f>
        <v>A009</v>
      </c>
      <c r="D831" s="2" t="str">
        <f>VLOOKUP(C831,Stammdaten!$A$11:$B$25,2,FALSE)</f>
        <v>Sahne 200ml</v>
      </c>
      <c r="E831" s="3" t="str">
        <f>VLOOKUP(C831,Stammdaten!$A$11:$C$25,3,FALSE)</f>
        <v>Sahne</v>
      </c>
      <c r="F831" s="19">
        <f>VLOOKUP(C831,Stammdaten!$A$11:$D$25,4,FALSE)</f>
        <v>0.79</v>
      </c>
      <c r="G831" s="4">
        <f t="shared" si="156"/>
        <v>11</v>
      </c>
      <c r="H831" s="20" t="str">
        <f>VLOOKUP(G831,Stammdaten!$A$30:$B$41,2,FALSE)</f>
        <v>November</v>
      </c>
      <c r="I831" s="4">
        <v>277</v>
      </c>
      <c r="J831" s="4">
        <v>268</v>
      </c>
      <c r="K831" s="4">
        <f t="shared" si="157"/>
        <v>-9</v>
      </c>
      <c r="L831" s="27">
        <f t="shared" si="158"/>
        <v>-3.2490974729241873</v>
      </c>
      <c r="M831" s="52" t="str">
        <f t="shared" si="159"/>
        <v>Schwund</v>
      </c>
      <c r="N831" s="28">
        <f t="shared" si="160"/>
        <v>7.11</v>
      </c>
      <c r="O831" s="5">
        <v>7</v>
      </c>
      <c r="P831" s="4">
        <v>1</v>
      </c>
      <c r="Q831" s="28">
        <f t="shared" si="161"/>
        <v>1.7775000000000001</v>
      </c>
      <c r="R831" s="50">
        <f t="shared" si="162"/>
        <v>2.133</v>
      </c>
      <c r="S831" s="2" t="str">
        <f t="shared" si="163"/>
        <v>Black Friday</v>
      </c>
      <c r="T831" s="4">
        <v>0</v>
      </c>
      <c r="U831" s="4" t="str">
        <f t="shared" si="164"/>
        <v>Nein</v>
      </c>
      <c r="V831" s="4">
        <f t="shared" si="165"/>
        <v>0</v>
      </c>
      <c r="W831" s="19">
        <f t="shared" si="166"/>
        <v>0.79</v>
      </c>
      <c r="X831" s="5">
        <v>0</v>
      </c>
      <c r="Y831" s="28">
        <f t="shared" si="167"/>
        <v>0</v>
      </c>
      <c r="Z831" s="31" t="s">
        <v>172</v>
      </c>
      <c r="AA831" t="str">
        <f t="shared" si="168"/>
        <v>Diebstahlrisiko</v>
      </c>
    </row>
    <row r="832" spans="1:27" x14ac:dyDescent="0.35">
      <c r="A832" s="32" t="s">
        <v>18</v>
      </c>
      <c r="B832" s="2" t="str">
        <f>VLOOKUP(A832,Stammdaten!$A$3:$B$7,2,FALSE)</f>
        <v>Filiale Zentrum</v>
      </c>
      <c r="C832" s="3" t="str" cm="1">
        <f t="array" ref="C832">INDEX(Stammdaten!$A$11:$A$25,INT((ROW()-5)/12)+1 - INT((ROW()-5)/180)*15)</f>
        <v>A009</v>
      </c>
      <c r="D832" s="2" t="str">
        <f>VLOOKUP(C832,Stammdaten!$A$11:$B$25,2,FALSE)</f>
        <v>Sahne 200ml</v>
      </c>
      <c r="E832" s="3" t="str">
        <f>VLOOKUP(C832,Stammdaten!$A$11:$C$25,3,FALSE)</f>
        <v>Sahne</v>
      </c>
      <c r="F832" s="19">
        <f>VLOOKUP(C832,Stammdaten!$A$11:$D$25,4,FALSE)</f>
        <v>0.79</v>
      </c>
      <c r="G832" s="4">
        <f t="shared" si="156"/>
        <v>12</v>
      </c>
      <c r="H832" s="20" t="str">
        <f>VLOOKUP(G832,Stammdaten!$A$30:$B$41,2,FALSE)</f>
        <v>Dezember</v>
      </c>
      <c r="I832" s="4">
        <v>375</v>
      </c>
      <c r="J832" s="4">
        <v>358</v>
      </c>
      <c r="K832" s="4">
        <f t="shared" si="157"/>
        <v>-17</v>
      </c>
      <c r="L832" s="27">
        <f t="shared" si="158"/>
        <v>-4.5333333333333332</v>
      </c>
      <c r="M832" s="52" t="str">
        <f t="shared" si="159"/>
        <v>Schwund</v>
      </c>
      <c r="N832" s="28">
        <f t="shared" si="160"/>
        <v>13.43</v>
      </c>
      <c r="O832" s="5">
        <v>7</v>
      </c>
      <c r="P832" s="4">
        <v>2</v>
      </c>
      <c r="Q832" s="28">
        <f t="shared" si="161"/>
        <v>3.3574999999999999</v>
      </c>
      <c r="R832" s="50">
        <f t="shared" si="162"/>
        <v>4.0289999999999999</v>
      </c>
      <c r="S832" s="2" t="str">
        <f t="shared" si="163"/>
        <v>Weihnachten/Silvester</v>
      </c>
      <c r="T832" s="4">
        <v>0</v>
      </c>
      <c r="U832" s="4" t="str">
        <f t="shared" si="164"/>
        <v>Nein</v>
      </c>
      <c r="V832" s="4">
        <f t="shared" si="165"/>
        <v>0</v>
      </c>
      <c r="W832" s="19">
        <f t="shared" si="166"/>
        <v>0.79</v>
      </c>
      <c r="X832" s="5">
        <v>0</v>
      </c>
      <c r="Y832" s="28">
        <f t="shared" si="167"/>
        <v>0</v>
      </c>
      <c r="Z832" s="31" t="s">
        <v>172</v>
      </c>
      <c r="AA832" t="str">
        <f t="shared" si="168"/>
        <v>Diebstahlrisiko</v>
      </c>
    </row>
    <row r="833" spans="1:27" x14ac:dyDescent="0.35">
      <c r="A833" s="32" t="s">
        <v>18</v>
      </c>
      <c r="B833" s="2" t="str">
        <f>VLOOKUP(A833,Stammdaten!$A$3:$B$7,2,FALSE)</f>
        <v>Filiale Zentrum</v>
      </c>
      <c r="C833" s="3" t="str" cm="1">
        <f t="array" ref="C833">INDEX(Stammdaten!$A$11:$A$25,INT((ROW()-5)/12)+1 - INT((ROW()-5)/180)*15)</f>
        <v>A010</v>
      </c>
      <c r="D833" s="2" t="str">
        <f>VLOOKUP(C833,Stammdaten!$A$11:$B$25,2,FALSE)</f>
        <v>Schmand 200g</v>
      </c>
      <c r="E833" s="3" t="str">
        <f>VLOOKUP(C833,Stammdaten!$A$11:$C$25,3,FALSE)</f>
        <v>Sahne</v>
      </c>
      <c r="F833" s="19">
        <f>VLOOKUP(C833,Stammdaten!$A$11:$D$25,4,FALSE)</f>
        <v>0.89</v>
      </c>
      <c r="G833" s="4">
        <f t="shared" si="156"/>
        <v>1</v>
      </c>
      <c r="H833" s="20" t="str">
        <f>VLOOKUP(G833,Stammdaten!$A$30:$B$41,2,FALSE)</f>
        <v>Januar</v>
      </c>
      <c r="I833" s="4">
        <v>206</v>
      </c>
      <c r="J833" s="4">
        <v>202</v>
      </c>
      <c r="K833" s="4">
        <f t="shared" si="157"/>
        <v>-4</v>
      </c>
      <c r="L833" s="27">
        <f t="shared" si="158"/>
        <v>-1.9417475728155338</v>
      </c>
      <c r="M833" s="52" t="str">
        <f t="shared" si="159"/>
        <v>Schwund</v>
      </c>
      <c r="N833" s="28">
        <f t="shared" si="160"/>
        <v>3.56</v>
      </c>
      <c r="O833" s="5">
        <v>8</v>
      </c>
      <c r="P833" s="4">
        <v>4</v>
      </c>
      <c r="Q833" s="28">
        <f t="shared" si="161"/>
        <v>0.89</v>
      </c>
      <c r="R833" s="50">
        <f t="shared" si="162"/>
        <v>1.0680000000000001</v>
      </c>
      <c r="S833" s="2" t="str">
        <f t="shared" si="163"/>
        <v>Normal</v>
      </c>
      <c r="T833" s="4">
        <v>0</v>
      </c>
      <c r="U833" s="4" t="str">
        <f t="shared" si="164"/>
        <v>Nein</v>
      </c>
      <c r="V833" s="4">
        <f t="shared" si="165"/>
        <v>0</v>
      </c>
      <c r="W833" s="19">
        <f t="shared" si="166"/>
        <v>0.89</v>
      </c>
      <c r="X833" s="5">
        <v>0</v>
      </c>
      <c r="Y833" s="28">
        <f t="shared" si="167"/>
        <v>0</v>
      </c>
      <c r="Z833" s="31" t="s">
        <v>172</v>
      </c>
      <c r="AA833" t="str">
        <f t="shared" si="168"/>
        <v>Normal/Gering</v>
      </c>
    </row>
    <row r="834" spans="1:27" x14ac:dyDescent="0.35">
      <c r="A834" s="32" t="s">
        <v>18</v>
      </c>
      <c r="B834" s="2" t="str">
        <f>VLOOKUP(A834,Stammdaten!$A$3:$B$7,2,FALSE)</f>
        <v>Filiale Zentrum</v>
      </c>
      <c r="C834" s="3" t="str" cm="1">
        <f t="array" ref="C834">INDEX(Stammdaten!$A$11:$A$25,INT((ROW()-5)/12)+1 - INT((ROW()-5)/180)*15)</f>
        <v>A010</v>
      </c>
      <c r="D834" s="2" t="str">
        <f>VLOOKUP(C834,Stammdaten!$A$11:$B$25,2,FALSE)</f>
        <v>Schmand 200g</v>
      </c>
      <c r="E834" s="3" t="str">
        <f>VLOOKUP(C834,Stammdaten!$A$11:$C$25,3,FALSE)</f>
        <v>Sahne</v>
      </c>
      <c r="F834" s="19">
        <f>VLOOKUP(C834,Stammdaten!$A$11:$D$25,4,FALSE)</f>
        <v>0.89</v>
      </c>
      <c r="G834" s="4">
        <f t="shared" si="156"/>
        <v>2</v>
      </c>
      <c r="H834" s="20" t="str">
        <f>VLOOKUP(G834,Stammdaten!$A$30:$B$41,2,FALSE)</f>
        <v>Februar</v>
      </c>
      <c r="I834" s="4">
        <v>203</v>
      </c>
      <c r="J834" s="4">
        <v>199</v>
      </c>
      <c r="K834" s="4">
        <f t="shared" si="157"/>
        <v>-4</v>
      </c>
      <c r="L834" s="27">
        <f t="shared" si="158"/>
        <v>-1.9704433497536946</v>
      </c>
      <c r="M834" s="52" t="str">
        <f t="shared" si="159"/>
        <v>Schwund</v>
      </c>
      <c r="N834" s="28">
        <f t="shared" si="160"/>
        <v>3.56</v>
      </c>
      <c r="O834" s="5">
        <v>2</v>
      </c>
      <c r="P834" s="4">
        <v>5</v>
      </c>
      <c r="Q834" s="28">
        <f t="shared" si="161"/>
        <v>0.89</v>
      </c>
      <c r="R834" s="50">
        <f t="shared" si="162"/>
        <v>1.0680000000000001</v>
      </c>
      <c r="S834" s="2" t="str">
        <f t="shared" si="163"/>
        <v>Karneval</v>
      </c>
      <c r="T834" s="4">
        <v>0</v>
      </c>
      <c r="U834" s="4" t="str">
        <f t="shared" si="164"/>
        <v>Ja - 20% Reduzierung</v>
      </c>
      <c r="V834" s="4">
        <f t="shared" si="165"/>
        <v>20</v>
      </c>
      <c r="W834" s="19">
        <f t="shared" si="166"/>
        <v>0.71</v>
      </c>
      <c r="X834" s="5">
        <v>30</v>
      </c>
      <c r="Y834" s="28">
        <f t="shared" si="167"/>
        <v>5.34</v>
      </c>
      <c r="Z834" s="31" t="s">
        <v>173</v>
      </c>
      <c r="AA834" t="str">
        <f t="shared" si="168"/>
        <v>Normal/Gering</v>
      </c>
    </row>
    <row r="835" spans="1:27" x14ac:dyDescent="0.35">
      <c r="A835" s="32" t="s">
        <v>18</v>
      </c>
      <c r="B835" s="2" t="str">
        <f>VLOOKUP(A835,Stammdaten!$A$3:$B$7,2,FALSE)</f>
        <v>Filiale Zentrum</v>
      </c>
      <c r="C835" s="3" t="str" cm="1">
        <f t="array" ref="C835">INDEX(Stammdaten!$A$11:$A$25,INT((ROW()-5)/12)+1 - INT((ROW()-5)/180)*15)</f>
        <v>A010</v>
      </c>
      <c r="D835" s="2" t="str">
        <f>VLOOKUP(C835,Stammdaten!$A$11:$B$25,2,FALSE)</f>
        <v>Schmand 200g</v>
      </c>
      <c r="E835" s="3" t="str">
        <f>VLOOKUP(C835,Stammdaten!$A$11:$C$25,3,FALSE)</f>
        <v>Sahne</v>
      </c>
      <c r="F835" s="19">
        <f>VLOOKUP(C835,Stammdaten!$A$11:$D$25,4,FALSE)</f>
        <v>0.89</v>
      </c>
      <c r="G835" s="4">
        <f t="shared" si="156"/>
        <v>3</v>
      </c>
      <c r="H835" s="20" t="str">
        <f>VLOOKUP(G835,Stammdaten!$A$30:$B$41,2,FALSE)</f>
        <v>März</v>
      </c>
      <c r="I835" s="4">
        <v>241</v>
      </c>
      <c r="J835" s="4">
        <v>237</v>
      </c>
      <c r="K835" s="4">
        <f t="shared" si="157"/>
        <v>-4</v>
      </c>
      <c r="L835" s="27">
        <f t="shared" si="158"/>
        <v>-1.6597510373443984</v>
      </c>
      <c r="M835" s="52" t="str">
        <f t="shared" si="159"/>
        <v>Schwund</v>
      </c>
      <c r="N835" s="28">
        <f t="shared" si="160"/>
        <v>3.56</v>
      </c>
      <c r="O835" s="5">
        <v>2</v>
      </c>
      <c r="P835" s="4">
        <v>3</v>
      </c>
      <c r="Q835" s="28">
        <f t="shared" si="161"/>
        <v>0.89</v>
      </c>
      <c r="R835" s="50">
        <f t="shared" si="162"/>
        <v>1.0680000000000001</v>
      </c>
      <c r="S835" s="2" t="str">
        <f t="shared" si="163"/>
        <v>Normal</v>
      </c>
      <c r="T835" s="4">
        <v>0</v>
      </c>
      <c r="U835" s="4" t="str">
        <f t="shared" si="164"/>
        <v>Ja - 20% Reduzierung</v>
      </c>
      <c r="V835" s="4">
        <f t="shared" si="165"/>
        <v>20</v>
      </c>
      <c r="W835" s="19">
        <f t="shared" si="166"/>
        <v>0.71</v>
      </c>
      <c r="X835" s="5">
        <v>29</v>
      </c>
      <c r="Y835" s="28">
        <f t="shared" si="167"/>
        <v>5.16</v>
      </c>
      <c r="Z835" s="31" t="s">
        <v>173</v>
      </c>
      <c r="AA835" t="str">
        <f t="shared" si="168"/>
        <v>Normal/Gering</v>
      </c>
    </row>
    <row r="836" spans="1:27" x14ac:dyDescent="0.35">
      <c r="A836" s="32" t="s">
        <v>18</v>
      </c>
      <c r="B836" s="2" t="str">
        <f>VLOOKUP(A836,Stammdaten!$A$3:$B$7,2,FALSE)</f>
        <v>Filiale Zentrum</v>
      </c>
      <c r="C836" s="3" t="str" cm="1">
        <f t="array" ref="C836">INDEX(Stammdaten!$A$11:$A$25,INT((ROW()-5)/12)+1 - INT((ROW()-5)/180)*15)</f>
        <v>A010</v>
      </c>
      <c r="D836" s="2" t="str">
        <f>VLOOKUP(C836,Stammdaten!$A$11:$B$25,2,FALSE)</f>
        <v>Schmand 200g</v>
      </c>
      <c r="E836" s="3" t="str">
        <f>VLOOKUP(C836,Stammdaten!$A$11:$C$25,3,FALSE)</f>
        <v>Sahne</v>
      </c>
      <c r="F836" s="19">
        <f>VLOOKUP(C836,Stammdaten!$A$11:$D$25,4,FALSE)</f>
        <v>0.89</v>
      </c>
      <c r="G836" s="4">
        <f t="shared" si="156"/>
        <v>4</v>
      </c>
      <c r="H836" s="20" t="str">
        <f>VLOOKUP(G836,Stammdaten!$A$30:$B$41,2,FALSE)</f>
        <v>April</v>
      </c>
      <c r="I836" s="4">
        <v>281</v>
      </c>
      <c r="J836" s="4">
        <v>272</v>
      </c>
      <c r="K836" s="4">
        <f t="shared" si="157"/>
        <v>-9</v>
      </c>
      <c r="L836" s="27">
        <f t="shared" si="158"/>
        <v>-3.2028469750889679</v>
      </c>
      <c r="M836" s="52" t="str">
        <f t="shared" si="159"/>
        <v>Schwund</v>
      </c>
      <c r="N836" s="28">
        <f t="shared" si="160"/>
        <v>8.01</v>
      </c>
      <c r="O836" s="5">
        <v>7</v>
      </c>
      <c r="P836" s="4">
        <v>4</v>
      </c>
      <c r="Q836" s="28">
        <f t="shared" si="161"/>
        <v>2.0024999999999999</v>
      </c>
      <c r="R836" s="50">
        <f t="shared" si="162"/>
        <v>2.403</v>
      </c>
      <c r="S836" s="2" t="str">
        <f t="shared" si="163"/>
        <v>Ostern</v>
      </c>
      <c r="T836" s="4">
        <v>0</v>
      </c>
      <c r="U836" s="4" t="str">
        <f t="shared" si="164"/>
        <v>Nein</v>
      </c>
      <c r="V836" s="4">
        <f t="shared" si="165"/>
        <v>0</v>
      </c>
      <c r="W836" s="19">
        <f t="shared" si="166"/>
        <v>0.89</v>
      </c>
      <c r="X836" s="5">
        <v>0</v>
      </c>
      <c r="Y836" s="28">
        <f t="shared" si="167"/>
        <v>0</v>
      </c>
      <c r="Z836" s="31" t="s">
        <v>172</v>
      </c>
      <c r="AA836" t="str">
        <f t="shared" si="168"/>
        <v>Diebstahlrisiko</v>
      </c>
    </row>
    <row r="837" spans="1:27" x14ac:dyDescent="0.35">
      <c r="A837" s="32" t="s">
        <v>18</v>
      </c>
      <c r="B837" s="2" t="str">
        <f>VLOOKUP(A837,Stammdaten!$A$3:$B$7,2,FALSE)</f>
        <v>Filiale Zentrum</v>
      </c>
      <c r="C837" s="3" t="str" cm="1">
        <f t="array" ref="C837">INDEX(Stammdaten!$A$11:$A$25,INT((ROW()-5)/12)+1 - INT((ROW()-5)/180)*15)</f>
        <v>A010</v>
      </c>
      <c r="D837" s="2" t="str">
        <f>VLOOKUP(C837,Stammdaten!$A$11:$B$25,2,FALSE)</f>
        <v>Schmand 200g</v>
      </c>
      <c r="E837" s="3" t="str">
        <f>VLOOKUP(C837,Stammdaten!$A$11:$C$25,3,FALSE)</f>
        <v>Sahne</v>
      </c>
      <c r="F837" s="19">
        <f>VLOOKUP(C837,Stammdaten!$A$11:$D$25,4,FALSE)</f>
        <v>0.89</v>
      </c>
      <c r="G837" s="4">
        <f t="shared" si="156"/>
        <v>5</v>
      </c>
      <c r="H837" s="20" t="str">
        <f>VLOOKUP(G837,Stammdaten!$A$30:$B$41,2,FALSE)</f>
        <v>Mai</v>
      </c>
      <c r="I837" s="4">
        <v>232</v>
      </c>
      <c r="J837" s="4">
        <v>228</v>
      </c>
      <c r="K837" s="4">
        <f t="shared" si="157"/>
        <v>-4</v>
      </c>
      <c r="L837" s="27">
        <f t="shared" si="158"/>
        <v>-1.7241379310344827</v>
      </c>
      <c r="M837" s="52" t="str">
        <f t="shared" si="159"/>
        <v>Schwund</v>
      </c>
      <c r="N837" s="28">
        <f t="shared" si="160"/>
        <v>3.56</v>
      </c>
      <c r="O837" s="5">
        <v>3</v>
      </c>
      <c r="P837" s="4">
        <v>0</v>
      </c>
      <c r="Q837" s="28">
        <f t="shared" si="161"/>
        <v>0.89</v>
      </c>
      <c r="R837" s="50">
        <f t="shared" si="162"/>
        <v>1.0680000000000001</v>
      </c>
      <c r="S837" s="2" t="str">
        <f t="shared" si="163"/>
        <v>Normal</v>
      </c>
      <c r="T837" s="4">
        <v>0</v>
      </c>
      <c r="U837" s="4" t="str">
        <f t="shared" si="164"/>
        <v>Ja - 20% Reduzierung</v>
      </c>
      <c r="V837" s="4">
        <f t="shared" si="165"/>
        <v>20</v>
      </c>
      <c r="W837" s="19">
        <f t="shared" si="166"/>
        <v>0.71</v>
      </c>
      <c r="X837" s="5">
        <v>19</v>
      </c>
      <c r="Y837" s="28">
        <f t="shared" si="167"/>
        <v>3.38</v>
      </c>
      <c r="Z837" s="31" t="s">
        <v>173</v>
      </c>
      <c r="AA837" t="str">
        <f t="shared" si="168"/>
        <v>Normal/Gering</v>
      </c>
    </row>
    <row r="838" spans="1:27" x14ac:dyDescent="0.35">
      <c r="A838" s="32" t="s">
        <v>18</v>
      </c>
      <c r="B838" s="2" t="str">
        <f>VLOOKUP(A838,Stammdaten!$A$3:$B$7,2,FALSE)</f>
        <v>Filiale Zentrum</v>
      </c>
      <c r="C838" s="3" t="str" cm="1">
        <f t="array" ref="C838">INDEX(Stammdaten!$A$11:$A$25,INT((ROW()-5)/12)+1 - INT((ROW()-5)/180)*15)</f>
        <v>A010</v>
      </c>
      <c r="D838" s="2" t="str">
        <f>VLOOKUP(C838,Stammdaten!$A$11:$B$25,2,FALSE)</f>
        <v>Schmand 200g</v>
      </c>
      <c r="E838" s="3" t="str">
        <f>VLOOKUP(C838,Stammdaten!$A$11:$C$25,3,FALSE)</f>
        <v>Sahne</v>
      </c>
      <c r="F838" s="19">
        <f>VLOOKUP(C838,Stammdaten!$A$11:$D$25,4,FALSE)</f>
        <v>0.89</v>
      </c>
      <c r="G838" s="4">
        <f t="shared" ref="G838:G901" si="169">MOD(ROW()-5,12)+1</f>
        <v>6</v>
      </c>
      <c r="H838" s="20" t="str">
        <f>VLOOKUP(G838,Stammdaten!$A$30:$B$41,2,FALSE)</f>
        <v>Juni</v>
      </c>
      <c r="I838" s="4">
        <v>245</v>
      </c>
      <c r="J838" s="4">
        <v>245</v>
      </c>
      <c r="K838" s="4">
        <f t="shared" ref="K838:K901" si="170">J838-I838</f>
        <v>0</v>
      </c>
      <c r="L838" s="27">
        <f t="shared" ref="L838:L901" si="171">IF(I838=0,0,(K838)/I838*100)</f>
        <v>0</v>
      </c>
      <c r="M838" s="52" t="str">
        <f t="shared" ref="M838:M901" si="172">IF(K838=0,"Perfekt",IF(K838&lt;0,"Schwund","Überbestand"))</f>
        <v>Perfekt</v>
      </c>
      <c r="N838" s="28">
        <f t="shared" ref="N838:N901" si="173">ABS(K838)*F838</f>
        <v>0</v>
      </c>
      <c r="O838" s="5">
        <v>6</v>
      </c>
      <c r="P838" s="4">
        <v>2</v>
      </c>
      <c r="Q838" s="28">
        <f t="shared" ref="Q838:Q901" si="174">IF(K838&lt;0,ABS(N838)*0.25,0)</f>
        <v>0</v>
      </c>
      <c r="R838" s="50">
        <f t="shared" ref="R838:R901" si="175">IF(K838&lt;0,ABS(N838)*0.3,0)</f>
        <v>0</v>
      </c>
      <c r="S838" s="2" t="str">
        <f t="shared" ref="S838:S901" si="176">IF(G838=4,"Ostern",IF(G838=12,"Weihnachten/Silvester",IF(G838=11,"Black Friday",IF(G838=2,"Karneval","Normal"))))</f>
        <v>Normal</v>
      </c>
      <c r="T838" s="4">
        <v>0</v>
      </c>
      <c r="U838" s="4" t="str">
        <f t="shared" ref="U838:U901" si="177">IF(O838&lt;=0,"Abschreibung",IF(O838&lt;=3,"Ja - 20% Reduzierung","Nein"))</f>
        <v>Nein</v>
      </c>
      <c r="V838" s="4">
        <f t="shared" ref="V838:V901" si="178">IF(O838&lt;=0,100,IF(O838&lt;=3,20,0))</f>
        <v>0</v>
      </c>
      <c r="W838" s="19">
        <f t="shared" ref="W838:W901" si="179">IF(V838=100,0,ROUND(F838*(1-V838/100),2))</f>
        <v>0.89</v>
      </c>
      <c r="X838" s="5">
        <v>0</v>
      </c>
      <c r="Y838" s="28">
        <f t="shared" ref="Y838:Y901" si="180">ROUND(X838*F838*(V838/100),2)</f>
        <v>0</v>
      </c>
      <c r="Z838" s="31" t="s">
        <v>172</v>
      </c>
      <c r="AA838" t="str">
        <f t="shared" ref="AA838:AA901" si="181">IF(O838&lt;=0,"Verderb - Abgelaufen",IF(AND(O838&lt;=3,Z838&lt;&gt;"Korrekt",Z838&lt;&gt;"Kein MHD - Prozess"),"MHD - Prozessfehler",IF(K838&gt;0,"Kassenfehler (Überbestand)",IF(AND(ABS(L838)&gt;3,A838="F005"),"Diebstahlrisiko",IF(AND(ABS(L838)&gt;2,P838&lt;2),"Buchungsfehler Wareneingang",IF(ABS(L838)&gt;2,"Prozessfehler","Normal/Gering"))))))</f>
        <v>Normal/Gering</v>
      </c>
    </row>
    <row r="839" spans="1:27" x14ac:dyDescent="0.35">
      <c r="A839" s="32" t="s">
        <v>18</v>
      </c>
      <c r="B839" s="2" t="str">
        <f>VLOOKUP(A839,Stammdaten!$A$3:$B$7,2,FALSE)</f>
        <v>Filiale Zentrum</v>
      </c>
      <c r="C839" s="3" t="str" cm="1">
        <f t="array" ref="C839">INDEX(Stammdaten!$A$11:$A$25,INT((ROW()-5)/12)+1 - INT((ROW()-5)/180)*15)</f>
        <v>A010</v>
      </c>
      <c r="D839" s="2" t="str">
        <f>VLOOKUP(C839,Stammdaten!$A$11:$B$25,2,FALSE)</f>
        <v>Schmand 200g</v>
      </c>
      <c r="E839" s="3" t="str">
        <f>VLOOKUP(C839,Stammdaten!$A$11:$C$25,3,FALSE)</f>
        <v>Sahne</v>
      </c>
      <c r="F839" s="19">
        <f>VLOOKUP(C839,Stammdaten!$A$11:$D$25,4,FALSE)</f>
        <v>0.89</v>
      </c>
      <c r="G839" s="4">
        <f t="shared" si="169"/>
        <v>7</v>
      </c>
      <c r="H839" s="20" t="str">
        <f>VLOOKUP(G839,Stammdaten!$A$30:$B$41,2,FALSE)</f>
        <v>Juli</v>
      </c>
      <c r="I839" s="4">
        <v>270</v>
      </c>
      <c r="J839" s="4">
        <v>266</v>
      </c>
      <c r="K839" s="4">
        <f t="shared" si="170"/>
        <v>-4</v>
      </c>
      <c r="L839" s="27">
        <f t="shared" si="171"/>
        <v>-1.4814814814814816</v>
      </c>
      <c r="M839" s="52" t="str">
        <f t="shared" si="172"/>
        <v>Schwund</v>
      </c>
      <c r="N839" s="28">
        <f t="shared" si="173"/>
        <v>3.56</v>
      </c>
      <c r="O839" s="5">
        <v>6</v>
      </c>
      <c r="P839" s="4">
        <v>4</v>
      </c>
      <c r="Q839" s="28">
        <f t="shared" si="174"/>
        <v>0.89</v>
      </c>
      <c r="R839" s="50">
        <f t="shared" si="175"/>
        <v>1.0680000000000001</v>
      </c>
      <c r="S839" s="2" t="str">
        <f t="shared" si="176"/>
        <v>Normal</v>
      </c>
      <c r="T839" s="4">
        <v>0</v>
      </c>
      <c r="U839" s="4" t="str">
        <f t="shared" si="177"/>
        <v>Nein</v>
      </c>
      <c r="V839" s="4">
        <f t="shared" si="178"/>
        <v>0</v>
      </c>
      <c r="W839" s="19">
        <f t="shared" si="179"/>
        <v>0.89</v>
      </c>
      <c r="X839" s="5">
        <v>0</v>
      </c>
      <c r="Y839" s="28">
        <f t="shared" si="180"/>
        <v>0</v>
      </c>
      <c r="Z839" s="31" t="s">
        <v>172</v>
      </c>
      <c r="AA839" t="str">
        <f t="shared" si="181"/>
        <v>Normal/Gering</v>
      </c>
    </row>
    <row r="840" spans="1:27" x14ac:dyDescent="0.35">
      <c r="A840" s="32" t="s">
        <v>18</v>
      </c>
      <c r="B840" s="2" t="str">
        <f>VLOOKUP(A840,Stammdaten!$A$3:$B$7,2,FALSE)</f>
        <v>Filiale Zentrum</v>
      </c>
      <c r="C840" s="3" t="str" cm="1">
        <f t="array" ref="C840">INDEX(Stammdaten!$A$11:$A$25,INT((ROW()-5)/12)+1 - INT((ROW()-5)/180)*15)</f>
        <v>A010</v>
      </c>
      <c r="D840" s="2" t="str">
        <f>VLOOKUP(C840,Stammdaten!$A$11:$B$25,2,FALSE)</f>
        <v>Schmand 200g</v>
      </c>
      <c r="E840" s="3" t="str">
        <f>VLOOKUP(C840,Stammdaten!$A$11:$C$25,3,FALSE)</f>
        <v>Sahne</v>
      </c>
      <c r="F840" s="19">
        <f>VLOOKUP(C840,Stammdaten!$A$11:$D$25,4,FALSE)</f>
        <v>0.89</v>
      </c>
      <c r="G840" s="4">
        <f t="shared" si="169"/>
        <v>8</v>
      </c>
      <c r="H840" s="20" t="str">
        <f>VLOOKUP(G840,Stammdaten!$A$30:$B$41,2,FALSE)</f>
        <v>August</v>
      </c>
      <c r="I840" s="4">
        <v>258</v>
      </c>
      <c r="J840" s="4">
        <v>252</v>
      </c>
      <c r="K840" s="4">
        <f t="shared" si="170"/>
        <v>-6</v>
      </c>
      <c r="L840" s="27">
        <f t="shared" si="171"/>
        <v>-2.3255813953488373</v>
      </c>
      <c r="M840" s="52" t="str">
        <f t="shared" si="172"/>
        <v>Schwund</v>
      </c>
      <c r="N840" s="28">
        <f t="shared" si="173"/>
        <v>5.34</v>
      </c>
      <c r="O840" s="5">
        <v>6</v>
      </c>
      <c r="P840" s="4">
        <v>2</v>
      </c>
      <c r="Q840" s="28">
        <f t="shared" si="174"/>
        <v>1.335</v>
      </c>
      <c r="R840" s="50">
        <f t="shared" si="175"/>
        <v>1.6019999999999999</v>
      </c>
      <c r="S840" s="2" t="str">
        <f t="shared" si="176"/>
        <v>Normal</v>
      </c>
      <c r="T840" s="4">
        <v>0</v>
      </c>
      <c r="U840" s="4" t="str">
        <f t="shared" si="177"/>
        <v>Nein</v>
      </c>
      <c r="V840" s="4">
        <f t="shared" si="178"/>
        <v>0</v>
      </c>
      <c r="W840" s="19">
        <f t="shared" si="179"/>
        <v>0.89</v>
      </c>
      <c r="X840" s="5">
        <v>0</v>
      </c>
      <c r="Y840" s="28">
        <f t="shared" si="180"/>
        <v>0</v>
      </c>
      <c r="Z840" s="31" t="s">
        <v>172</v>
      </c>
      <c r="AA840" t="str">
        <f t="shared" si="181"/>
        <v>Prozessfehler</v>
      </c>
    </row>
    <row r="841" spans="1:27" x14ac:dyDescent="0.35">
      <c r="A841" s="32" t="s">
        <v>18</v>
      </c>
      <c r="B841" s="2" t="str">
        <f>VLOOKUP(A841,Stammdaten!$A$3:$B$7,2,FALSE)</f>
        <v>Filiale Zentrum</v>
      </c>
      <c r="C841" s="3" t="str" cm="1">
        <f t="array" ref="C841">INDEX(Stammdaten!$A$11:$A$25,INT((ROW()-5)/12)+1 - INT((ROW()-5)/180)*15)</f>
        <v>A010</v>
      </c>
      <c r="D841" s="2" t="str">
        <f>VLOOKUP(C841,Stammdaten!$A$11:$B$25,2,FALSE)</f>
        <v>Schmand 200g</v>
      </c>
      <c r="E841" s="3" t="str">
        <f>VLOOKUP(C841,Stammdaten!$A$11:$C$25,3,FALSE)</f>
        <v>Sahne</v>
      </c>
      <c r="F841" s="19">
        <f>VLOOKUP(C841,Stammdaten!$A$11:$D$25,4,FALSE)</f>
        <v>0.89</v>
      </c>
      <c r="G841" s="4">
        <f t="shared" si="169"/>
        <v>9</v>
      </c>
      <c r="H841" s="20" t="str">
        <f>VLOOKUP(G841,Stammdaten!$A$30:$B$41,2,FALSE)</f>
        <v>September</v>
      </c>
      <c r="I841" s="4">
        <v>225</v>
      </c>
      <c r="J841" s="4">
        <v>221</v>
      </c>
      <c r="K841" s="4">
        <f t="shared" si="170"/>
        <v>-4</v>
      </c>
      <c r="L841" s="27">
        <f t="shared" si="171"/>
        <v>-1.7777777777777777</v>
      </c>
      <c r="M841" s="52" t="str">
        <f t="shared" si="172"/>
        <v>Schwund</v>
      </c>
      <c r="N841" s="28">
        <f t="shared" si="173"/>
        <v>3.56</v>
      </c>
      <c r="O841" s="5">
        <v>6</v>
      </c>
      <c r="P841" s="4">
        <v>2</v>
      </c>
      <c r="Q841" s="28">
        <f t="shared" si="174"/>
        <v>0.89</v>
      </c>
      <c r="R841" s="50">
        <f t="shared" si="175"/>
        <v>1.0680000000000001</v>
      </c>
      <c r="S841" s="2" t="str">
        <f t="shared" si="176"/>
        <v>Normal</v>
      </c>
      <c r="T841" s="4">
        <v>0</v>
      </c>
      <c r="U841" s="4" t="str">
        <f t="shared" si="177"/>
        <v>Nein</v>
      </c>
      <c r="V841" s="4">
        <f t="shared" si="178"/>
        <v>0</v>
      </c>
      <c r="W841" s="19">
        <f t="shared" si="179"/>
        <v>0.89</v>
      </c>
      <c r="X841" s="5">
        <v>0</v>
      </c>
      <c r="Y841" s="28">
        <f t="shared" si="180"/>
        <v>0</v>
      </c>
      <c r="Z841" s="31" t="s">
        <v>172</v>
      </c>
      <c r="AA841" t="str">
        <f t="shared" si="181"/>
        <v>Normal/Gering</v>
      </c>
    </row>
    <row r="842" spans="1:27" x14ac:dyDescent="0.35">
      <c r="A842" s="32" t="s">
        <v>18</v>
      </c>
      <c r="B842" s="2" t="str">
        <f>VLOOKUP(A842,Stammdaten!$A$3:$B$7,2,FALSE)</f>
        <v>Filiale Zentrum</v>
      </c>
      <c r="C842" s="3" t="str" cm="1">
        <f t="array" ref="C842">INDEX(Stammdaten!$A$11:$A$25,INT((ROW()-5)/12)+1 - INT((ROW()-5)/180)*15)</f>
        <v>A010</v>
      </c>
      <c r="D842" s="2" t="str">
        <f>VLOOKUP(C842,Stammdaten!$A$11:$B$25,2,FALSE)</f>
        <v>Schmand 200g</v>
      </c>
      <c r="E842" s="3" t="str">
        <f>VLOOKUP(C842,Stammdaten!$A$11:$C$25,3,FALSE)</f>
        <v>Sahne</v>
      </c>
      <c r="F842" s="19">
        <f>VLOOKUP(C842,Stammdaten!$A$11:$D$25,4,FALSE)</f>
        <v>0.89</v>
      </c>
      <c r="G842" s="4">
        <f t="shared" si="169"/>
        <v>10</v>
      </c>
      <c r="H842" s="20" t="str">
        <f>VLOOKUP(G842,Stammdaten!$A$30:$B$41,2,FALSE)</f>
        <v>Oktober</v>
      </c>
      <c r="I842" s="4">
        <v>225</v>
      </c>
      <c r="J842" s="4">
        <v>221</v>
      </c>
      <c r="K842" s="4">
        <f t="shared" si="170"/>
        <v>-4</v>
      </c>
      <c r="L842" s="27">
        <f t="shared" si="171"/>
        <v>-1.7777777777777777</v>
      </c>
      <c r="M842" s="52" t="str">
        <f t="shared" si="172"/>
        <v>Schwund</v>
      </c>
      <c r="N842" s="28">
        <f t="shared" si="173"/>
        <v>3.56</v>
      </c>
      <c r="O842" s="5">
        <v>9</v>
      </c>
      <c r="P842" s="4">
        <v>2</v>
      </c>
      <c r="Q842" s="28">
        <f t="shared" si="174"/>
        <v>0.89</v>
      </c>
      <c r="R842" s="50">
        <f t="shared" si="175"/>
        <v>1.0680000000000001</v>
      </c>
      <c r="S842" s="2" t="str">
        <f t="shared" si="176"/>
        <v>Normal</v>
      </c>
      <c r="T842" s="4">
        <v>0</v>
      </c>
      <c r="U842" s="4" t="str">
        <f t="shared" si="177"/>
        <v>Nein</v>
      </c>
      <c r="V842" s="4">
        <f t="shared" si="178"/>
        <v>0</v>
      </c>
      <c r="W842" s="19">
        <f t="shared" si="179"/>
        <v>0.89</v>
      </c>
      <c r="X842" s="5">
        <v>0</v>
      </c>
      <c r="Y842" s="28">
        <f t="shared" si="180"/>
        <v>0</v>
      </c>
      <c r="Z842" s="31" t="s">
        <v>172</v>
      </c>
      <c r="AA842" t="str">
        <f t="shared" si="181"/>
        <v>Normal/Gering</v>
      </c>
    </row>
    <row r="843" spans="1:27" x14ac:dyDescent="0.35">
      <c r="A843" s="32" t="s">
        <v>18</v>
      </c>
      <c r="B843" s="2" t="str">
        <f>VLOOKUP(A843,Stammdaten!$A$3:$B$7,2,FALSE)</f>
        <v>Filiale Zentrum</v>
      </c>
      <c r="C843" s="3" t="str" cm="1">
        <f t="array" ref="C843">INDEX(Stammdaten!$A$11:$A$25,INT((ROW()-5)/12)+1 - INT((ROW()-5)/180)*15)</f>
        <v>A010</v>
      </c>
      <c r="D843" s="2" t="str">
        <f>VLOOKUP(C843,Stammdaten!$A$11:$B$25,2,FALSE)</f>
        <v>Schmand 200g</v>
      </c>
      <c r="E843" s="3" t="str">
        <f>VLOOKUP(C843,Stammdaten!$A$11:$C$25,3,FALSE)</f>
        <v>Sahne</v>
      </c>
      <c r="F843" s="19">
        <f>VLOOKUP(C843,Stammdaten!$A$11:$D$25,4,FALSE)</f>
        <v>0.89</v>
      </c>
      <c r="G843" s="4">
        <f t="shared" si="169"/>
        <v>11</v>
      </c>
      <c r="H843" s="20" t="str">
        <f>VLOOKUP(G843,Stammdaten!$A$30:$B$41,2,FALSE)</f>
        <v>November</v>
      </c>
      <c r="I843" s="4">
        <v>263</v>
      </c>
      <c r="J843" s="4">
        <v>257</v>
      </c>
      <c r="K843" s="4">
        <f t="shared" si="170"/>
        <v>-6</v>
      </c>
      <c r="L843" s="27">
        <f t="shared" si="171"/>
        <v>-2.2813688212927756</v>
      </c>
      <c r="M843" s="52" t="str">
        <f t="shared" si="172"/>
        <v>Schwund</v>
      </c>
      <c r="N843" s="28">
        <f t="shared" si="173"/>
        <v>5.34</v>
      </c>
      <c r="O843" s="5">
        <v>9</v>
      </c>
      <c r="P843" s="4">
        <v>0</v>
      </c>
      <c r="Q843" s="28">
        <f t="shared" si="174"/>
        <v>1.335</v>
      </c>
      <c r="R843" s="50">
        <f t="shared" si="175"/>
        <v>1.6019999999999999</v>
      </c>
      <c r="S843" s="2" t="str">
        <f t="shared" si="176"/>
        <v>Black Friday</v>
      </c>
      <c r="T843" s="4">
        <v>0</v>
      </c>
      <c r="U843" s="4" t="str">
        <f t="shared" si="177"/>
        <v>Nein</v>
      </c>
      <c r="V843" s="4">
        <f t="shared" si="178"/>
        <v>0</v>
      </c>
      <c r="W843" s="19">
        <f t="shared" si="179"/>
        <v>0.89</v>
      </c>
      <c r="X843" s="5">
        <v>0</v>
      </c>
      <c r="Y843" s="28">
        <f t="shared" si="180"/>
        <v>0</v>
      </c>
      <c r="Z843" s="31" t="s">
        <v>172</v>
      </c>
      <c r="AA843" t="str">
        <f t="shared" si="181"/>
        <v>Buchungsfehler Wareneingang</v>
      </c>
    </row>
    <row r="844" spans="1:27" x14ac:dyDescent="0.35">
      <c r="A844" s="32" t="s">
        <v>18</v>
      </c>
      <c r="B844" s="2" t="str">
        <f>VLOOKUP(A844,Stammdaten!$A$3:$B$7,2,FALSE)</f>
        <v>Filiale Zentrum</v>
      </c>
      <c r="C844" s="3" t="str" cm="1">
        <f t="array" ref="C844">INDEX(Stammdaten!$A$11:$A$25,INT((ROW()-5)/12)+1 - INT((ROW()-5)/180)*15)</f>
        <v>A010</v>
      </c>
      <c r="D844" s="2" t="str">
        <f>VLOOKUP(C844,Stammdaten!$A$11:$B$25,2,FALSE)</f>
        <v>Schmand 200g</v>
      </c>
      <c r="E844" s="3" t="str">
        <f>VLOOKUP(C844,Stammdaten!$A$11:$C$25,3,FALSE)</f>
        <v>Sahne</v>
      </c>
      <c r="F844" s="19">
        <f>VLOOKUP(C844,Stammdaten!$A$11:$D$25,4,FALSE)</f>
        <v>0.89</v>
      </c>
      <c r="G844" s="4">
        <f t="shared" si="169"/>
        <v>12</v>
      </c>
      <c r="H844" s="20" t="str">
        <f>VLOOKUP(G844,Stammdaten!$A$30:$B$41,2,FALSE)</f>
        <v>Dezember</v>
      </c>
      <c r="I844" s="4">
        <v>314</v>
      </c>
      <c r="J844" s="4">
        <v>307</v>
      </c>
      <c r="K844" s="4">
        <f t="shared" si="170"/>
        <v>-7</v>
      </c>
      <c r="L844" s="27">
        <f t="shared" si="171"/>
        <v>-2.2292993630573248</v>
      </c>
      <c r="M844" s="52" t="str">
        <f t="shared" si="172"/>
        <v>Schwund</v>
      </c>
      <c r="N844" s="28">
        <f t="shared" si="173"/>
        <v>6.23</v>
      </c>
      <c r="O844" s="5">
        <v>5</v>
      </c>
      <c r="P844" s="4">
        <v>5</v>
      </c>
      <c r="Q844" s="28">
        <f t="shared" si="174"/>
        <v>1.5575000000000001</v>
      </c>
      <c r="R844" s="50">
        <f t="shared" si="175"/>
        <v>1.869</v>
      </c>
      <c r="S844" s="2" t="str">
        <f t="shared" si="176"/>
        <v>Weihnachten/Silvester</v>
      </c>
      <c r="T844" s="4">
        <v>0</v>
      </c>
      <c r="U844" s="4" t="str">
        <f t="shared" si="177"/>
        <v>Nein</v>
      </c>
      <c r="V844" s="4">
        <f t="shared" si="178"/>
        <v>0</v>
      </c>
      <c r="W844" s="19">
        <f t="shared" si="179"/>
        <v>0.89</v>
      </c>
      <c r="X844" s="5">
        <v>0</v>
      </c>
      <c r="Y844" s="28">
        <f t="shared" si="180"/>
        <v>0</v>
      </c>
      <c r="Z844" s="31" t="s">
        <v>172</v>
      </c>
      <c r="AA844" t="str">
        <f t="shared" si="181"/>
        <v>Prozessfehler</v>
      </c>
    </row>
    <row r="845" spans="1:27" x14ac:dyDescent="0.35">
      <c r="A845" s="32" t="s">
        <v>18</v>
      </c>
      <c r="B845" s="2" t="str">
        <f>VLOOKUP(A845,Stammdaten!$A$3:$B$7,2,FALSE)</f>
        <v>Filiale Zentrum</v>
      </c>
      <c r="C845" s="3" t="str" cm="1">
        <f t="array" ref="C845">INDEX(Stammdaten!$A$11:$A$25,INT((ROW()-5)/12)+1 - INT((ROW()-5)/180)*15)</f>
        <v>A011</v>
      </c>
      <c r="D845" s="2" t="str">
        <f>VLOOKUP(C845,Stammdaten!$A$11:$B$25,2,FALSE)</f>
        <v>Mozzarella 125g</v>
      </c>
      <c r="E845" s="3" t="str">
        <f>VLOOKUP(C845,Stammdaten!$A$11:$C$25,3,FALSE)</f>
        <v>Käse</v>
      </c>
      <c r="F845" s="19">
        <f>VLOOKUP(C845,Stammdaten!$A$11:$D$25,4,FALSE)</f>
        <v>1.19</v>
      </c>
      <c r="G845" s="4">
        <f t="shared" si="169"/>
        <v>1</v>
      </c>
      <c r="H845" s="20" t="str">
        <f>VLOOKUP(G845,Stammdaten!$A$30:$B$41,2,FALSE)</f>
        <v>Januar</v>
      </c>
      <c r="I845" s="4">
        <v>355</v>
      </c>
      <c r="J845" s="4">
        <v>343</v>
      </c>
      <c r="K845" s="4">
        <f t="shared" si="170"/>
        <v>-12</v>
      </c>
      <c r="L845" s="27">
        <f t="shared" si="171"/>
        <v>-3.3802816901408446</v>
      </c>
      <c r="M845" s="52" t="str">
        <f t="shared" si="172"/>
        <v>Schwund</v>
      </c>
      <c r="N845" s="28">
        <f t="shared" si="173"/>
        <v>14.28</v>
      </c>
      <c r="O845" s="5">
        <v>4</v>
      </c>
      <c r="P845" s="4">
        <v>1</v>
      </c>
      <c r="Q845" s="28">
        <f t="shared" si="174"/>
        <v>3.57</v>
      </c>
      <c r="R845" s="50">
        <f t="shared" si="175"/>
        <v>4.2839999999999998</v>
      </c>
      <c r="S845" s="2" t="str">
        <f t="shared" si="176"/>
        <v>Normal</v>
      </c>
      <c r="T845" s="4">
        <v>0</v>
      </c>
      <c r="U845" s="4" t="str">
        <f t="shared" si="177"/>
        <v>Nein</v>
      </c>
      <c r="V845" s="4">
        <f t="shared" si="178"/>
        <v>0</v>
      </c>
      <c r="W845" s="19">
        <f t="shared" si="179"/>
        <v>1.19</v>
      </c>
      <c r="X845" s="5">
        <v>0</v>
      </c>
      <c r="Y845" s="28">
        <f t="shared" si="180"/>
        <v>0</v>
      </c>
      <c r="Z845" s="31" t="s">
        <v>172</v>
      </c>
      <c r="AA845" t="str">
        <f t="shared" si="181"/>
        <v>Diebstahlrisiko</v>
      </c>
    </row>
    <row r="846" spans="1:27" x14ac:dyDescent="0.35">
      <c r="A846" s="32" t="s">
        <v>18</v>
      </c>
      <c r="B846" s="2" t="str">
        <f>VLOOKUP(A846,Stammdaten!$A$3:$B$7,2,FALSE)</f>
        <v>Filiale Zentrum</v>
      </c>
      <c r="C846" s="3" t="str" cm="1">
        <f t="array" ref="C846">INDEX(Stammdaten!$A$11:$A$25,INT((ROW()-5)/12)+1 - INT((ROW()-5)/180)*15)</f>
        <v>A011</v>
      </c>
      <c r="D846" s="2" t="str">
        <f>VLOOKUP(C846,Stammdaten!$A$11:$B$25,2,FALSE)</f>
        <v>Mozzarella 125g</v>
      </c>
      <c r="E846" s="3" t="str">
        <f>VLOOKUP(C846,Stammdaten!$A$11:$C$25,3,FALSE)</f>
        <v>Käse</v>
      </c>
      <c r="F846" s="19">
        <f>VLOOKUP(C846,Stammdaten!$A$11:$D$25,4,FALSE)</f>
        <v>1.19</v>
      </c>
      <c r="G846" s="4">
        <f t="shared" si="169"/>
        <v>2</v>
      </c>
      <c r="H846" s="20" t="str">
        <f>VLOOKUP(G846,Stammdaten!$A$30:$B$41,2,FALSE)</f>
        <v>Februar</v>
      </c>
      <c r="I846" s="4">
        <v>332</v>
      </c>
      <c r="J846" s="4">
        <v>321</v>
      </c>
      <c r="K846" s="4">
        <f t="shared" si="170"/>
        <v>-11</v>
      </c>
      <c r="L846" s="27">
        <f t="shared" si="171"/>
        <v>-3.3132530120481931</v>
      </c>
      <c r="M846" s="52" t="str">
        <f t="shared" si="172"/>
        <v>Schwund</v>
      </c>
      <c r="N846" s="28">
        <f t="shared" si="173"/>
        <v>13.09</v>
      </c>
      <c r="O846" s="5">
        <v>4</v>
      </c>
      <c r="P846" s="4">
        <v>0</v>
      </c>
      <c r="Q846" s="28">
        <f t="shared" si="174"/>
        <v>3.2725</v>
      </c>
      <c r="R846" s="50">
        <f t="shared" si="175"/>
        <v>3.9269999999999996</v>
      </c>
      <c r="S846" s="2" t="str">
        <f t="shared" si="176"/>
        <v>Karneval</v>
      </c>
      <c r="T846" s="4">
        <v>0</v>
      </c>
      <c r="U846" s="4" t="str">
        <f t="shared" si="177"/>
        <v>Nein</v>
      </c>
      <c r="V846" s="4">
        <f t="shared" si="178"/>
        <v>0</v>
      </c>
      <c r="W846" s="19">
        <f t="shared" si="179"/>
        <v>1.19</v>
      </c>
      <c r="X846" s="5">
        <v>0</v>
      </c>
      <c r="Y846" s="28">
        <f t="shared" si="180"/>
        <v>0</v>
      </c>
      <c r="Z846" s="31" t="s">
        <v>172</v>
      </c>
      <c r="AA846" t="str">
        <f t="shared" si="181"/>
        <v>Diebstahlrisiko</v>
      </c>
    </row>
    <row r="847" spans="1:27" x14ac:dyDescent="0.35">
      <c r="A847" s="32" t="s">
        <v>18</v>
      </c>
      <c r="B847" s="2" t="str">
        <f>VLOOKUP(A847,Stammdaten!$A$3:$B$7,2,FALSE)</f>
        <v>Filiale Zentrum</v>
      </c>
      <c r="C847" s="3" t="str" cm="1">
        <f t="array" ref="C847">INDEX(Stammdaten!$A$11:$A$25,INT((ROW()-5)/12)+1 - INT((ROW()-5)/180)*15)</f>
        <v>A011</v>
      </c>
      <c r="D847" s="2" t="str">
        <f>VLOOKUP(C847,Stammdaten!$A$11:$B$25,2,FALSE)</f>
        <v>Mozzarella 125g</v>
      </c>
      <c r="E847" s="3" t="str">
        <f>VLOOKUP(C847,Stammdaten!$A$11:$C$25,3,FALSE)</f>
        <v>Käse</v>
      </c>
      <c r="F847" s="19">
        <f>VLOOKUP(C847,Stammdaten!$A$11:$D$25,4,FALSE)</f>
        <v>1.19</v>
      </c>
      <c r="G847" s="4">
        <f t="shared" si="169"/>
        <v>3</v>
      </c>
      <c r="H847" s="20" t="str">
        <f>VLOOKUP(G847,Stammdaten!$A$30:$B$41,2,FALSE)</f>
        <v>März</v>
      </c>
      <c r="I847" s="4">
        <v>389</v>
      </c>
      <c r="J847" s="4">
        <v>390</v>
      </c>
      <c r="K847" s="4">
        <f t="shared" si="170"/>
        <v>1</v>
      </c>
      <c r="L847" s="27">
        <f t="shared" si="171"/>
        <v>0.25706940874035988</v>
      </c>
      <c r="M847" s="52" t="str">
        <f t="shared" si="172"/>
        <v>Überbestand</v>
      </c>
      <c r="N847" s="28">
        <f t="shared" si="173"/>
        <v>1.19</v>
      </c>
      <c r="O847" s="5">
        <v>2</v>
      </c>
      <c r="P847" s="4">
        <v>1</v>
      </c>
      <c r="Q847" s="28">
        <f t="shared" si="174"/>
        <v>0</v>
      </c>
      <c r="R847" s="50">
        <f t="shared" si="175"/>
        <v>0</v>
      </c>
      <c r="S847" s="2" t="str">
        <f t="shared" si="176"/>
        <v>Normal</v>
      </c>
      <c r="T847" s="4">
        <v>1</v>
      </c>
      <c r="U847" s="4" t="str">
        <f t="shared" si="177"/>
        <v>Ja - 20% Reduzierung</v>
      </c>
      <c r="V847" s="4">
        <f t="shared" si="178"/>
        <v>20</v>
      </c>
      <c r="W847" s="19">
        <f t="shared" si="179"/>
        <v>0.95</v>
      </c>
      <c r="X847" s="5">
        <v>58</v>
      </c>
      <c r="Y847" s="28">
        <f t="shared" si="180"/>
        <v>13.8</v>
      </c>
      <c r="Z847" s="31" t="s">
        <v>173</v>
      </c>
      <c r="AA847" t="str">
        <f t="shared" si="181"/>
        <v>Kassenfehler (Überbestand)</v>
      </c>
    </row>
    <row r="848" spans="1:27" x14ac:dyDescent="0.35">
      <c r="A848" s="32" t="s">
        <v>18</v>
      </c>
      <c r="B848" s="2" t="str">
        <f>VLOOKUP(A848,Stammdaten!$A$3:$B$7,2,FALSE)</f>
        <v>Filiale Zentrum</v>
      </c>
      <c r="C848" s="3" t="str" cm="1">
        <f t="array" ref="C848">INDEX(Stammdaten!$A$11:$A$25,INT((ROW()-5)/12)+1 - INT((ROW()-5)/180)*15)</f>
        <v>A011</v>
      </c>
      <c r="D848" s="2" t="str">
        <f>VLOOKUP(C848,Stammdaten!$A$11:$B$25,2,FALSE)</f>
        <v>Mozzarella 125g</v>
      </c>
      <c r="E848" s="3" t="str">
        <f>VLOOKUP(C848,Stammdaten!$A$11:$C$25,3,FALSE)</f>
        <v>Käse</v>
      </c>
      <c r="F848" s="19">
        <f>VLOOKUP(C848,Stammdaten!$A$11:$D$25,4,FALSE)</f>
        <v>1.19</v>
      </c>
      <c r="G848" s="4">
        <f t="shared" si="169"/>
        <v>4</v>
      </c>
      <c r="H848" s="20" t="str">
        <f>VLOOKUP(G848,Stammdaten!$A$30:$B$41,2,FALSE)</f>
        <v>April</v>
      </c>
      <c r="I848" s="4">
        <v>512</v>
      </c>
      <c r="J848" s="4">
        <v>485</v>
      </c>
      <c r="K848" s="4">
        <f t="shared" si="170"/>
        <v>-27</v>
      </c>
      <c r="L848" s="27">
        <f t="shared" si="171"/>
        <v>-5.2734375</v>
      </c>
      <c r="M848" s="52" t="str">
        <f t="shared" si="172"/>
        <v>Schwund</v>
      </c>
      <c r="N848" s="28">
        <f t="shared" si="173"/>
        <v>32.129999999999995</v>
      </c>
      <c r="O848" s="5">
        <v>4</v>
      </c>
      <c r="P848" s="4">
        <v>0</v>
      </c>
      <c r="Q848" s="28">
        <f t="shared" si="174"/>
        <v>8.0324999999999989</v>
      </c>
      <c r="R848" s="50">
        <f t="shared" si="175"/>
        <v>9.6389999999999976</v>
      </c>
      <c r="S848" s="2" t="str">
        <f t="shared" si="176"/>
        <v>Ostern</v>
      </c>
      <c r="T848" s="4">
        <v>0</v>
      </c>
      <c r="U848" s="4" t="str">
        <f t="shared" si="177"/>
        <v>Nein</v>
      </c>
      <c r="V848" s="4">
        <f t="shared" si="178"/>
        <v>0</v>
      </c>
      <c r="W848" s="19">
        <f t="shared" si="179"/>
        <v>1.19</v>
      </c>
      <c r="X848" s="5">
        <v>0</v>
      </c>
      <c r="Y848" s="28">
        <f t="shared" si="180"/>
        <v>0</v>
      </c>
      <c r="Z848" s="31" t="s">
        <v>172</v>
      </c>
      <c r="AA848" t="str">
        <f t="shared" si="181"/>
        <v>Diebstahlrisiko</v>
      </c>
    </row>
    <row r="849" spans="1:27" x14ac:dyDescent="0.35">
      <c r="A849" s="32" t="s">
        <v>18</v>
      </c>
      <c r="B849" s="2" t="str">
        <f>VLOOKUP(A849,Stammdaten!$A$3:$B$7,2,FALSE)</f>
        <v>Filiale Zentrum</v>
      </c>
      <c r="C849" s="3" t="str" cm="1">
        <f t="array" ref="C849">INDEX(Stammdaten!$A$11:$A$25,INT((ROW()-5)/12)+1 - INT((ROW()-5)/180)*15)</f>
        <v>A011</v>
      </c>
      <c r="D849" s="2" t="str">
        <f>VLOOKUP(C849,Stammdaten!$A$11:$B$25,2,FALSE)</f>
        <v>Mozzarella 125g</v>
      </c>
      <c r="E849" s="3" t="str">
        <f>VLOOKUP(C849,Stammdaten!$A$11:$C$25,3,FALSE)</f>
        <v>Käse</v>
      </c>
      <c r="F849" s="19">
        <f>VLOOKUP(C849,Stammdaten!$A$11:$D$25,4,FALSE)</f>
        <v>1.19</v>
      </c>
      <c r="G849" s="4">
        <f t="shared" si="169"/>
        <v>5</v>
      </c>
      <c r="H849" s="20" t="str">
        <f>VLOOKUP(G849,Stammdaten!$A$30:$B$41,2,FALSE)</f>
        <v>Mai</v>
      </c>
      <c r="I849" s="4">
        <v>402</v>
      </c>
      <c r="J849" s="4">
        <v>385</v>
      </c>
      <c r="K849" s="4">
        <f t="shared" si="170"/>
        <v>-17</v>
      </c>
      <c r="L849" s="27">
        <f t="shared" si="171"/>
        <v>-4.2288557213930353</v>
      </c>
      <c r="M849" s="52" t="str">
        <f t="shared" si="172"/>
        <v>Schwund</v>
      </c>
      <c r="N849" s="28">
        <f t="shared" si="173"/>
        <v>20.23</v>
      </c>
      <c r="O849" s="5">
        <v>8</v>
      </c>
      <c r="P849" s="4">
        <v>0</v>
      </c>
      <c r="Q849" s="28">
        <f t="shared" si="174"/>
        <v>5.0575000000000001</v>
      </c>
      <c r="R849" s="50">
        <f t="shared" si="175"/>
        <v>6.069</v>
      </c>
      <c r="S849" s="2" t="str">
        <f t="shared" si="176"/>
        <v>Normal</v>
      </c>
      <c r="T849" s="4">
        <v>0</v>
      </c>
      <c r="U849" s="4" t="str">
        <f t="shared" si="177"/>
        <v>Nein</v>
      </c>
      <c r="V849" s="4">
        <f t="shared" si="178"/>
        <v>0</v>
      </c>
      <c r="W849" s="19">
        <f t="shared" si="179"/>
        <v>1.19</v>
      </c>
      <c r="X849" s="5">
        <v>0</v>
      </c>
      <c r="Y849" s="28">
        <f t="shared" si="180"/>
        <v>0</v>
      </c>
      <c r="Z849" s="31" t="s">
        <v>172</v>
      </c>
      <c r="AA849" t="str">
        <f t="shared" si="181"/>
        <v>Diebstahlrisiko</v>
      </c>
    </row>
    <row r="850" spans="1:27" x14ac:dyDescent="0.35">
      <c r="A850" s="32" t="s">
        <v>18</v>
      </c>
      <c r="B850" s="2" t="str">
        <f>VLOOKUP(A850,Stammdaten!$A$3:$B$7,2,FALSE)</f>
        <v>Filiale Zentrum</v>
      </c>
      <c r="C850" s="3" t="str" cm="1">
        <f t="array" ref="C850">INDEX(Stammdaten!$A$11:$A$25,INT((ROW()-5)/12)+1 - INT((ROW()-5)/180)*15)</f>
        <v>A011</v>
      </c>
      <c r="D850" s="2" t="str">
        <f>VLOOKUP(C850,Stammdaten!$A$11:$B$25,2,FALSE)</f>
        <v>Mozzarella 125g</v>
      </c>
      <c r="E850" s="3" t="str">
        <f>VLOOKUP(C850,Stammdaten!$A$11:$C$25,3,FALSE)</f>
        <v>Käse</v>
      </c>
      <c r="F850" s="19">
        <f>VLOOKUP(C850,Stammdaten!$A$11:$D$25,4,FALSE)</f>
        <v>1.19</v>
      </c>
      <c r="G850" s="4">
        <f t="shared" si="169"/>
        <v>6</v>
      </c>
      <c r="H850" s="20" t="str">
        <f>VLOOKUP(G850,Stammdaten!$A$30:$B$41,2,FALSE)</f>
        <v>Juni</v>
      </c>
      <c r="I850" s="4">
        <v>420</v>
      </c>
      <c r="J850" s="4">
        <v>404</v>
      </c>
      <c r="K850" s="4">
        <f t="shared" si="170"/>
        <v>-16</v>
      </c>
      <c r="L850" s="27">
        <f t="shared" si="171"/>
        <v>-3.8095238095238098</v>
      </c>
      <c r="M850" s="52" t="str">
        <f t="shared" si="172"/>
        <v>Schwund</v>
      </c>
      <c r="N850" s="28">
        <f t="shared" si="173"/>
        <v>19.04</v>
      </c>
      <c r="O850" s="5">
        <v>9</v>
      </c>
      <c r="P850" s="4">
        <v>0</v>
      </c>
      <c r="Q850" s="28">
        <f t="shared" si="174"/>
        <v>4.76</v>
      </c>
      <c r="R850" s="50">
        <f t="shared" si="175"/>
        <v>5.7119999999999997</v>
      </c>
      <c r="S850" s="2" t="str">
        <f t="shared" si="176"/>
        <v>Normal</v>
      </c>
      <c r="T850" s="4">
        <v>0</v>
      </c>
      <c r="U850" s="4" t="str">
        <f t="shared" si="177"/>
        <v>Nein</v>
      </c>
      <c r="V850" s="4">
        <f t="shared" si="178"/>
        <v>0</v>
      </c>
      <c r="W850" s="19">
        <f t="shared" si="179"/>
        <v>1.19</v>
      </c>
      <c r="X850" s="5">
        <v>0</v>
      </c>
      <c r="Y850" s="28">
        <f t="shared" si="180"/>
        <v>0</v>
      </c>
      <c r="Z850" s="31" t="s">
        <v>172</v>
      </c>
      <c r="AA850" t="str">
        <f t="shared" si="181"/>
        <v>Diebstahlrisiko</v>
      </c>
    </row>
    <row r="851" spans="1:27" x14ac:dyDescent="0.35">
      <c r="A851" s="32" t="s">
        <v>18</v>
      </c>
      <c r="B851" s="2" t="str">
        <f>VLOOKUP(A851,Stammdaten!$A$3:$B$7,2,FALSE)</f>
        <v>Filiale Zentrum</v>
      </c>
      <c r="C851" s="3" t="str" cm="1">
        <f t="array" ref="C851">INDEX(Stammdaten!$A$11:$A$25,INT((ROW()-5)/12)+1 - INT((ROW()-5)/180)*15)</f>
        <v>A011</v>
      </c>
      <c r="D851" s="2" t="str">
        <f>VLOOKUP(C851,Stammdaten!$A$11:$B$25,2,FALSE)</f>
        <v>Mozzarella 125g</v>
      </c>
      <c r="E851" s="3" t="str">
        <f>VLOOKUP(C851,Stammdaten!$A$11:$C$25,3,FALSE)</f>
        <v>Käse</v>
      </c>
      <c r="F851" s="19">
        <f>VLOOKUP(C851,Stammdaten!$A$11:$D$25,4,FALSE)</f>
        <v>1.19</v>
      </c>
      <c r="G851" s="4">
        <f t="shared" si="169"/>
        <v>7</v>
      </c>
      <c r="H851" s="20" t="str">
        <f>VLOOKUP(G851,Stammdaten!$A$30:$B$41,2,FALSE)</f>
        <v>Juli</v>
      </c>
      <c r="I851" s="4">
        <v>468</v>
      </c>
      <c r="J851" s="4">
        <v>452</v>
      </c>
      <c r="K851" s="4">
        <f t="shared" si="170"/>
        <v>-16</v>
      </c>
      <c r="L851" s="27">
        <f t="shared" si="171"/>
        <v>-3.4188034188034191</v>
      </c>
      <c r="M851" s="52" t="str">
        <f t="shared" si="172"/>
        <v>Schwund</v>
      </c>
      <c r="N851" s="28">
        <f t="shared" si="173"/>
        <v>19.04</v>
      </c>
      <c r="O851" s="5">
        <v>9</v>
      </c>
      <c r="P851" s="4">
        <v>1</v>
      </c>
      <c r="Q851" s="28">
        <f t="shared" si="174"/>
        <v>4.76</v>
      </c>
      <c r="R851" s="50">
        <f t="shared" si="175"/>
        <v>5.7119999999999997</v>
      </c>
      <c r="S851" s="2" t="str">
        <f t="shared" si="176"/>
        <v>Normal</v>
      </c>
      <c r="T851" s="4">
        <v>0</v>
      </c>
      <c r="U851" s="4" t="str">
        <f t="shared" si="177"/>
        <v>Nein</v>
      </c>
      <c r="V851" s="4">
        <f t="shared" si="178"/>
        <v>0</v>
      </c>
      <c r="W851" s="19">
        <f t="shared" si="179"/>
        <v>1.19</v>
      </c>
      <c r="X851" s="5">
        <v>0</v>
      </c>
      <c r="Y851" s="28">
        <f t="shared" si="180"/>
        <v>0</v>
      </c>
      <c r="Z851" s="31" t="s">
        <v>172</v>
      </c>
      <c r="AA851" t="str">
        <f t="shared" si="181"/>
        <v>Diebstahlrisiko</v>
      </c>
    </row>
    <row r="852" spans="1:27" x14ac:dyDescent="0.35">
      <c r="A852" s="32" t="s">
        <v>18</v>
      </c>
      <c r="B852" s="2" t="str">
        <f>VLOOKUP(A852,Stammdaten!$A$3:$B$7,2,FALSE)</f>
        <v>Filiale Zentrum</v>
      </c>
      <c r="C852" s="3" t="str" cm="1">
        <f t="array" ref="C852">INDEX(Stammdaten!$A$11:$A$25,INT((ROW()-5)/12)+1 - INT((ROW()-5)/180)*15)</f>
        <v>A011</v>
      </c>
      <c r="D852" s="2" t="str">
        <f>VLOOKUP(C852,Stammdaten!$A$11:$B$25,2,FALSE)</f>
        <v>Mozzarella 125g</v>
      </c>
      <c r="E852" s="3" t="str">
        <f>VLOOKUP(C852,Stammdaten!$A$11:$C$25,3,FALSE)</f>
        <v>Käse</v>
      </c>
      <c r="F852" s="19">
        <f>VLOOKUP(C852,Stammdaten!$A$11:$D$25,4,FALSE)</f>
        <v>1.19</v>
      </c>
      <c r="G852" s="4">
        <f t="shared" si="169"/>
        <v>8</v>
      </c>
      <c r="H852" s="20" t="str">
        <f>VLOOKUP(G852,Stammdaten!$A$30:$B$41,2,FALSE)</f>
        <v>August</v>
      </c>
      <c r="I852" s="4">
        <v>453</v>
      </c>
      <c r="J852" s="4">
        <v>457</v>
      </c>
      <c r="K852" s="4">
        <f t="shared" si="170"/>
        <v>4</v>
      </c>
      <c r="L852" s="27">
        <f t="shared" si="171"/>
        <v>0.88300220750551872</v>
      </c>
      <c r="M852" s="52" t="str">
        <f t="shared" si="172"/>
        <v>Überbestand</v>
      </c>
      <c r="N852" s="28">
        <f t="shared" si="173"/>
        <v>4.76</v>
      </c>
      <c r="O852" s="5">
        <v>0</v>
      </c>
      <c r="P852" s="4">
        <v>4</v>
      </c>
      <c r="Q852" s="28">
        <f t="shared" si="174"/>
        <v>0</v>
      </c>
      <c r="R852" s="50">
        <f t="shared" si="175"/>
        <v>0</v>
      </c>
      <c r="S852" s="2" t="str">
        <f t="shared" si="176"/>
        <v>Normal</v>
      </c>
      <c r="T852" s="4">
        <v>4</v>
      </c>
      <c r="U852" s="4" t="str">
        <f t="shared" si="177"/>
        <v>Abschreibung</v>
      </c>
      <c r="V852" s="4">
        <f t="shared" si="178"/>
        <v>100</v>
      </c>
      <c r="W852" s="19">
        <f t="shared" si="179"/>
        <v>0</v>
      </c>
      <c r="X852" s="5">
        <v>9</v>
      </c>
      <c r="Y852" s="28">
        <f t="shared" si="180"/>
        <v>10.71</v>
      </c>
      <c r="Z852" s="31" t="s">
        <v>173</v>
      </c>
      <c r="AA852" t="str">
        <f t="shared" si="181"/>
        <v>Verderb - Abgelaufen</v>
      </c>
    </row>
    <row r="853" spans="1:27" x14ac:dyDescent="0.35">
      <c r="A853" s="32" t="s">
        <v>18</v>
      </c>
      <c r="B853" s="2" t="str">
        <f>VLOOKUP(A853,Stammdaten!$A$3:$B$7,2,FALSE)</f>
        <v>Filiale Zentrum</v>
      </c>
      <c r="C853" s="3" t="str" cm="1">
        <f t="array" ref="C853">INDEX(Stammdaten!$A$11:$A$25,INT((ROW()-5)/12)+1 - INT((ROW()-5)/180)*15)</f>
        <v>A011</v>
      </c>
      <c r="D853" s="2" t="str">
        <f>VLOOKUP(C853,Stammdaten!$A$11:$B$25,2,FALSE)</f>
        <v>Mozzarella 125g</v>
      </c>
      <c r="E853" s="3" t="str">
        <f>VLOOKUP(C853,Stammdaten!$A$11:$C$25,3,FALSE)</f>
        <v>Käse</v>
      </c>
      <c r="F853" s="19">
        <f>VLOOKUP(C853,Stammdaten!$A$11:$D$25,4,FALSE)</f>
        <v>1.19</v>
      </c>
      <c r="G853" s="4">
        <f t="shared" si="169"/>
        <v>9</v>
      </c>
      <c r="H853" s="20" t="str">
        <f>VLOOKUP(G853,Stammdaten!$A$30:$B$41,2,FALSE)</f>
        <v>September</v>
      </c>
      <c r="I853" s="4">
        <v>356</v>
      </c>
      <c r="J853" s="4">
        <v>348</v>
      </c>
      <c r="K853" s="4">
        <f t="shared" si="170"/>
        <v>-8</v>
      </c>
      <c r="L853" s="27">
        <f t="shared" si="171"/>
        <v>-2.2471910112359552</v>
      </c>
      <c r="M853" s="52" t="str">
        <f t="shared" si="172"/>
        <v>Schwund</v>
      </c>
      <c r="N853" s="28">
        <f t="shared" si="173"/>
        <v>9.52</v>
      </c>
      <c r="O853" s="5">
        <v>5</v>
      </c>
      <c r="P853" s="4">
        <v>0</v>
      </c>
      <c r="Q853" s="28">
        <f t="shared" si="174"/>
        <v>2.38</v>
      </c>
      <c r="R853" s="50">
        <f t="shared" si="175"/>
        <v>2.8559999999999999</v>
      </c>
      <c r="S853" s="2" t="str">
        <f t="shared" si="176"/>
        <v>Normal</v>
      </c>
      <c r="T853" s="4">
        <v>0</v>
      </c>
      <c r="U853" s="4" t="str">
        <f t="shared" si="177"/>
        <v>Nein</v>
      </c>
      <c r="V853" s="4">
        <f t="shared" si="178"/>
        <v>0</v>
      </c>
      <c r="W853" s="19">
        <f t="shared" si="179"/>
        <v>1.19</v>
      </c>
      <c r="X853" s="5">
        <v>0</v>
      </c>
      <c r="Y853" s="28">
        <f t="shared" si="180"/>
        <v>0</v>
      </c>
      <c r="Z853" s="31" t="s">
        <v>172</v>
      </c>
      <c r="AA853" t="str">
        <f t="shared" si="181"/>
        <v>Buchungsfehler Wareneingang</v>
      </c>
    </row>
    <row r="854" spans="1:27" x14ac:dyDescent="0.35">
      <c r="A854" s="32" t="s">
        <v>18</v>
      </c>
      <c r="B854" s="2" t="str">
        <f>VLOOKUP(A854,Stammdaten!$A$3:$B$7,2,FALSE)</f>
        <v>Filiale Zentrum</v>
      </c>
      <c r="C854" s="3" t="str" cm="1">
        <f t="array" ref="C854">INDEX(Stammdaten!$A$11:$A$25,INT((ROW()-5)/12)+1 - INT((ROW()-5)/180)*15)</f>
        <v>A011</v>
      </c>
      <c r="D854" s="2" t="str">
        <f>VLOOKUP(C854,Stammdaten!$A$11:$B$25,2,FALSE)</f>
        <v>Mozzarella 125g</v>
      </c>
      <c r="E854" s="3" t="str">
        <f>VLOOKUP(C854,Stammdaten!$A$11:$C$25,3,FALSE)</f>
        <v>Käse</v>
      </c>
      <c r="F854" s="19">
        <f>VLOOKUP(C854,Stammdaten!$A$11:$D$25,4,FALSE)</f>
        <v>1.19</v>
      </c>
      <c r="G854" s="4">
        <f t="shared" si="169"/>
        <v>10</v>
      </c>
      <c r="H854" s="20" t="str">
        <f>VLOOKUP(G854,Stammdaten!$A$30:$B$41,2,FALSE)</f>
        <v>Oktober</v>
      </c>
      <c r="I854" s="4">
        <v>382</v>
      </c>
      <c r="J854" s="4">
        <v>370</v>
      </c>
      <c r="K854" s="4">
        <f t="shared" si="170"/>
        <v>-12</v>
      </c>
      <c r="L854" s="27">
        <f t="shared" si="171"/>
        <v>-3.1413612565445024</v>
      </c>
      <c r="M854" s="52" t="str">
        <f t="shared" si="172"/>
        <v>Schwund</v>
      </c>
      <c r="N854" s="28">
        <f t="shared" si="173"/>
        <v>14.28</v>
      </c>
      <c r="O854" s="5">
        <v>0</v>
      </c>
      <c r="P854" s="4">
        <v>2</v>
      </c>
      <c r="Q854" s="28">
        <f t="shared" si="174"/>
        <v>3.57</v>
      </c>
      <c r="R854" s="50">
        <f t="shared" si="175"/>
        <v>4.2839999999999998</v>
      </c>
      <c r="S854" s="2" t="str">
        <f t="shared" si="176"/>
        <v>Normal</v>
      </c>
      <c r="T854" s="4">
        <v>0</v>
      </c>
      <c r="U854" s="4" t="str">
        <f t="shared" si="177"/>
        <v>Abschreibung</v>
      </c>
      <c r="V854" s="4">
        <f t="shared" si="178"/>
        <v>100</v>
      </c>
      <c r="W854" s="19">
        <f t="shared" si="179"/>
        <v>0</v>
      </c>
      <c r="X854" s="5">
        <v>4</v>
      </c>
      <c r="Y854" s="28">
        <f t="shared" si="180"/>
        <v>4.76</v>
      </c>
      <c r="Z854" s="31" t="s">
        <v>173</v>
      </c>
      <c r="AA854" t="str">
        <f t="shared" si="181"/>
        <v>Verderb - Abgelaufen</v>
      </c>
    </row>
    <row r="855" spans="1:27" x14ac:dyDescent="0.35">
      <c r="A855" s="32" t="s">
        <v>18</v>
      </c>
      <c r="B855" s="2" t="str">
        <f>VLOOKUP(A855,Stammdaten!$A$3:$B$7,2,FALSE)</f>
        <v>Filiale Zentrum</v>
      </c>
      <c r="C855" s="3" t="str" cm="1">
        <f t="array" ref="C855">INDEX(Stammdaten!$A$11:$A$25,INT((ROW()-5)/12)+1 - INT((ROW()-5)/180)*15)</f>
        <v>A011</v>
      </c>
      <c r="D855" s="2" t="str">
        <f>VLOOKUP(C855,Stammdaten!$A$11:$B$25,2,FALSE)</f>
        <v>Mozzarella 125g</v>
      </c>
      <c r="E855" s="3" t="str">
        <f>VLOOKUP(C855,Stammdaten!$A$11:$C$25,3,FALSE)</f>
        <v>Käse</v>
      </c>
      <c r="F855" s="19">
        <f>VLOOKUP(C855,Stammdaten!$A$11:$D$25,4,FALSE)</f>
        <v>1.19</v>
      </c>
      <c r="G855" s="4">
        <f t="shared" si="169"/>
        <v>11</v>
      </c>
      <c r="H855" s="20" t="str">
        <f>VLOOKUP(G855,Stammdaten!$A$30:$B$41,2,FALSE)</f>
        <v>November</v>
      </c>
      <c r="I855" s="4">
        <v>442</v>
      </c>
      <c r="J855" s="4">
        <v>424</v>
      </c>
      <c r="K855" s="4">
        <f t="shared" si="170"/>
        <v>-18</v>
      </c>
      <c r="L855" s="27">
        <f t="shared" si="171"/>
        <v>-4.0723981900452486</v>
      </c>
      <c r="M855" s="52" t="str">
        <f t="shared" si="172"/>
        <v>Schwund</v>
      </c>
      <c r="N855" s="28">
        <f t="shared" si="173"/>
        <v>21.419999999999998</v>
      </c>
      <c r="O855" s="5">
        <v>3</v>
      </c>
      <c r="P855" s="4">
        <v>0</v>
      </c>
      <c r="Q855" s="28">
        <f t="shared" si="174"/>
        <v>5.3549999999999995</v>
      </c>
      <c r="R855" s="50">
        <f t="shared" si="175"/>
        <v>6.4259999999999993</v>
      </c>
      <c r="S855" s="2" t="str">
        <f t="shared" si="176"/>
        <v>Black Friday</v>
      </c>
      <c r="T855" s="4">
        <v>0</v>
      </c>
      <c r="U855" s="4" t="str">
        <f t="shared" si="177"/>
        <v>Ja - 20% Reduzierung</v>
      </c>
      <c r="V855" s="4">
        <f t="shared" si="178"/>
        <v>20</v>
      </c>
      <c r="W855" s="19">
        <f t="shared" si="179"/>
        <v>0.95</v>
      </c>
      <c r="X855" s="5">
        <v>22</v>
      </c>
      <c r="Y855" s="28">
        <f t="shared" si="180"/>
        <v>5.24</v>
      </c>
      <c r="Z855" s="31" t="s">
        <v>173</v>
      </c>
      <c r="AA855" t="str">
        <f t="shared" si="181"/>
        <v>Diebstahlrisiko</v>
      </c>
    </row>
    <row r="856" spans="1:27" x14ac:dyDescent="0.35">
      <c r="A856" s="32" t="s">
        <v>18</v>
      </c>
      <c r="B856" s="2" t="str">
        <f>VLOOKUP(A856,Stammdaten!$A$3:$B$7,2,FALSE)</f>
        <v>Filiale Zentrum</v>
      </c>
      <c r="C856" s="3" t="str" cm="1">
        <f t="array" ref="C856">INDEX(Stammdaten!$A$11:$A$25,INT((ROW()-5)/12)+1 - INT((ROW()-5)/180)*15)</f>
        <v>A011</v>
      </c>
      <c r="D856" s="2" t="str">
        <f>VLOOKUP(C856,Stammdaten!$A$11:$B$25,2,FALSE)</f>
        <v>Mozzarella 125g</v>
      </c>
      <c r="E856" s="3" t="str">
        <f>VLOOKUP(C856,Stammdaten!$A$11:$C$25,3,FALSE)</f>
        <v>Käse</v>
      </c>
      <c r="F856" s="19">
        <f>VLOOKUP(C856,Stammdaten!$A$11:$D$25,4,FALSE)</f>
        <v>1.19</v>
      </c>
      <c r="G856" s="4">
        <f t="shared" si="169"/>
        <v>12</v>
      </c>
      <c r="H856" s="20" t="str">
        <f>VLOOKUP(G856,Stammdaten!$A$30:$B$41,2,FALSE)</f>
        <v>Dezember</v>
      </c>
      <c r="I856" s="4">
        <v>573</v>
      </c>
      <c r="J856" s="4">
        <v>545</v>
      </c>
      <c r="K856" s="4">
        <f t="shared" si="170"/>
        <v>-28</v>
      </c>
      <c r="L856" s="27">
        <f t="shared" si="171"/>
        <v>-4.8865619546247814</v>
      </c>
      <c r="M856" s="52" t="str">
        <f t="shared" si="172"/>
        <v>Schwund</v>
      </c>
      <c r="N856" s="28">
        <f t="shared" si="173"/>
        <v>33.32</v>
      </c>
      <c r="O856" s="5">
        <v>10</v>
      </c>
      <c r="P856" s="4">
        <v>3</v>
      </c>
      <c r="Q856" s="28">
        <f t="shared" si="174"/>
        <v>8.33</v>
      </c>
      <c r="R856" s="50">
        <f t="shared" si="175"/>
        <v>9.9960000000000004</v>
      </c>
      <c r="S856" s="2" t="str">
        <f t="shared" si="176"/>
        <v>Weihnachten/Silvester</v>
      </c>
      <c r="T856" s="4">
        <v>0</v>
      </c>
      <c r="U856" s="4" t="str">
        <f t="shared" si="177"/>
        <v>Nein</v>
      </c>
      <c r="V856" s="4">
        <f t="shared" si="178"/>
        <v>0</v>
      </c>
      <c r="W856" s="19">
        <f t="shared" si="179"/>
        <v>1.19</v>
      </c>
      <c r="X856" s="5">
        <v>0</v>
      </c>
      <c r="Y856" s="28">
        <f t="shared" si="180"/>
        <v>0</v>
      </c>
      <c r="Z856" s="31" t="s">
        <v>172</v>
      </c>
      <c r="AA856" t="str">
        <f t="shared" si="181"/>
        <v>Diebstahlrisiko</v>
      </c>
    </row>
    <row r="857" spans="1:27" x14ac:dyDescent="0.35">
      <c r="A857" s="32" t="s">
        <v>18</v>
      </c>
      <c r="B857" s="2" t="str">
        <f>VLOOKUP(A857,Stammdaten!$A$3:$B$7,2,FALSE)</f>
        <v>Filiale Zentrum</v>
      </c>
      <c r="C857" s="3" t="str" cm="1">
        <f t="array" ref="C857">INDEX(Stammdaten!$A$11:$A$25,INT((ROW()-5)/12)+1 - INT((ROW()-5)/180)*15)</f>
        <v>A012</v>
      </c>
      <c r="D857" s="2" t="str">
        <f>VLOOKUP(C857,Stammdaten!$A$11:$B$25,2,FALSE)</f>
        <v>Quark 500g</v>
      </c>
      <c r="E857" s="3" t="str">
        <f>VLOOKUP(C857,Stammdaten!$A$11:$C$25,3,FALSE)</f>
        <v>Quark</v>
      </c>
      <c r="F857" s="19">
        <f>VLOOKUP(C857,Stammdaten!$A$11:$D$25,4,FALSE)</f>
        <v>1.39</v>
      </c>
      <c r="G857" s="4">
        <f t="shared" si="169"/>
        <v>1</v>
      </c>
      <c r="H857" s="20" t="str">
        <f>VLOOKUP(G857,Stammdaten!$A$30:$B$41,2,FALSE)</f>
        <v>Januar</v>
      </c>
      <c r="I857" s="4">
        <v>477</v>
      </c>
      <c r="J857" s="4">
        <v>479</v>
      </c>
      <c r="K857" s="4">
        <f t="shared" si="170"/>
        <v>2</v>
      </c>
      <c r="L857" s="27">
        <f t="shared" si="171"/>
        <v>0.41928721174004197</v>
      </c>
      <c r="M857" s="52" t="str">
        <f t="shared" si="172"/>
        <v>Überbestand</v>
      </c>
      <c r="N857" s="28">
        <f t="shared" si="173"/>
        <v>2.78</v>
      </c>
      <c r="O857" s="5">
        <v>10</v>
      </c>
      <c r="P857" s="4">
        <v>5</v>
      </c>
      <c r="Q857" s="28">
        <f t="shared" si="174"/>
        <v>0</v>
      </c>
      <c r="R857" s="50">
        <f t="shared" si="175"/>
        <v>0</v>
      </c>
      <c r="S857" s="2" t="str">
        <f t="shared" si="176"/>
        <v>Normal</v>
      </c>
      <c r="T857" s="4">
        <v>2</v>
      </c>
      <c r="U857" s="4" t="str">
        <f t="shared" si="177"/>
        <v>Nein</v>
      </c>
      <c r="V857" s="4">
        <f t="shared" si="178"/>
        <v>0</v>
      </c>
      <c r="W857" s="19">
        <f t="shared" si="179"/>
        <v>1.39</v>
      </c>
      <c r="X857" s="5">
        <v>0</v>
      </c>
      <c r="Y857" s="28">
        <f t="shared" si="180"/>
        <v>0</v>
      </c>
      <c r="Z857" s="31" t="s">
        <v>172</v>
      </c>
      <c r="AA857" t="str">
        <f t="shared" si="181"/>
        <v>Kassenfehler (Überbestand)</v>
      </c>
    </row>
    <row r="858" spans="1:27" x14ac:dyDescent="0.35">
      <c r="A858" s="32" t="s">
        <v>18</v>
      </c>
      <c r="B858" s="2" t="str">
        <f>VLOOKUP(A858,Stammdaten!$A$3:$B$7,2,FALSE)</f>
        <v>Filiale Zentrum</v>
      </c>
      <c r="C858" s="3" t="str" cm="1">
        <f t="array" ref="C858">INDEX(Stammdaten!$A$11:$A$25,INT((ROW()-5)/12)+1 - INT((ROW()-5)/180)*15)</f>
        <v>A012</v>
      </c>
      <c r="D858" s="2" t="str">
        <f>VLOOKUP(C858,Stammdaten!$A$11:$B$25,2,FALSE)</f>
        <v>Quark 500g</v>
      </c>
      <c r="E858" s="3" t="str">
        <f>VLOOKUP(C858,Stammdaten!$A$11:$C$25,3,FALSE)</f>
        <v>Quark</v>
      </c>
      <c r="F858" s="19">
        <f>VLOOKUP(C858,Stammdaten!$A$11:$D$25,4,FALSE)</f>
        <v>1.39</v>
      </c>
      <c r="G858" s="4">
        <f t="shared" si="169"/>
        <v>2</v>
      </c>
      <c r="H858" s="20" t="str">
        <f>VLOOKUP(G858,Stammdaten!$A$30:$B$41,2,FALSE)</f>
        <v>Februar</v>
      </c>
      <c r="I858" s="4">
        <v>442</v>
      </c>
      <c r="J858" s="4">
        <v>435</v>
      </c>
      <c r="K858" s="4">
        <f t="shared" si="170"/>
        <v>-7</v>
      </c>
      <c r="L858" s="27">
        <f t="shared" si="171"/>
        <v>-1.5837104072398189</v>
      </c>
      <c r="M858" s="52" t="str">
        <f t="shared" si="172"/>
        <v>Schwund</v>
      </c>
      <c r="N858" s="28">
        <f t="shared" si="173"/>
        <v>9.7299999999999986</v>
      </c>
      <c r="O858" s="5">
        <v>12</v>
      </c>
      <c r="P858" s="4">
        <v>2</v>
      </c>
      <c r="Q858" s="28">
        <f t="shared" si="174"/>
        <v>2.4324999999999997</v>
      </c>
      <c r="R858" s="50">
        <f t="shared" si="175"/>
        <v>2.9189999999999996</v>
      </c>
      <c r="S858" s="2" t="str">
        <f t="shared" si="176"/>
        <v>Karneval</v>
      </c>
      <c r="T858" s="4">
        <v>0</v>
      </c>
      <c r="U858" s="4" t="str">
        <f t="shared" si="177"/>
        <v>Nein</v>
      </c>
      <c r="V858" s="4">
        <f t="shared" si="178"/>
        <v>0</v>
      </c>
      <c r="W858" s="19">
        <f t="shared" si="179"/>
        <v>1.39</v>
      </c>
      <c r="X858" s="5">
        <v>0</v>
      </c>
      <c r="Y858" s="28">
        <f t="shared" si="180"/>
        <v>0</v>
      </c>
      <c r="Z858" s="31" t="s">
        <v>172</v>
      </c>
      <c r="AA858" t="str">
        <f t="shared" si="181"/>
        <v>Normal/Gering</v>
      </c>
    </row>
    <row r="859" spans="1:27" x14ac:dyDescent="0.35">
      <c r="A859" s="32" t="s">
        <v>18</v>
      </c>
      <c r="B859" s="2" t="str">
        <f>VLOOKUP(A859,Stammdaten!$A$3:$B$7,2,FALSE)</f>
        <v>Filiale Zentrum</v>
      </c>
      <c r="C859" s="3" t="str" cm="1">
        <f t="array" ref="C859">INDEX(Stammdaten!$A$11:$A$25,INT((ROW()-5)/12)+1 - INT((ROW()-5)/180)*15)</f>
        <v>A012</v>
      </c>
      <c r="D859" s="2" t="str">
        <f>VLOOKUP(C859,Stammdaten!$A$11:$B$25,2,FALSE)</f>
        <v>Quark 500g</v>
      </c>
      <c r="E859" s="3" t="str">
        <f>VLOOKUP(C859,Stammdaten!$A$11:$C$25,3,FALSE)</f>
        <v>Quark</v>
      </c>
      <c r="F859" s="19">
        <f>VLOOKUP(C859,Stammdaten!$A$11:$D$25,4,FALSE)</f>
        <v>1.39</v>
      </c>
      <c r="G859" s="4">
        <f t="shared" si="169"/>
        <v>3</v>
      </c>
      <c r="H859" s="20" t="str">
        <f>VLOOKUP(G859,Stammdaten!$A$30:$B$41,2,FALSE)</f>
        <v>März</v>
      </c>
      <c r="I859" s="4">
        <v>519</v>
      </c>
      <c r="J859" s="4">
        <v>509</v>
      </c>
      <c r="K859" s="4">
        <f t="shared" si="170"/>
        <v>-10</v>
      </c>
      <c r="L859" s="27">
        <f t="shared" si="171"/>
        <v>-1.9267822736030826</v>
      </c>
      <c r="M859" s="52" t="str">
        <f t="shared" si="172"/>
        <v>Schwund</v>
      </c>
      <c r="N859" s="28">
        <f t="shared" si="173"/>
        <v>13.899999999999999</v>
      </c>
      <c r="O859" s="5">
        <v>5</v>
      </c>
      <c r="P859" s="4">
        <v>3</v>
      </c>
      <c r="Q859" s="28">
        <f t="shared" si="174"/>
        <v>3.4749999999999996</v>
      </c>
      <c r="R859" s="50">
        <f t="shared" si="175"/>
        <v>4.169999999999999</v>
      </c>
      <c r="S859" s="2" t="str">
        <f t="shared" si="176"/>
        <v>Normal</v>
      </c>
      <c r="T859" s="4">
        <v>0</v>
      </c>
      <c r="U859" s="4" t="str">
        <f t="shared" si="177"/>
        <v>Nein</v>
      </c>
      <c r="V859" s="4">
        <f t="shared" si="178"/>
        <v>0</v>
      </c>
      <c r="W859" s="19">
        <f t="shared" si="179"/>
        <v>1.39</v>
      </c>
      <c r="X859" s="5">
        <v>0</v>
      </c>
      <c r="Y859" s="28">
        <f t="shared" si="180"/>
        <v>0</v>
      </c>
      <c r="Z859" s="31" t="s">
        <v>172</v>
      </c>
      <c r="AA859" t="str">
        <f t="shared" si="181"/>
        <v>Normal/Gering</v>
      </c>
    </row>
    <row r="860" spans="1:27" x14ac:dyDescent="0.35">
      <c r="A860" s="32" t="s">
        <v>18</v>
      </c>
      <c r="B860" s="2" t="str">
        <f>VLOOKUP(A860,Stammdaten!$A$3:$B$7,2,FALSE)</f>
        <v>Filiale Zentrum</v>
      </c>
      <c r="C860" s="3" t="str" cm="1">
        <f t="array" ref="C860">INDEX(Stammdaten!$A$11:$A$25,INT((ROW()-5)/12)+1 - INT((ROW()-5)/180)*15)</f>
        <v>A012</v>
      </c>
      <c r="D860" s="2" t="str">
        <f>VLOOKUP(C860,Stammdaten!$A$11:$B$25,2,FALSE)</f>
        <v>Quark 500g</v>
      </c>
      <c r="E860" s="3" t="str">
        <f>VLOOKUP(C860,Stammdaten!$A$11:$C$25,3,FALSE)</f>
        <v>Quark</v>
      </c>
      <c r="F860" s="19">
        <f>VLOOKUP(C860,Stammdaten!$A$11:$D$25,4,FALSE)</f>
        <v>1.39</v>
      </c>
      <c r="G860" s="4">
        <f t="shared" si="169"/>
        <v>4</v>
      </c>
      <c r="H860" s="20" t="str">
        <f>VLOOKUP(G860,Stammdaten!$A$30:$B$41,2,FALSE)</f>
        <v>April</v>
      </c>
      <c r="I860" s="4">
        <v>637</v>
      </c>
      <c r="J860" s="4">
        <v>611</v>
      </c>
      <c r="K860" s="4">
        <f t="shared" si="170"/>
        <v>-26</v>
      </c>
      <c r="L860" s="27">
        <f t="shared" si="171"/>
        <v>-4.0816326530612246</v>
      </c>
      <c r="M860" s="52" t="str">
        <f t="shared" si="172"/>
        <v>Schwund</v>
      </c>
      <c r="N860" s="28">
        <f t="shared" si="173"/>
        <v>36.14</v>
      </c>
      <c r="O860" s="5">
        <v>6</v>
      </c>
      <c r="P860" s="4">
        <v>2</v>
      </c>
      <c r="Q860" s="28">
        <f t="shared" si="174"/>
        <v>9.0350000000000001</v>
      </c>
      <c r="R860" s="50">
        <f t="shared" si="175"/>
        <v>10.842000000000001</v>
      </c>
      <c r="S860" s="2" t="str">
        <f t="shared" si="176"/>
        <v>Ostern</v>
      </c>
      <c r="T860" s="4">
        <v>0</v>
      </c>
      <c r="U860" s="4" t="str">
        <f t="shared" si="177"/>
        <v>Nein</v>
      </c>
      <c r="V860" s="4">
        <f t="shared" si="178"/>
        <v>0</v>
      </c>
      <c r="W860" s="19">
        <f t="shared" si="179"/>
        <v>1.39</v>
      </c>
      <c r="X860" s="5">
        <v>0</v>
      </c>
      <c r="Y860" s="28">
        <f t="shared" si="180"/>
        <v>0</v>
      </c>
      <c r="Z860" s="31" t="s">
        <v>172</v>
      </c>
      <c r="AA860" t="str">
        <f t="shared" si="181"/>
        <v>Diebstahlrisiko</v>
      </c>
    </row>
    <row r="861" spans="1:27" x14ac:dyDescent="0.35">
      <c r="A861" s="32" t="s">
        <v>18</v>
      </c>
      <c r="B861" s="2" t="str">
        <f>VLOOKUP(A861,Stammdaten!$A$3:$B$7,2,FALSE)</f>
        <v>Filiale Zentrum</v>
      </c>
      <c r="C861" s="3" t="str" cm="1">
        <f t="array" ref="C861">INDEX(Stammdaten!$A$11:$A$25,INT((ROW()-5)/12)+1 - INT((ROW()-5)/180)*15)</f>
        <v>A012</v>
      </c>
      <c r="D861" s="2" t="str">
        <f>VLOOKUP(C861,Stammdaten!$A$11:$B$25,2,FALSE)</f>
        <v>Quark 500g</v>
      </c>
      <c r="E861" s="3" t="str">
        <f>VLOOKUP(C861,Stammdaten!$A$11:$C$25,3,FALSE)</f>
        <v>Quark</v>
      </c>
      <c r="F861" s="19">
        <f>VLOOKUP(C861,Stammdaten!$A$11:$D$25,4,FALSE)</f>
        <v>1.39</v>
      </c>
      <c r="G861" s="4">
        <f t="shared" si="169"/>
        <v>5</v>
      </c>
      <c r="H861" s="20" t="str">
        <f>VLOOKUP(G861,Stammdaten!$A$30:$B$41,2,FALSE)</f>
        <v>Mai</v>
      </c>
      <c r="I861" s="4">
        <v>520</v>
      </c>
      <c r="J861" s="4">
        <v>510</v>
      </c>
      <c r="K861" s="4">
        <f t="shared" si="170"/>
        <v>-10</v>
      </c>
      <c r="L861" s="27">
        <f t="shared" si="171"/>
        <v>-1.9230769230769231</v>
      </c>
      <c r="M861" s="52" t="str">
        <f t="shared" si="172"/>
        <v>Schwund</v>
      </c>
      <c r="N861" s="28">
        <f t="shared" si="173"/>
        <v>13.899999999999999</v>
      </c>
      <c r="O861" s="5">
        <v>7</v>
      </c>
      <c r="P861" s="4">
        <v>2</v>
      </c>
      <c r="Q861" s="28">
        <f t="shared" si="174"/>
        <v>3.4749999999999996</v>
      </c>
      <c r="R861" s="50">
        <f t="shared" si="175"/>
        <v>4.169999999999999</v>
      </c>
      <c r="S861" s="2" t="str">
        <f t="shared" si="176"/>
        <v>Normal</v>
      </c>
      <c r="T861" s="4">
        <v>0</v>
      </c>
      <c r="U861" s="4" t="str">
        <f t="shared" si="177"/>
        <v>Nein</v>
      </c>
      <c r="V861" s="4">
        <f t="shared" si="178"/>
        <v>0</v>
      </c>
      <c r="W861" s="19">
        <f t="shared" si="179"/>
        <v>1.39</v>
      </c>
      <c r="X861" s="5">
        <v>0</v>
      </c>
      <c r="Y861" s="28">
        <f t="shared" si="180"/>
        <v>0</v>
      </c>
      <c r="Z861" s="31" t="s">
        <v>172</v>
      </c>
      <c r="AA861" t="str">
        <f t="shared" si="181"/>
        <v>Normal/Gering</v>
      </c>
    </row>
    <row r="862" spans="1:27" x14ac:dyDescent="0.35">
      <c r="A862" s="32" t="s">
        <v>18</v>
      </c>
      <c r="B862" s="2" t="str">
        <f>VLOOKUP(A862,Stammdaten!$A$3:$B$7,2,FALSE)</f>
        <v>Filiale Zentrum</v>
      </c>
      <c r="C862" s="3" t="str" cm="1">
        <f t="array" ref="C862">INDEX(Stammdaten!$A$11:$A$25,INT((ROW()-5)/12)+1 - INT((ROW()-5)/180)*15)</f>
        <v>A012</v>
      </c>
      <c r="D862" s="2" t="str">
        <f>VLOOKUP(C862,Stammdaten!$A$11:$B$25,2,FALSE)</f>
        <v>Quark 500g</v>
      </c>
      <c r="E862" s="3" t="str">
        <f>VLOOKUP(C862,Stammdaten!$A$11:$C$25,3,FALSE)</f>
        <v>Quark</v>
      </c>
      <c r="F862" s="19">
        <f>VLOOKUP(C862,Stammdaten!$A$11:$D$25,4,FALSE)</f>
        <v>1.39</v>
      </c>
      <c r="G862" s="4">
        <f t="shared" si="169"/>
        <v>6</v>
      </c>
      <c r="H862" s="20" t="str">
        <f>VLOOKUP(G862,Stammdaten!$A$30:$B$41,2,FALSE)</f>
        <v>Juni</v>
      </c>
      <c r="I862" s="4">
        <v>583</v>
      </c>
      <c r="J862" s="4">
        <v>564</v>
      </c>
      <c r="K862" s="4">
        <f t="shared" si="170"/>
        <v>-19</v>
      </c>
      <c r="L862" s="27">
        <f t="shared" si="171"/>
        <v>-3.2590051457975986</v>
      </c>
      <c r="M862" s="52" t="str">
        <f t="shared" si="172"/>
        <v>Schwund</v>
      </c>
      <c r="N862" s="28">
        <f t="shared" si="173"/>
        <v>26.409999999999997</v>
      </c>
      <c r="O862" s="5">
        <v>4</v>
      </c>
      <c r="P862" s="4">
        <v>4</v>
      </c>
      <c r="Q862" s="28">
        <f t="shared" si="174"/>
        <v>6.6024999999999991</v>
      </c>
      <c r="R862" s="50">
        <f t="shared" si="175"/>
        <v>7.9229999999999983</v>
      </c>
      <c r="S862" s="2" t="str">
        <f t="shared" si="176"/>
        <v>Normal</v>
      </c>
      <c r="T862" s="4">
        <v>0</v>
      </c>
      <c r="U862" s="4" t="str">
        <f t="shared" si="177"/>
        <v>Nein</v>
      </c>
      <c r="V862" s="4">
        <f t="shared" si="178"/>
        <v>0</v>
      </c>
      <c r="W862" s="19">
        <f t="shared" si="179"/>
        <v>1.39</v>
      </c>
      <c r="X862" s="5">
        <v>0</v>
      </c>
      <c r="Y862" s="28">
        <f t="shared" si="180"/>
        <v>0</v>
      </c>
      <c r="Z862" s="31" t="s">
        <v>172</v>
      </c>
      <c r="AA862" t="str">
        <f t="shared" si="181"/>
        <v>Diebstahlrisiko</v>
      </c>
    </row>
    <row r="863" spans="1:27" x14ac:dyDescent="0.35">
      <c r="A863" s="32" t="s">
        <v>18</v>
      </c>
      <c r="B863" s="2" t="str">
        <f>VLOOKUP(A863,Stammdaten!$A$3:$B$7,2,FALSE)</f>
        <v>Filiale Zentrum</v>
      </c>
      <c r="C863" s="3" t="str" cm="1">
        <f t="array" ref="C863">INDEX(Stammdaten!$A$11:$A$25,INT((ROW()-5)/12)+1 - INT((ROW()-5)/180)*15)</f>
        <v>A012</v>
      </c>
      <c r="D863" s="2" t="str">
        <f>VLOOKUP(C863,Stammdaten!$A$11:$B$25,2,FALSE)</f>
        <v>Quark 500g</v>
      </c>
      <c r="E863" s="3" t="str">
        <f>VLOOKUP(C863,Stammdaten!$A$11:$C$25,3,FALSE)</f>
        <v>Quark</v>
      </c>
      <c r="F863" s="19">
        <f>VLOOKUP(C863,Stammdaten!$A$11:$D$25,4,FALSE)</f>
        <v>1.39</v>
      </c>
      <c r="G863" s="4">
        <f t="shared" si="169"/>
        <v>7</v>
      </c>
      <c r="H863" s="20" t="str">
        <f>VLOOKUP(G863,Stammdaten!$A$30:$B$41,2,FALSE)</f>
        <v>Juli</v>
      </c>
      <c r="I863" s="4">
        <v>618</v>
      </c>
      <c r="J863" s="4">
        <v>603</v>
      </c>
      <c r="K863" s="4">
        <f t="shared" si="170"/>
        <v>-15</v>
      </c>
      <c r="L863" s="27">
        <f t="shared" si="171"/>
        <v>-2.4271844660194173</v>
      </c>
      <c r="M863" s="52" t="str">
        <f t="shared" si="172"/>
        <v>Schwund</v>
      </c>
      <c r="N863" s="28">
        <f t="shared" si="173"/>
        <v>20.849999999999998</v>
      </c>
      <c r="O863" s="5">
        <v>12</v>
      </c>
      <c r="P863" s="4">
        <v>3</v>
      </c>
      <c r="Q863" s="28">
        <f t="shared" si="174"/>
        <v>5.2124999999999995</v>
      </c>
      <c r="R863" s="50">
        <f t="shared" si="175"/>
        <v>6.254999999999999</v>
      </c>
      <c r="S863" s="2" t="str">
        <f t="shared" si="176"/>
        <v>Normal</v>
      </c>
      <c r="T863" s="4">
        <v>0</v>
      </c>
      <c r="U863" s="4" t="str">
        <f t="shared" si="177"/>
        <v>Nein</v>
      </c>
      <c r="V863" s="4">
        <f t="shared" si="178"/>
        <v>0</v>
      </c>
      <c r="W863" s="19">
        <f t="shared" si="179"/>
        <v>1.39</v>
      </c>
      <c r="X863" s="5">
        <v>0</v>
      </c>
      <c r="Y863" s="28">
        <f t="shared" si="180"/>
        <v>0</v>
      </c>
      <c r="Z863" s="31" t="s">
        <v>172</v>
      </c>
      <c r="AA863" t="str">
        <f t="shared" si="181"/>
        <v>Prozessfehler</v>
      </c>
    </row>
    <row r="864" spans="1:27" x14ac:dyDescent="0.35">
      <c r="A864" s="32" t="s">
        <v>18</v>
      </c>
      <c r="B864" s="2" t="str">
        <f>VLOOKUP(A864,Stammdaten!$A$3:$B$7,2,FALSE)</f>
        <v>Filiale Zentrum</v>
      </c>
      <c r="C864" s="3" t="str" cm="1">
        <f t="array" ref="C864">INDEX(Stammdaten!$A$11:$A$25,INT((ROW()-5)/12)+1 - INT((ROW()-5)/180)*15)</f>
        <v>A012</v>
      </c>
      <c r="D864" s="2" t="str">
        <f>VLOOKUP(C864,Stammdaten!$A$11:$B$25,2,FALSE)</f>
        <v>Quark 500g</v>
      </c>
      <c r="E864" s="3" t="str">
        <f>VLOOKUP(C864,Stammdaten!$A$11:$C$25,3,FALSE)</f>
        <v>Quark</v>
      </c>
      <c r="F864" s="19">
        <f>VLOOKUP(C864,Stammdaten!$A$11:$D$25,4,FALSE)</f>
        <v>1.39</v>
      </c>
      <c r="G864" s="4">
        <f t="shared" si="169"/>
        <v>8</v>
      </c>
      <c r="H864" s="20" t="str">
        <f>VLOOKUP(G864,Stammdaten!$A$30:$B$41,2,FALSE)</f>
        <v>August</v>
      </c>
      <c r="I864" s="4">
        <v>568</v>
      </c>
      <c r="J864" s="4">
        <v>551</v>
      </c>
      <c r="K864" s="4">
        <f t="shared" si="170"/>
        <v>-17</v>
      </c>
      <c r="L864" s="27">
        <f t="shared" si="171"/>
        <v>-2.992957746478873</v>
      </c>
      <c r="M864" s="52" t="str">
        <f t="shared" si="172"/>
        <v>Schwund</v>
      </c>
      <c r="N864" s="28">
        <f t="shared" si="173"/>
        <v>23.63</v>
      </c>
      <c r="O864" s="5">
        <v>8</v>
      </c>
      <c r="P864" s="4">
        <v>2</v>
      </c>
      <c r="Q864" s="28">
        <f t="shared" si="174"/>
        <v>5.9074999999999998</v>
      </c>
      <c r="R864" s="50">
        <f t="shared" si="175"/>
        <v>7.0889999999999995</v>
      </c>
      <c r="S864" s="2" t="str">
        <f t="shared" si="176"/>
        <v>Normal</v>
      </c>
      <c r="T864" s="4">
        <v>0</v>
      </c>
      <c r="U864" s="4" t="str">
        <f t="shared" si="177"/>
        <v>Nein</v>
      </c>
      <c r="V864" s="4">
        <f t="shared" si="178"/>
        <v>0</v>
      </c>
      <c r="W864" s="19">
        <f t="shared" si="179"/>
        <v>1.39</v>
      </c>
      <c r="X864" s="5">
        <v>0</v>
      </c>
      <c r="Y864" s="28">
        <f t="shared" si="180"/>
        <v>0</v>
      </c>
      <c r="Z864" s="31" t="s">
        <v>172</v>
      </c>
      <c r="AA864" t="str">
        <f t="shared" si="181"/>
        <v>Prozessfehler</v>
      </c>
    </row>
    <row r="865" spans="1:27" x14ac:dyDescent="0.35">
      <c r="A865" s="32" t="s">
        <v>18</v>
      </c>
      <c r="B865" s="2" t="str">
        <f>VLOOKUP(A865,Stammdaten!$A$3:$B$7,2,FALSE)</f>
        <v>Filiale Zentrum</v>
      </c>
      <c r="C865" s="3" t="str" cm="1">
        <f t="array" ref="C865">INDEX(Stammdaten!$A$11:$A$25,INT((ROW()-5)/12)+1 - INT((ROW()-5)/180)*15)</f>
        <v>A012</v>
      </c>
      <c r="D865" s="2" t="str">
        <f>VLOOKUP(C865,Stammdaten!$A$11:$B$25,2,FALSE)</f>
        <v>Quark 500g</v>
      </c>
      <c r="E865" s="3" t="str">
        <f>VLOOKUP(C865,Stammdaten!$A$11:$C$25,3,FALSE)</f>
        <v>Quark</v>
      </c>
      <c r="F865" s="19">
        <f>VLOOKUP(C865,Stammdaten!$A$11:$D$25,4,FALSE)</f>
        <v>1.39</v>
      </c>
      <c r="G865" s="4">
        <f t="shared" si="169"/>
        <v>9</v>
      </c>
      <c r="H865" s="20" t="str">
        <f>VLOOKUP(G865,Stammdaten!$A$30:$B$41,2,FALSE)</f>
        <v>September</v>
      </c>
      <c r="I865" s="4">
        <v>494</v>
      </c>
      <c r="J865" s="4">
        <v>476</v>
      </c>
      <c r="K865" s="4">
        <f t="shared" si="170"/>
        <v>-18</v>
      </c>
      <c r="L865" s="27">
        <f t="shared" si="171"/>
        <v>-3.6437246963562751</v>
      </c>
      <c r="M865" s="52" t="str">
        <f t="shared" si="172"/>
        <v>Schwund</v>
      </c>
      <c r="N865" s="28">
        <f t="shared" si="173"/>
        <v>25.02</v>
      </c>
      <c r="O865" s="5">
        <v>7</v>
      </c>
      <c r="P865" s="4">
        <v>3</v>
      </c>
      <c r="Q865" s="28">
        <f t="shared" si="174"/>
        <v>6.2549999999999999</v>
      </c>
      <c r="R865" s="50">
        <f t="shared" si="175"/>
        <v>7.5059999999999993</v>
      </c>
      <c r="S865" s="2" t="str">
        <f t="shared" si="176"/>
        <v>Normal</v>
      </c>
      <c r="T865" s="4">
        <v>0</v>
      </c>
      <c r="U865" s="4" t="str">
        <f t="shared" si="177"/>
        <v>Nein</v>
      </c>
      <c r="V865" s="4">
        <f t="shared" si="178"/>
        <v>0</v>
      </c>
      <c r="W865" s="19">
        <f t="shared" si="179"/>
        <v>1.39</v>
      </c>
      <c r="X865" s="5">
        <v>0</v>
      </c>
      <c r="Y865" s="28">
        <f t="shared" si="180"/>
        <v>0</v>
      </c>
      <c r="Z865" s="31" t="s">
        <v>172</v>
      </c>
      <c r="AA865" t="str">
        <f t="shared" si="181"/>
        <v>Diebstahlrisiko</v>
      </c>
    </row>
    <row r="866" spans="1:27" x14ac:dyDescent="0.35">
      <c r="A866" s="32" t="s">
        <v>18</v>
      </c>
      <c r="B866" s="2" t="str">
        <f>VLOOKUP(A866,Stammdaten!$A$3:$B$7,2,FALSE)</f>
        <v>Filiale Zentrum</v>
      </c>
      <c r="C866" s="3" t="str" cm="1">
        <f t="array" ref="C866">INDEX(Stammdaten!$A$11:$A$25,INT((ROW()-5)/12)+1 - INT((ROW()-5)/180)*15)</f>
        <v>A012</v>
      </c>
      <c r="D866" s="2" t="str">
        <f>VLOOKUP(C866,Stammdaten!$A$11:$B$25,2,FALSE)</f>
        <v>Quark 500g</v>
      </c>
      <c r="E866" s="3" t="str">
        <f>VLOOKUP(C866,Stammdaten!$A$11:$C$25,3,FALSE)</f>
        <v>Quark</v>
      </c>
      <c r="F866" s="19">
        <f>VLOOKUP(C866,Stammdaten!$A$11:$D$25,4,FALSE)</f>
        <v>1.39</v>
      </c>
      <c r="G866" s="4">
        <f t="shared" si="169"/>
        <v>10</v>
      </c>
      <c r="H866" s="20" t="str">
        <f>VLOOKUP(G866,Stammdaten!$A$30:$B$41,2,FALSE)</f>
        <v>Oktober</v>
      </c>
      <c r="I866" s="4">
        <v>546</v>
      </c>
      <c r="J866" s="4">
        <v>533</v>
      </c>
      <c r="K866" s="4">
        <f t="shared" si="170"/>
        <v>-13</v>
      </c>
      <c r="L866" s="27">
        <f t="shared" si="171"/>
        <v>-2.3809523809523809</v>
      </c>
      <c r="M866" s="52" t="str">
        <f t="shared" si="172"/>
        <v>Schwund</v>
      </c>
      <c r="N866" s="28">
        <f t="shared" si="173"/>
        <v>18.07</v>
      </c>
      <c r="O866" s="5">
        <v>9</v>
      </c>
      <c r="P866" s="4">
        <v>3</v>
      </c>
      <c r="Q866" s="28">
        <f t="shared" si="174"/>
        <v>4.5175000000000001</v>
      </c>
      <c r="R866" s="50">
        <f t="shared" si="175"/>
        <v>5.4210000000000003</v>
      </c>
      <c r="S866" s="2" t="str">
        <f t="shared" si="176"/>
        <v>Normal</v>
      </c>
      <c r="T866" s="4">
        <v>0</v>
      </c>
      <c r="U866" s="4" t="str">
        <f t="shared" si="177"/>
        <v>Nein</v>
      </c>
      <c r="V866" s="4">
        <f t="shared" si="178"/>
        <v>0</v>
      </c>
      <c r="W866" s="19">
        <f t="shared" si="179"/>
        <v>1.39</v>
      </c>
      <c r="X866" s="5">
        <v>0</v>
      </c>
      <c r="Y866" s="28">
        <f t="shared" si="180"/>
        <v>0</v>
      </c>
      <c r="Z866" s="31" t="s">
        <v>172</v>
      </c>
      <c r="AA866" t="str">
        <f t="shared" si="181"/>
        <v>Prozessfehler</v>
      </c>
    </row>
    <row r="867" spans="1:27" x14ac:dyDescent="0.35">
      <c r="A867" s="32" t="s">
        <v>18</v>
      </c>
      <c r="B867" s="2" t="str">
        <f>VLOOKUP(A867,Stammdaten!$A$3:$B$7,2,FALSE)</f>
        <v>Filiale Zentrum</v>
      </c>
      <c r="C867" s="3" t="str" cm="1">
        <f t="array" ref="C867">INDEX(Stammdaten!$A$11:$A$25,INT((ROW()-5)/12)+1 - INT((ROW()-5)/180)*15)</f>
        <v>A012</v>
      </c>
      <c r="D867" s="2" t="str">
        <f>VLOOKUP(C867,Stammdaten!$A$11:$B$25,2,FALSE)</f>
        <v>Quark 500g</v>
      </c>
      <c r="E867" s="3" t="str">
        <f>VLOOKUP(C867,Stammdaten!$A$11:$C$25,3,FALSE)</f>
        <v>Quark</v>
      </c>
      <c r="F867" s="19">
        <f>VLOOKUP(C867,Stammdaten!$A$11:$D$25,4,FALSE)</f>
        <v>1.39</v>
      </c>
      <c r="G867" s="4">
        <f t="shared" si="169"/>
        <v>11</v>
      </c>
      <c r="H867" s="20" t="str">
        <f>VLOOKUP(G867,Stammdaten!$A$30:$B$41,2,FALSE)</f>
        <v>November</v>
      </c>
      <c r="I867" s="4">
        <v>572</v>
      </c>
      <c r="J867" s="4">
        <v>550</v>
      </c>
      <c r="K867" s="4">
        <f t="shared" si="170"/>
        <v>-22</v>
      </c>
      <c r="L867" s="27">
        <f t="shared" si="171"/>
        <v>-3.8461538461538463</v>
      </c>
      <c r="M867" s="52" t="str">
        <f t="shared" si="172"/>
        <v>Schwund</v>
      </c>
      <c r="N867" s="28">
        <f t="shared" si="173"/>
        <v>30.58</v>
      </c>
      <c r="O867" s="5">
        <v>4</v>
      </c>
      <c r="P867" s="4">
        <v>1</v>
      </c>
      <c r="Q867" s="28">
        <f t="shared" si="174"/>
        <v>7.6449999999999996</v>
      </c>
      <c r="R867" s="50">
        <f t="shared" si="175"/>
        <v>9.1739999999999995</v>
      </c>
      <c r="S867" s="2" t="str">
        <f t="shared" si="176"/>
        <v>Black Friday</v>
      </c>
      <c r="T867" s="4">
        <v>0</v>
      </c>
      <c r="U867" s="4" t="str">
        <f t="shared" si="177"/>
        <v>Nein</v>
      </c>
      <c r="V867" s="4">
        <f t="shared" si="178"/>
        <v>0</v>
      </c>
      <c r="W867" s="19">
        <f t="shared" si="179"/>
        <v>1.39</v>
      </c>
      <c r="X867" s="5">
        <v>0</v>
      </c>
      <c r="Y867" s="28">
        <f t="shared" si="180"/>
        <v>0</v>
      </c>
      <c r="Z867" s="31" t="s">
        <v>172</v>
      </c>
      <c r="AA867" t="str">
        <f t="shared" si="181"/>
        <v>Diebstahlrisiko</v>
      </c>
    </row>
    <row r="868" spans="1:27" x14ac:dyDescent="0.35">
      <c r="A868" s="32" t="s">
        <v>18</v>
      </c>
      <c r="B868" s="2" t="str">
        <f>VLOOKUP(A868,Stammdaten!$A$3:$B$7,2,FALSE)</f>
        <v>Filiale Zentrum</v>
      </c>
      <c r="C868" s="3" t="str" cm="1">
        <f t="array" ref="C868">INDEX(Stammdaten!$A$11:$A$25,INT((ROW()-5)/12)+1 - INT((ROW()-5)/180)*15)</f>
        <v>A012</v>
      </c>
      <c r="D868" s="2" t="str">
        <f>VLOOKUP(C868,Stammdaten!$A$11:$B$25,2,FALSE)</f>
        <v>Quark 500g</v>
      </c>
      <c r="E868" s="3" t="str">
        <f>VLOOKUP(C868,Stammdaten!$A$11:$C$25,3,FALSE)</f>
        <v>Quark</v>
      </c>
      <c r="F868" s="19">
        <f>VLOOKUP(C868,Stammdaten!$A$11:$D$25,4,FALSE)</f>
        <v>1.39</v>
      </c>
      <c r="G868" s="4">
        <f t="shared" si="169"/>
        <v>12</v>
      </c>
      <c r="H868" s="20" t="str">
        <f>VLOOKUP(G868,Stammdaten!$A$30:$B$41,2,FALSE)</f>
        <v>Dezember</v>
      </c>
      <c r="I868" s="4">
        <v>735</v>
      </c>
      <c r="J868" s="4">
        <v>735</v>
      </c>
      <c r="K868" s="4">
        <f t="shared" si="170"/>
        <v>0</v>
      </c>
      <c r="L868" s="27">
        <f t="shared" si="171"/>
        <v>0</v>
      </c>
      <c r="M868" s="52" t="str">
        <f t="shared" si="172"/>
        <v>Perfekt</v>
      </c>
      <c r="N868" s="28">
        <f t="shared" si="173"/>
        <v>0</v>
      </c>
      <c r="O868" s="5">
        <v>7</v>
      </c>
      <c r="P868" s="4">
        <v>1</v>
      </c>
      <c r="Q868" s="28">
        <f t="shared" si="174"/>
        <v>0</v>
      </c>
      <c r="R868" s="50">
        <f t="shared" si="175"/>
        <v>0</v>
      </c>
      <c r="S868" s="2" t="str">
        <f t="shared" si="176"/>
        <v>Weihnachten/Silvester</v>
      </c>
      <c r="T868" s="4">
        <v>0</v>
      </c>
      <c r="U868" s="4" t="str">
        <f t="shared" si="177"/>
        <v>Nein</v>
      </c>
      <c r="V868" s="4">
        <f t="shared" si="178"/>
        <v>0</v>
      </c>
      <c r="W868" s="19">
        <f t="shared" si="179"/>
        <v>1.39</v>
      </c>
      <c r="X868" s="5">
        <v>0</v>
      </c>
      <c r="Y868" s="28">
        <f t="shared" si="180"/>
        <v>0</v>
      </c>
      <c r="Z868" s="31" t="s">
        <v>172</v>
      </c>
      <c r="AA868" t="str">
        <f t="shared" si="181"/>
        <v>Normal/Gering</v>
      </c>
    </row>
    <row r="869" spans="1:27" x14ac:dyDescent="0.35">
      <c r="A869" s="32" t="s">
        <v>18</v>
      </c>
      <c r="B869" s="2" t="str">
        <f>VLOOKUP(A869,Stammdaten!$A$3:$B$7,2,FALSE)</f>
        <v>Filiale Zentrum</v>
      </c>
      <c r="C869" s="3" t="str" cm="1">
        <f t="array" ref="C869">INDEX(Stammdaten!$A$11:$A$25,INT((ROW()-5)/12)+1 - INT((ROW()-5)/180)*15)</f>
        <v>A013</v>
      </c>
      <c r="D869" s="2" t="str">
        <f>VLOOKUP(C869,Stammdaten!$A$11:$B$25,2,FALSE)</f>
        <v>Skyr 450g</v>
      </c>
      <c r="E869" s="3" t="str">
        <f>VLOOKUP(C869,Stammdaten!$A$11:$C$25,3,FALSE)</f>
        <v>Joghurt</v>
      </c>
      <c r="F869" s="19">
        <f>VLOOKUP(C869,Stammdaten!$A$11:$D$25,4,FALSE)</f>
        <v>1.99</v>
      </c>
      <c r="G869" s="4">
        <f t="shared" si="169"/>
        <v>1</v>
      </c>
      <c r="H869" s="20" t="str">
        <f>VLOOKUP(G869,Stammdaten!$A$30:$B$41,2,FALSE)</f>
        <v>Januar</v>
      </c>
      <c r="I869" s="4">
        <v>295</v>
      </c>
      <c r="J869" s="4">
        <v>300</v>
      </c>
      <c r="K869" s="4">
        <f t="shared" si="170"/>
        <v>5</v>
      </c>
      <c r="L869" s="27">
        <f t="shared" si="171"/>
        <v>1.6949152542372881</v>
      </c>
      <c r="M869" s="52" t="str">
        <f t="shared" si="172"/>
        <v>Überbestand</v>
      </c>
      <c r="N869" s="28">
        <f t="shared" si="173"/>
        <v>9.9499999999999993</v>
      </c>
      <c r="O869" s="5">
        <v>11</v>
      </c>
      <c r="P869" s="4">
        <v>4</v>
      </c>
      <c r="Q869" s="28">
        <f t="shared" si="174"/>
        <v>0</v>
      </c>
      <c r="R869" s="50">
        <f t="shared" si="175"/>
        <v>0</v>
      </c>
      <c r="S869" s="2" t="str">
        <f t="shared" si="176"/>
        <v>Normal</v>
      </c>
      <c r="T869" s="4">
        <v>5</v>
      </c>
      <c r="U869" s="4" t="str">
        <f t="shared" si="177"/>
        <v>Nein</v>
      </c>
      <c r="V869" s="4">
        <f t="shared" si="178"/>
        <v>0</v>
      </c>
      <c r="W869" s="19">
        <f t="shared" si="179"/>
        <v>1.99</v>
      </c>
      <c r="X869" s="5">
        <v>0</v>
      </c>
      <c r="Y869" s="28">
        <f t="shared" si="180"/>
        <v>0</v>
      </c>
      <c r="Z869" s="31" t="s">
        <v>172</v>
      </c>
      <c r="AA869" t="str">
        <f t="shared" si="181"/>
        <v>Kassenfehler (Überbestand)</v>
      </c>
    </row>
    <row r="870" spans="1:27" x14ac:dyDescent="0.35">
      <c r="A870" s="32" t="s">
        <v>18</v>
      </c>
      <c r="B870" s="2" t="str">
        <f>VLOOKUP(A870,Stammdaten!$A$3:$B$7,2,FALSE)</f>
        <v>Filiale Zentrum</v>
      </c>
      <c r="C870" s="3" t="str" cm="1">
        <f t="array" ref="C870">INDEX(Stammdaten!$A$11:$A$25,INT((ROW()-5)/12)+1 - INT((ROW()-5)/180)*15)</f>
        <v>A013</v>
      </c>
      <c r="D870" s="2" t="str">
        <f>VLOOKUP(C870,Stammdaten!$A$11:$B$25,2,FALSE)</f>
        <v>Skyr 450g</v>
      </c>
      <c r="E870" s="3" t="str">
        <f>VLOOKUP(C870,Stammdaten!$A$11:$C$25,3,FALSE)</f>
        <v>Joghurt</v>
      </c>
      <c r="F870" s="19">
        <f>VLOOKUP(C870,Stammdaten!$A$11:$D$25,4,FALSE)</f>
        <v>1.99</v>
      </c>
      <c r="G870" s="4">
        <f t="shared" si="169"/>
        <v>2</v>
      </c>
      <c r="H870" s="20" t="str">
        <f>VLOOKUP(G870,Stammdaten!$A$30:$B$41,2,FALSE)</f>
        <v>Februar</v>
      </c>
      <c r="I870" s="4">
        <v>287</v>
      </c>
      <c r="J870" s="4">
        <v>294</v>
      </c>
      <c r="K870" s="4">
        <f t="shared" si="170"/>
        <v>7</v>
      </c>
      <c r="L870" s="27">
        <f t="shared" si="171"/>
        <v>2.4390243902439024</v>
      </c>
      <c r="M870" s="52" t="str">
        <f t="shared" si="172"/>
        <v>Überbestand</v>
      </c>
      <c r="N870" s="28">
        <f t="shared" si="173"/>
        <v>13.93</v>
      </c>
      <c r="O870" s="5">
        <v>21</v>
      </c>
      <c r="P870" s="4">
        <v>5</v>
      </c>
      <c r="Q870" s="28">
        <f t="shared" si="174"/>
        <v>0</v>
      </c>
      <c r="R870" s="50">
        <f t="shared" si="175"/>
        <v>0</v>
      </c>
      <c r="S870" s="2" t="str">
        <f t="shared" si="176"/>
        <v>Karneval</v>
      </c>
      <c r="T870" s="4">
        <v>7</v>
      </c>
      <c r="U870" s="4" t="str">
        <f t="shared" si="177"/>
        <v>Nein</v>
      </c>
      <c r="V870" s="4">
        <f t="shared" si="178"/>
        <v>0</v>
      </c>
      <c r="W870" s="19">
        <f t="shared" si="179"/>
        <v>1.99</v>
      </c>
      <c r="X870" s="5">
        <v>0</v>
      </c>
      <c r="Y870" s="28">
        <f t="shared" si="180"/>
        <v>0</v>
      </c>
      <c r="Z870" s="31" t="s">
        <v>172</v>
      </c>
      <c r="AA870" t="str">
        <f t="shared" si="181"/>
        <v>Kassenfehler (Überbestand)</v>
      </c>
    </row>
    <row r="871" spans="1:27" x14ac:dyDescent="0.35">
      <c r="A871" s="32" t="s">
        <v>18</v>
      </c>
      <c r="B871" s="2" t="str">
        <f>VLOOKUP(A871,Stammdaten!$A$3:$B$7,2,FALSE)</f>
        <v>Filiale Zentrum</v>
      </c>
      <c r="C871" s="3" t="str" cm="1">
        <f t="array" ref="C871">INDEX(Stammdaten!$A$11:$A$25,INT((ROW()-5)/12)+1 - INT((ROW()-5)/180)*15)</f>
        <v>A013</v>
      </c>
      <c r="D871" s="2" t="str">
        <f>VLOOKUP(C871,Stammdaten!$A$11:$B$25,2,FALSE)</f>
        <v>Skyr 450g</v>
      </c>
      <c r="E871" s="3" t="str">
        <f>VLOOKUP(C871,Stammdaten!$A$11:$C$25,3,FALSE)</f>
        <v>Joghurt</v>
      </c>
      <c r="F871" s="19">
        <f>VLOOKUP(C871,Stammdaten!$A$11:$D$25,4,FALSE)</f>
        <v>1.99</v>
      </c>
      <c r="G871" s="4">
        <f t="shared" si="169"/>
        <v>3</v>
      </c>
      <c r="H871" s="20" t="str">
        <f>VLOOKUP(G871,Stammdaten!$A$30:$B$41,2,FALSE)</f>
        <v>März</v>
      </c>
      <c r="I871" s="4">
        <v>328</v>
      </c>
      <c r="J871" s="4">
        <v>330</v>
      </c>
      <c r="K871" s="4">
        <f t="shared" si="170"/>
        <v>2</v>
      </c>
      <c r="L871" s="27">
        <f t="shared" si="171"/>
        <v>0.6097560975609756</v>
      </c>
      <c r="M871" s="52" t="str">
        <f t="shared" si="172"/>
        <v>Überbestand</v>
      </c>
      <c r="N871" s="28">
        <f t="shared" si="173"/>
        <v>3.98</v>
      </c>
      <c r="O871" s="5">
        <v>9</v>
      </c>
      <c r="P871" s="4">
        <v>7</v>
      </c>
      <c r="Q871" s="28">
        <f t="shared" si="174"/>
        <v>0</v>
      </c>
      <c r="R871" s="50">
        <f t="shared" si="175"/>
        <v>0</v>
      </c>
      <c r="S871" s="2" t="str">
        <f t="shared" si="176"/>
        <v>Normal</v>
      </c>
      <c r="T871" s="4">
        <v>2</v>
      </c>
      <c r="U871" s="4" t="str">
        <f t="shared" si="177"/>
        <v>Nein</v>
      </c>
      <c r="V871" s="4">
        <f t="shared" si="178"/>
        <v>0</v>
      </c>
      <c r="W871" s="19">
        <f t="shared" si="179"/>
        <v>1.99</v>
      </c>
      <c r="X871" s="5">
        <v>0</v>
      </c>
      <c r="Y871" s="28">
        <f t="shared" si="180"/>
        <v>0</v>
      </c>
      <c r="Z871" s="31" t="s">
        <v>172</v>
      </c>
      <c r="AA871" t="str">
        <f t="shared" si="181"/>
        <v>Kassenfehler (Überbestand)</v>
      </c>
    </row>
    <row r="872" spans="1:27" x14ac:dyDescent="0.35">
      <c r="A872" s="32" t="s">
        <v>18</v>
      </c>
      <c r="B872" s="2" t="str">
        <f>VLOOKUP(A872,Stammdaten!$A$3:$B$7,2,FALSE)</f>
        <v>Filiale Zentrum</v>
      </c>
      <c r="C872" s="3" t="str" cm="1">
        <f t="array" ref="C872">INDEX(Stammdaten!$A$11:$A$25,INT((ROW()-5)/12)+1 - INT((ROW()-5)/180)*15)</f>
        <v>A013</v>
      </c>
      <c r="D872" s="2" t="str">
        <f>VLOOKUP(C872,Stammdaten!$A$11:$B$25,2,FALSE)</f>
        <v>Skyr 450g</v>
      </c>
      <c r="E872" s="3" t="str">
        <f>VLOOKUP(C872,Stammdaten!$A$11:$C$25,3,FALSE)</f>
        <v>Joghurt</v>
      </c>
      <c r="F872" s="19">
        <f>VLOOKUP(C872,Stammdaten!$A$11:$D$25,4,FALSE)</f>
        <v>1.99</v>
      </c>
      <c r="G872" s="4">
        <f t="shared" si="169"/>
        <v>4</v>
      </c>
      <c r="H872" s="20" t="str">
        <f>VLOOKUP(G872,Stammdaten!$A$30:$B$41,2,FALSE)</f>
        <v>April</v>
      </c>
      <c r="I872" s="4">
        <v>386</v>
      </c>
      <c r="J872" s="4">
        <v>369</v>
      </c>
      <c r="K872" s="4">
        <f t="shared" si="170"/>
        <v>-17</v>
      </c>
      <c r="L872" s="27">
        <f t="shared" si="171"/>
        <v>-4.4041450777202069</v>
      </c>
      <c r="M872" s="52" t="str">
        <f t="shared" si="172"/>
        <v>Schwund</v>
      </c>
      <c r="N872" s="28">
        <f t="shared" si="173"/>
        <v>33.83</v>
      </c>
      <c r="O872" s="5">
        <v>2</v>
      </c>
      <c r="P872" s="4">
        <v>7</v>
      </c>
      <c r="Q872" s="28">
        <f t="shared" si="174"/>
        <v>8.4574999999999996</v>
      </c>
      <c r="R872" s="50">
        <f t="shared" si="175"/>
        <v>10.148999999999999</v>
      </c>
      <c r="S872" s="2" t="str">
        <f t="shared" si="176"/>
        <v>Ostern</v>
      </c>
      <c r="T872" s="4">
        <v>0</v>
      </c>
      <c r="U872" s="4" t="str">
        <f t="shared" si="177"/>
        <v>Ja - 20% Reduzierung</v>
      </c>
      <c r="V872" s="4">
        <f t="shared" si="178"/>
        <v>20</v>
      </c>
      <c r="W872" s="19">
        <f t="shared" si="179"/>
        <v>1.59</v>
      </c>
      <c r="X872" s="5">
        <v>35</v>
      </c>
      <c r="Y872" s="28">
        <f t="shared" si="180"/>
        <v>13.93</v>
      </c>
      <c r="Z872" s="31" t="s">
        <v>164</v>
      </c>
      <c r="AA872" t="str">
        <f t="shared" si="181"/>
        <v>MHD - Prozessfehler</v>
      </c>
    </row>
    <row r="873" spans="1:27" x14ac:dyDescent="0.35">
      <c r="A873" s="32" t="s">
        <v>18</v>
      </c>
      <c r="B873" s="2" t="str">
        <f>VLOOKUP(A873,Stammdaten!$A$3:$B$7,2,FALSE)</f>
        <v>Filiale Zentrum</v>
      </c>
      <c r="C873" s="3" t="str" cm="1">
        <f t="array" ref="C873">INDEX(Stammdaten!$A$11:$A$25,INT((ROW()-5)/12)+1 - INT((ROW()-5)/180)*15)</f>
        <v>A013</v>
      </c>
      <c r="D873" s="2" t="str">
        <f>VLOOKUP(C873,Stammdaten!$A$11:$B$25,2,FALSE)</f>
        <v>Skyr 450g</v>
      </c>
      <c r="E873" s="3" t="str">
        <f>VLOOKUP(C873,Stammdaten!$A$11:$C$25,3,FALSE)</f>
        <v>Joghurt</v>
      </c>
      <c r="F873" s="19">
        <f>VLOOKUP(C873,Stammdaten!$A$11:$D$25,4,FALSE)</f>
        <v>1.99</v>
      </c>
      <c r="G873" s="4">
        <f t="shared" si="169"/>
        <v>5</v>
      </c>
      <c r="H873" s="20" t="str">
        <f>VLOOKUP(G873,Stammdaten!$A$30:$B$41,2,FALSE)</f>
        <v>Mai</v>
      </c>
      <c r="I873" s="4">
        <v>341</v>
      </c>
      <c r="J873" s="4">
        <v>334</v>
      </c>
      <c r="K873" s="4">
        <f t="shared" si="170"/>
        <v>-7</v>
      </c>
      <c r="L873" s="27">
        <f t="shared" si="171"/>
        <v>-2.0527859237536656</v>
      </c>
      <c r="M873" s="52" t="str">
        <f t="shared" si="172"/>
        <v>Schwund</v>
      </c>
      <c r="N873" s="28">
        <f t="shared" si="173"/>
        <v>13.93</v>
      </c>
      <c r="O873" s="5">
        <v>16</v>
      </c>
      <c r="P873" s="4">
        <v>3</v>
      </c>
      <c r="Q873" s="28">
        <f t="shared" si="174"/>
        <v>3.4824999999999999</v>
      </c>
      <c r="R873" s="50">
        <f t="shared" si="175"/>
        <v>4.1789999999999994</v>
      </c>
      <c r="S873" s="2" t="str">
        <f t="shared" si="176"/>
        <v>Normal</v>
      </c>
      <c r="T873" s="4">
        <v>0</v>
      </c>
      <c r="U873" s="4" t="str">
        <f t="shared" si="177"/>
        <v>Nein</v>
      </c>
      <c r="V873" s="4">
        <f t="shared" si="178"/>
        <v>0</v>
      </c>
      <c r="W873" s="19">
        <f t="shared" si="179"/>
        <v>1.99</v>
      </c>
      <c r="X873" s="5">
        <v>0</v>
      </c>
      <c r="Y873" s="28">
        <f t="shared" si="180"/>
        <v>0</v>
      </c>
      <c r="Z873" s="31" t="s">
        <v>172</v>
      </c>
      <c r="AA873" t="str">
        <f t="shared" si="181"/>
        <v>Prozessfehler</v>
      </c>
    </row>
    <row r="874" spans="1:27" x14ac:dyDescent="0.35">
      <c r="A874" s="32" t="s">
        <v>18</v>
      </c>
      <c r="B874" s="2" t="str">
        <f>VLOOKUP(A874,Stammdaten!$A$3:$B$7,2,FALSE)</f>
        <v>Filiale Zentrum</v>
      </c>
      <c r="C874" s="3" t="str" cm="1">
        <f t="array" ref="C874">INDEX(Stammdaten!$A$11:$A$25,INT((ROW()-5)/12)+1 - INT((ROW()-5)/180)*15)</f>
        <v>A013</v>
      </c>
      <c r="D874" s="2" t="str">
        <f>VLOOKUP(C874,Stammdaten!$A$11:$B$25,2,FALSE)</f>
        <v>Skyr 450g</v>
      </c>
      <c r="E874" s="3" t="str">
        <f>VLOOKUP(C874,Stammdaten!$A$11:$C$25,3,FALSE)</f>
        <v>Joghurt</v>
      </c>
      <c r="F874" s="19">
        <f>VLOOKUP(C874,Stammdaten!$A$11:$D$25,4,FALSE)</f>
        <v>1.99</v>
      </c>
      <c r="G874" s="4">
        <f t="shared" si="169"/>
        <v>6</v>
      </c>
      <c r="H874" s="20" t="str">
        <f>VLOOKUP(G874,Stammdaten!$A$30:$B$41,2,FALSE)</f>
        <v>Juni</v>
      </c>
      <c r="I874" s="4">
        <v>354</v>
      </c>
      <c r="J874" s="4">
        <v>342</v>
      </c>
      <c r="K874" s="4">
        <f t="shared" si="170"/>
        <v>-12</v>
      </c>
      <c r="L874" s="27">
        <f t="shared" si="171"/>
        <v>-3.3898305084745761</v>
      </c>
      <c r="M874" s="52" t="str">
        <f t="shared" si="172"/>
        <v>Schwund</v>
      </c>
      <c r="N874" s="28">
        <f t="shared" si="173"/>
        <v>23.88</v>
      </c>
      <c r="O874" s="5">
        <v>3</v>
      </c>
      <c r="P874" s="4">
        <v>6</v>
      </c>
      <c r="Q874" s="28">
        <f t="shared" si="174"/>
        <v>5.97</v>
      </c>
      <c r="R874" s="50">
        <f t="shared" si="175"/>
        <v>7.1639999999999997</v>
      </c>
      <c r="S874" s="2" t="str">
        <f t="shared" si="176"/>
        <v>Normal</v>
      </c>
      <c r="T874" s="4">
        <v>0</v>
      </c>
      <c r="U874" s="4" t="str">
        <f t="shared" si="177"/>
        <v>Ja - 20% Reduzierung</v>
      </c>
      <c r="V874" s="4">
        <f t="shared" si="178"/>
        <v>20</v>
      </c>
      <c r="W874" s="19">
        <f t="shared" si="179"/>
        <v>1.59</v>
      </c>
      <c r="X874" s="5">
        <v>39</v>
      </c>
      <c r="Y874" s="28">
        <f t="shared" si="180"/>
        <v>15.52</v>
      </c>
      <c r="Z874" s="31" t="s">
        <v>173</v>
      </c>
      <c r="AA874" t="str">
        <f t="shared" si="181"/>
        <v>Diebstahlrisiko</v>
      </c>
    </row>
    <row r="875" spans="1:27" x14ac:dyDescent="0.35">
      <c r="A875" s="32" t="s">
        <v>18</v>
      </c>
      <c r="B875" s="2" t="str">
        <f>VLOOKUP(A875,Stammdaten!$A$3:$B$7,2,FALSE)</f>
        <v>Filiale Zentrum</v>
      </c>
      <c r="C875" s="3" t="str" cm="1">
        <f t="array" ref="C875">INDEX(Stammdaten!$A$11:$A$25,INT((ROW()-5)/12)+1 - INT((ROW()-5)/180)*15)</f>
        <v>A013</v>
      </c>
      <c r="D875" s="2" t="str">
        <f>VLOOKUP(C875,Stammdaten!$A$11:$B$25,2,FALSE)</f>
        <v>Skyr 450g</v>
      </c>
      <c r="E875" s="3" t="str">
        <f>VLOOKUP(C875,Stammdaten!$A$11:$C$25,3,FALSE)</f>
        <v>Joghurt</v>
      </c>
      <c r="F875" s="19">
        <f>VLOOKUP(C875,Stammdaten!$A$11:$D$25,4,FALSE)</f>
        <v>1.99</v>
      </c>
      <c r="G875" s="4">
        <f t="shared" si="169"/>
        <v>7</v>
      </c>
      <c r="H875" s="20" t="str">
        <f>VLOOKUP(G875,Stammdaten!$A$30:$B$41,2,FALSE)</f>
        <v>Juli</v>
      </c>
      <c r="I875" s="4">
        <v>382</v>
      </c>
      <c r="J875" s="4">
        <v>370</v>
      </c>
      <c r="K875" s="4">
        <f t="shared" si="170"/>
        <v>-12</v>
      </c>
      <c r="L875" s="27">
        <f t="shared" si="171"/>
        <v>-3.1413612565445024</v>
      </c>
      <c r="M875" s="52" t="str">
        <f t="shared" si="172"/>
        <v>Schwund</v>
      </c>
      <c r="N875" s="28">
        <f t="shared" si="173"/>
        <v>23.88</v>
      </c>
      <c r="O875" s="5">
        <v>21</v>
      </c>
      <c r="P875" s="4">
        <v>0</v>
      </c>
      <c r="Q875" s="28">
        <f t="shared" si="174"/>
        <v>5.97</v>
      </c>
      <c r="R875" s="50">
        <f t="shared" si="175"/>
        <v>7.1639999999999997</v>
      </c>
      <c r="S875" s="2" t="str">
        <f t="shared" si="176"/>
        <v>Normal</v>
      </c>
      <c r="T875" s="4">
        <v>0</v>
      </c>
      <c r="U875" s="4" t="str">
        <f t="shared" si="177"/>
        <v>Nein</v>
      </c>
      <c r="V875" s="4">
        <f t="shared" si="178"/>
        <v>0</v>
      </c>
      <c r="W875" s="19">
        <f t="shared" si="179"/>
        <v>1.99</v>
      </c>
      <c r="X875" s="5">
        <v>0</v>
      </c>
      <c r="Y875" s="28">
        <f t="shared" si="180"/>
        <v>0</v>
      </c>
      <c r="Z875" s="31" t="s">
        <v>172</v>
      </c>
      <c r="AA875" t="str">
        <f t="shared" si="181"/>
        <v>Diebstahlrisiko</v>
      </c>
    </row>
    <row r="876" spans="1:27" x14ac:dyDescent="0.35">
      <c r="A876" s="32" t="s">
        <v>18</v>
      </c>
      <c r="B876" s="2" t="str">
        <f>VLOOKUP(A876,Stammdaten!$A$3:$B$7,2,FALSE)</f>
        <v>Filiale Zentrum</v>
      </c>
      <c r="C876" s="3" t="str" cm="1">
        <f t="array" ref="C876">INDEX(Stammdaten!$A$11:$A$25,INT((ROW()-5)/12)+1 - INT((ROW()-5)/180)*15)</f>
        <v>A013</v>
      </c>
      <c r="D876" s="2" t="str">
        <f>VLOOKUP(C876,Stammdaten!$A$11:$B$25,2,FALSE)</f>
        <v>Skyr 450g</v>
      </c>
      <c r="E876" s="3" t="str">
        <f>VLOOKUP(C876,Stammdaten!$A$11:$C$25,3,FALSE)</f>
        <v>Joghurt</v>
      </c>
      <c r="F876" s="19">
        <f>VLOOKUP(C876,Stammdaten!$A$11:$D$25,4,FALSE)</f>
        <v>1.99</v>
      </c>
      <c r="G876" s="4">
        <f t="shared" si="169"/>
        <v>8</v>
      </c>
      <c r="H876" s="20" t="str">
        <f>VLOOKUP(G876,Stammdaten!$A$30:$B$41,2,FALSE)</f>
        <v>August</v>
      </c>
      <c r="I876" s="4">
        <v>355</v>
      </c>
      <c r="J876" s="4">
        <v>345</v>
      </c>
      <c r="K876" s="4">
        <f t="shared" si="170"/>
        <v>-10</v>
      </c>
      <c r="L876" s="27">
        <f t="shared" si="171"/>
        <v>-2.8169014084507045</v>
      </c>
      <c r="M876" s="52" t="str">
        <f t="shared" si="172"/>
        <v>Schwund</v>
      </c>
      <c r="N876" s="28">
        <f t="shared" si="173"/>
        <v>19.899999999999999</v>
      </c>
      <c r="O876" s="5">
        <v>5</v>
      </c>
      <c r="P876" s="4">
        <v>2</v>
      </c>
      <c r="Q876" s="28">
        <f t="shared" si="174"/>
        <v>4.9749999999999996</v>
      </c>
      <c r="R876" s="50">
        <f t="shared" si="175"/>
        <v>5.97</v>
      </c>
      <c r="S876" s="2" t="str">
        <f t="shared" si="176"/>
        <v>Normal</v>
      </c>
      <c r="T876" s="4">
        <v>0</v>
      </c>
      <c r="U876" s="4" t="str">
        <f t="shared" si="177"/>
        <v>Nein</v>
      </c>
      <c r="V876" s="4">
        <f t="shared" si="178"/>
        <v>0</v>
      </c>
      <c r="W876" s="19">
        <f t="shared" si="179"/>
        <v>1.99</v>
      </c>
      <c r="X876" s="5">
        <v>0</v>
      </c>
      <c r="Y876" s="28">
        <f t="shared" si="180"/>
        <v>0</v>
      </c>
      <c r="Z876" s="31" t="s">
        <v>172</v>
      </c>
      <c r="AA876" t="str">
        <f t="shared" si="181"/>
        <v>Prozessfehler</v>
      </c>
    </row>
    <row r="877" spans="1:27" x14ac:dyDescent="0.35">
      <c r="A877" s="32" t="s">
        <v>18</v>
      </c>
      <c r="B877" s="2" t="str">
        <f>VLOOKUP(A877,Stammdaten!$A$3:$B$7,2,FALSE)</f>
        <v>Filiale Zentrum</v>
      </c>
      <c r="C877" s="3" t="str" cm="1">
        <f t="array" ref="C877">INDEX(Stammdaten!$A$11:$A$25,INT((ROW()-5)/12)+1 - INT((ROW()-5)/180)*15)</f>
        <v>A013</v>
      </c>
      <c r="D877" s="2" t="str">
        <f>VLOOKUP(C877,Stammdaten!$A$11:$B$25,2,FALSE)</f>
        <v>Skyr 450g</v>
      </c>
      <c r="E877" s="3" t="str">
        <f>VLOOKUP(C877,Stammdaten!$A$11:$C$25,3,FALSE)</f>
        <v>Joghurt</v>
      </c>
      <c r="F877" s="19">
        <f>VLOOKUP(C877,Stammdaten!$A$11:$D$25,4,FALSE)</f>
        <v>1.99</v>
      </c>
      <c r="G877" s="4">
        <f t="shared" si="169"/>
        <v>9</v>
      </c>
      <c r="H877" s="20" t="str">
        <f>VLOOKUP(G877,Stammdaten!$A$30:$B$41,2,FALSE)</f>
        <v>September</v>
      </c>
      <c r="I877" s="4">
        <v>299</v>
      </c>
      <c r="J877" s="4">
        <v>301</v>
      </c>
      <c r="K877" s="4">
        <f t="shared" si="170"/>
        <v>2</v>
      </c>
      <c r="L877" s="27">
        <f t="shared" si="171"/>
        <v>0.66889632107023411</v>
      </c>
      <c r="M877" s="52" t="str">
        <f t="shared" si="172"/>
        <v>Überbestand</v>
      </c>
      <c r="N877" s="28">
        <f t="shared" si="173"/>
        <v>3.98</v>
      </c>
      <c r="O877" s="5">
        <v>1</v>
      </c>
      <c r="P877" s="4">
        <v>6</v>
      </c>
      <c r="Q877" s="28">
        <f t="shared" si="174"/>
        <v>0</v>
      </c>
      <c r="R877" s="50">
        <f t="shared" si="175"/>
        <v>0</v>
      </c>
      <c r="S877" s="2" t="str">
        <f t="shared" si="176"/>
        <v>Normal</v>
      </c>
      <c r="T877" s="4">
        <v>2</v>
      </c>
      <c r="U877" s="4" t="str">
        <f t="shared" si="177"/>
        <v>Ja - 20% Reduzierung</v>
      </c>
      <c r="V877" s="4">
        <f t="shared" si="178"/>
        <v>20</v>
      </c>
      <c r="W877" s="19">
        <f t="shared" si="179"/>
        <v>1.59</v>
      </c>
      <c r="X877" s="5">
        <v>42</v>
      </c>
      <c r="Y877" s="28">
        <f t="shared" si="180"/>
        <v>16.72</v>
      </c>
      <c r="Z877" s="31" t="s">
        <v>173</v>
      </c>
      <c r="AA877" t="str">
        <f t="shared" si="181"/>
        <v>Kassenfehler (Überbestand)</v>
      </c>
    </row>
    <row r="878" spans="1:27" x14ac:dyDescent="0.35">
      <c r="A878" s="32" t="s">
        <v>18</v>
      </c>
      <c r="B878" s="2" t="str">
        <f>VLOOKUP(A878,Stammdaten!$A$3:$B$7,2,FALSE)</f>
        <v>Filiale Zentrum</v>
      </c>
      <c r="C878" s="3" t="str" cm="1">
        <f t="array" ref="C878">INDEX(Stammdaten!$A$11:$A$25,INT((ROW()-5)/12)+1 - INT((ROW()-5)/180)*15)</f>
        <v>A013</v>
      </c>
      <c r="D878" s="2" t="str">
        <f>VLOOKUP(C878,Stammdaten!$A$11:$B$25,2,FALSE)</f>
        <v>Skyr 450g</v>
      </c>
      <c r="E878" s="3" t="str">
        <f>VLOOKUP(C878,Stammdaten!$A$11:$C$25,3,FALSE)</f>
        <v>Joghurt</v>
      </c>
      <c r="F878" s="19">
        <f>VLOOKUP(C878,Stammdaten!$A$11:$D$25,4,FALSE)</f>
        <v>1.99</v>
      </c>
      <c r="G878" s="4">
        <f t="shared" si="169"/>
        <v>10</v>
      </c>
      <c r="H878" s="20" t="str">
        <f>VLOOKUP(G878,Stammdaten!$A$30:$B$41,2,FALSE)</f>
        <v>Oktober</v>
      </c>
      <c r="I878" s="4">
        <v>322</v>
      </c>
      <c r="J878" s="4">
        <v>328</v>
      </c>
      <c r="K878" s="4">
        <f t="shared" si="170"/>
        <v>6</v>
      </c>
      <c r="L878" s="27">
        <f t="shared" si="171"/>
        <v>1.8633540372670807</v>
      </c>
      <c r="M878" s="52" t="str">
        <f t="shared" si="172"/>
        <v>Überbestand</v>
      </c>
      <c r="N878" s="28">
        <f t="shared" si="173"/>
        <v>11.94</v>
      </c>
      <c r="O878" s="5">
        <v>17</v>
      </c>
      <c r="P878" s="4">
        <v>4</v>
      </c>
      <c r="Q878" s="28">
        <f t="shared" si="174"/>
        <v>0</v>
      </c>
      <c r="R878" s="50">
        <f t="shared" si="175"/>
        <v>0</v>
      </c>
      <c r="S878" s="2" t="str">
        <f t="shared" si="176"/>
        <v>Normal</v>
      </c>
      <c r="T878" s="4">
        <v>6</v>
      </c>
      <c r="U878" s="4" t="str">
        <f t="shared" si="177"/>
        <v>Nein</v>
      </c>
      <c r="V878" s="4">
        <f t="shared" si="178"/>
        <v>0</v>
      </c>
      <c r="W878" s="19">
        <f t="shared" si="179"/>
        <v>1.99</v>
      </c>
      <c r="X878" s="5">
        <v>0</v>
      </c>
      <c r="Y878" s="28">
        <f t="shared" si="180"/>
        <v>0</v>
      </c>
      <c r="Z878" s="31" t="s">
        <v>172</v>
      </c>
      <c r="AA878" t="str">
        <f t="shared" si="181"/>
        <v>Kassenfehler (Überbestand)</v>
      </c>
    </row>
    <row r="879" spans="1:27" x14ac:dyDescent="0.35">
      <c r="A879" s="32" t="s">
        <v>18</v>
      </c>
      <c r="B879" s="2" t="str">
        <f>VLOOKUP(A879,Stammdaten!$A$3:$B$7,2,FALSE)</f>
        <v>Filiale Zentrum</v>
      </c>
      <c r="C879" s="3" t="str" cm="1">
        <f t="array" ref="C879">INDEX(Stammdaten!$A$11:$A$25,INT((ROW()-5)/12)+1 - INT((ROW()-5)/180)*15)</f>
        <v>A013</v>
      </c>
      <c r="D879" s="2" t="str">
        <f>VLOOKUP(C879,Stammdaten!$A$11:$B$25,2,FALSE)</f>
        <v>Skyr 450g</v>
      </c>
      <c r="E879" s="3" t="str">
        <f>VLOOKUP(C879,Stammdaten!$A$11:$C$25,3,FALSE)</f>
        <v>Joghurt</v>
      </c>
      <c r="F879" s="19">
        <f>VLOOKUP(C879,Stammdaten!$A$11:$D$25,4,FALSE)</f>
        <v>1.99</v>
      </c>
      <c r="G879" s="4">
        <f t="shared" si="169"/>
        <v>11</v>
      </c>
      <c r="H879" s="20" t="str">
        <f>VLOOKUP(G879,Stammdaten!$A$30:$B$41,2,FALSE)</f>
        <v>November</v>
      </c>
      <c r="I879" s="4">
        <v>347</v>
      </c>
      <c r="J879" s="4">
        <v>338</v>
      </c>
      <c r="K879" s="4">
        <f t="shared" si="170"/>
        <v>-9</v>
      </c>
      <c r="L879" s="27">
        <f t="shared" si="171"/>
        <v>-2.5936599423631126</v>
      </c>
      <c r="M879" s="52" t="str">
        <f t="shared" si="172"/>
        <v>Schwund</v>
      </c>
      <c r="N879" s="28">
        <f t="shared" si="173"/>
        <v>17.91</v>
      </c>
      <c r="O879" s="5">
        <v>8</v>
      </c>
      <c r="P879" s="4">
        <v>4</v>
      </c>
      <c r="Q879" s="28">
        <f t="shared" si="174"/>
        <v>4.4775</v>
      </c>
      <c r="R879" s="50">
        <f t="shared" si="175"/>
        <v>5.3730000000000002</v>
      </c>
      <c r="S879" s="2" t="str">
        <f t="shared" si="176"/>
        <v>Black Friday</v>
      </c>
      <c r="T879" s="4">
        <v>0</v>
      </c>
      <c r="U879" s="4" t="str">
        <f t="shared" si="177"/>
        <v>Nein</v>
      </c>
      <c r="V879" s="4">
        <f t="shared" si="178"/>
        <v>0</v>
      </c>
      <c r="W879" s="19">
        <f t="shared" si="179"/>
        <v>1.99</v>
      </c>
      <c r="X879" s="5">
        <v>0</v>
      </c>
      <c r="Y879" s="28">
        <f t="shared" si="180"/>
        <v>0</v>
      </c>
      <c r="Z879" s="31" t="s">
        <v>172</v>
      </c>
      <c r="AA879" t="str">
        <f t="shared" si="181"/>
        <v>Prozessfehler</v>
      </c>
    </row>
    <row r="880" spans="1:27" x14ac:dyDescent="0.35">
      <c r="A880" s="32" t="s">
        <v>18</v>
      </c>
      <c r="B880" s="2" t="str">
        <f>VLOOKUP(A880,Stammdaten!$A$3:$B$7,2,FALSE)</f>
        <v>Filiale Zentrum</v>
      </c>
      <c r="C880" s="3" t="str" cm="1">
        <f t="array" ref="C880">INDEX(Stammdaten!$A$11:$A$25,INT((ROW()-5)/12)+1 - INT((ROW()-5)/180)*15)</f>
        <v>A013</v>
      </c>
      <c r="D880" s="2" t="str">
        <f>VLOOKUP(C880,Stammdaten!$A$11:$B$25,2,FALSE)</f>
        <v>Skyr 450g</v>
      </c>
      <c r="E880" s="3" t="str">
        <f>VLOOKUP(C880,Stammdaten!$A$11:$C$25,3,FALSE)</f>
        <v>Joghurt</v>
      </c>
      <c r="F880" s="19">
        <f>VLOOKUP(C880,Stammdaten!$A$11:$D$25,4,FALSE)</f>
        <v>1.99</v>
      </c>
      <c r="G880" s="4">
        <f t="shared" si="169"/>
        <v>12</v>
      </c>
      <c r="H880" s="20" t="str">
        <f>VLOOKUP(G880,Stammdaten!$A$30:$B$41,2,FALSE)</f>
        <v>Dezember</v>
      </c>
      <c r="I880" s="4">
        <v>478</v>
      </c>
      <c r="J880" s="4">
        <v>456</v>
      </c>
      <c r="K880" s="4">
        <f t="shared" si="170"/>
        <v>-22</v>
      </c>
      <c r="L880" s="27">
        <f t="shared" si="171"/>
        <v>-4.6025104602510458</v>
      </c>
      <c r="M880" s="52" t="str">
        <f t="shared" si="172"/>
        <v>Schwund</v>
      </c>
      <c r="N880" s="28">
        <f t="shared" si="173"/>
        <v>43.78</v>
      </c>
      <c r="O880" s="5">
        <v>9</v>
      </c>
      <c r="P880" s="4">
        <v>6</v>
      </c>
      <c r="Q880" s="28">
        <f t="shared" si="174"/>
        <v>10.945</v>
      </c>
      <c r="R880" s="50">
        <f t="shared" si="175"/>
        <v>13.134</v>
      </c>
      <c r="S880" s="2" t="str">
        <f t="shared" si="176"/>
        <v>Weihnachten/Silvester</v>
      </c>
      <c r="T880" s="4">
        <v>0</v>
      </c>
      <c r="U880" s="4" t="str">
        <f t="shared" si="177"/>
        <v>Nein</v>
      </c>
      <c r="V880" s="4">
        <f t="shared" si="178"/>
        <v>0</v>
      </c>
      <c r="W880" s="19">
        <f t="shared" si="179"/>
        <v>1.99</v>
      </c>
      <c r="X880" s="5">
        <v>0</v>
      </c>
      <c r="Y880" s="28">
        <f t="shared" si="180"/>
        <v>0</v>
      </c>
      <c r="Z880" s="31" t="s">
        <v>172</v>
      </c>
      <c r="AA880" t="str">
        <f t="shared" si="181"/>
        <v>Diebstahlrisiko</v>
      </c>
    </row>
    <row r="881" spans="1:27" x14ac:dyDescent="0.35">
      <c r="A881" s="32" t="s">
        <v>18</v>
      </c>
      <c r="B881" s="2" t="str">
        <f>VLOOKUP(A881,Stammdaten!$A$3:$B$7,2,FALSE)</f>
        <v>Filiale Zentrum</v>
      </c>
      <c r="C881" s="3" t="str" cm="1">
        <f t="array" ref="C881">INDEX(Stammdaten!$A$11:$A$25,INT((ROW()-5)/12)+1 - INT((ROW()-5)/180)*15)</f>
        <v>A014</v>
      </c>
      <c r="D881" s="2" t="str">
        <f>VLOOKUP(C881,Stammdaten!$A$11:$B$25,2,FALSE)</f>
        <v>Kefir 500ml</v>
      </c>
      <c r="E881" s="3" t="str">
        <f>VLOOKUP(C881,Stammdaten!$A$11:$C$25,3,FALSE)</f>
        <v>Milch</v>
      </c>
      <c r="F881" s="19">
        <f>VLOOKUP(C881,Stammdaten!$A$11:$D$25,4,FALSE)</f>
        <v>1.39</v>
      </c>
      <c r="G881" s="4">
        <f t="shared" si="169"/>
        <v>1</v>
      </c>
      <c r="H881" s="20" t="str">
        <f>VLOOKUP(G881,Stammdaten!$A$30:$B$41,2,FALSE)</f>
        <v>Januar</v>
      </c>
      <c r="I881" s="4">
        <v>170</v>
      </c>
      <c r="J881" s="4">
        <v>166</v>
      </c>
      <c r="K881" s="4">
        <f t="shared" si="170"/>
        <v>-4</v>
      </c>
      <c r="L881" s="27">
        <f t="shared" si="171"/>
        <v>-2.3529411764705883</v>
      </c>
      <c r="M881" s="52" t="str">
        <f t="shared" si="172"/>
        <v>Schwund</v>
      </c>
      <c r="N881" s="28">
        <f t="shared" si="173"/>
        <v>5.56</v>
      </c>
      <c r="O881" s="5">
        <v>0</v>
      </c>
      <c r="P881" s="4">
        <v>1</v>
      </c>
      <c r="Q881" s="28">
        <f t="shared" si="174"/>
        <v>1.39</v>
      </c>
      <c r="R881" s="50">
        <f t="shared" si="175"/>
        <v>1.6679999999999999</v>
      </c>
      <c r="S881" s="2" t="str">
        <f t="shared" si="176"/>
        <v>Normal</v>
      </c>
      <c r="T881" s="4">
        <v>0</v>
      </c>
      <c r="U881" s="4" t="str">
        <f t="shared" si="177"/>
        <v>Abschreibung</v>
      </c>
      <c r="V881" s="4">
        <f t="shared" si="178"/>
        <v>100</v>
      </c>
      <c r="W881" s="19">
        <f t="shared" si="179"/>
        <v>0</v>
      </c>
      <c r="X881" s="5">
        <v>5</v>
      </c>
      <c r="Y881" s="28">
        <f t="shared" si="180"/>
        <v>6.95</v>
      </c>
      <c r="Z881" s="31" t="s">
        <v>173</v>
      </c>
      <c r="AA881" t="str">
        <f t="shared" si="181"/>
        <v>Verderb - Abgelaufen</v>
      </c>
    </row>
    <row r="882" spans="1:27" x14ac:dyDescent="0.35">
      <c r="A882" s="32" t="s">
        <v>18</v>
      </c>
      <c r="B882" s="2" t="str">
        <f>VLOOKUP(A882,Stammdaten!$A$3:$B$7,2,FALSE)</f>
        <v>Filiale Zentrum</v>
      </c>
      <c r="C882" s="3" t="str" cm="1">
        <f t="array" ref="C882">INDEX(Stammdaten!$A$11:$A$25,INT((ROW()-5)/12)+1 - INT((ROW()-5)/180)*15)</f>
        <v>A014</v>
      </c>
      <c r="D882" s="2" t="str">
        <f>VLOOKUP(C882,Stammdaten!$A$11:$B$25,2,FALSE)</f>
        <v>Kefir 500ml</v>
      </c>
      <c r="E882" s="3" t="str">
        <f>VLOOKUP(C882,Stammdaten!$A$11:$C$25,3,FALSE)</f>
        <v>Milch</v>
      </c>
      <c r="F882" s="19">
        <f>VLOOKUP(C882,Stammdaten!$A$11:$D$25,4,FALSE)</f>
        <v>1.39</v>
      </c>
      <c r="G882" s="4">
        <f t="shared" si="169"/>
        <v>2</v>
      </c>
      <c r="H882" s="20" t="str">
        <f>VLOOKUP(G882,Stammdaten!$A$30:$B$41,2,FALSE)</f>
        <v>Februar</v>
      </c>
      <c r="I882" s="4">
        <v>167</v>
      </c>
      <c r="J882" s="4">
        <v>163</v>
      </c>
      <c r="K882" s="4">
        <f t="shared" si="170"/>
        <v>-4</v>
      </c>
      <c r="L882" s="27">
        <f t="shared" si="171"/>
        <v>-2.3952095808383236</v>
      </c>
      <c r="M882" s="52" t="str">
        <f t="shared" si="172"/>
        <v>Schwund</v>
      </c>
      <c r="N882" s="28">
        <f t="shared" si="173"/>
        <v>5.56</v>
      </c>
      <c r="O882" s="5">
        <v>3</v>
      </c>
      <c r="P882" s="4">
        <v>1</v>
      </c>
      <c r="Q882" s="28">
        <f t="shared" si="174"/>
        <v>1.39</v>
      </c>
      <c r="R882" s="50">
        <f t="shared" si="175"/>
        <v>1.6679999999999999</v>
      </c>
      <c r="S882" s="2" t="str">
        <f t="shared" si="176"/>
        <v>Karneval</v>
      </c>
      <c r="T882" s="4">
        <v>0</v>
      </c>
      <c r="U882" s="4" t="str">
        <f t="shared" si="177"/>
        <v>Ja - 20% Reduzierung</v>
      </c>
      <c r="V882" s="4">
        <f t="shared" si="178"/>
        <v>20</v>
      </c>
      <c r="W882" s="19">
        <f t="shared" si="179"/>
        <v>1.1100000000000001</v>
      </c>
      <c r="X882" s="5">
        <v>20</v>
      </c>
      <c r="Y882" s="28">
        <f t="shared" si="180"/>
        <v>5.56</v>
      </c>
      <c r="Z882" s="31" t="s">
        <v>173</v>
      </c>
      <c r="AA882" t="str">
        <f t="shared" si="181"/>
        <v>Buchungsfehler Wareneingang</v>
      </c>
    </row>
    <row r="883" spans="1:27" x14ac:dyDescent="0.35">
      <c r="A883" s="32" t="s">
        <v>18</v>
      </c>
      <c r="B883" s="2" t="str">
        <f>VLOOKUP(A883,Stammdaten!$A$3:$B$7,2,FALSE)</f>
        <v>Filiale Zentrum</v>
      </c>
      <c r="C883" s="3" t="str" cm="1">
        <f t="array" ref="C883">INDEX(Stammdaten!$A$11:$A$25,INT((ROW()-5)/12)+1 - INT((ROW()-5)/180)*15)</f>
        <v>A014</v>
      </c>
      <c r="D883" s="2" t="str">
        <f>VLOOKUP(C883,Stammdaten!$A$11:$B$25,2,FALSE)</f>
        <v>Kefir 500ml</v>
      </c>
      <c r="E883" s="3" t="str">
        <f>VLOOKUP(C883,Stammdaten!$A$11:$C$25,3,FALSE)</f>
        <v>Milch</v>
      </c>
      <c r="F883" s="19">
        <f>VLOOKUP(C883,Stammdaten!$A$11:$D$25,4,FALSE)</f>
        <v>1.39</v>
      </c>
      <c r="G883" s="4">
        <f t="shared" si="169"/>
        <v>3</v>
      </c>
      <c r="H883" s="20" t="str">
        <f>VLOOKUP(G883,Stammdaten!$A$30:$B$41,2,FALSE)</f>
        <v>März</v>
      </c>
      <c r="I883" s="4">
        <v>211</v>
      </c>
      <c r="J883" s="4">
        <v>205</v>
      </c>
      <c r="K883" s="4">
        <f t="shared" si="170"/>
        <v>-6</v>
      </c>
      <c r="L883" s="27">
        <f t="shared" si="171"/>
        <v>-2.8436018957345972</v>
      </c>
      <c r="M883" s="52" t="str">
        <f t="shared" si="172"/>
        <v>Schwund</v>
      </c>
      <c r="N883" s="28">
        <f t="shared" si="173"/>
        <v>8.34</v>
      </c>
      <c r="O883" s="5">
        <v>0</v>
      </c>
      <c r="P883" s="4">
        <v>0</v>
      </c>
      <c r="Q883" s="28">
        <f t="shared" si="174"/>
        <v>2.085</v>
      </c>
      <c r="R883" s="50">
        <f t="shared" si="175"/>
        <v>2.5019999999999998</v>
      </c>
      <c r="S883" s="2" t="str">
        <f t="shared" si="176"/>
        <v>Normal</v>
      </c>
      <c r="T883" s="4">
        <v>0</v>
      </c>
      <c r="U883" s="4" t="str">
        <f t="shared" si="177"/>
        <v>Abschreibung</v>
      </c>
      <c r="V883" s="4">
        <f t="shared" si="178"/>
        <v>100</v>
      </c>
      <c r="W883" s="19">
        <f t="shared" si="179"/>
        <v>0</v>
      </c>
      <c r="X883" s="5">
        <v>4</v>
      </c>
      <c r="Y883" s="28">
        <f t="shared" si="180"/>
        <v>5.56</v>
      </c>
      <c r="Z883" s="31" t="s">
        <v>173</v>
      </c>
      <c r="AA883" t="str">
        <f t="shared" si="181"/>
        <v>Verderb - Abgelaufen</v>
      </c>
    </row>
    <row r="884" spans="1:27" x14ac:dyDescent="0.35">
      <c r="A884" s="32" t="s">
        <v>18</v>
      </c>
      <c r="B884" s="2" t="str">
        <f>VLOOKUP(A884,Stammdaten!$A$3:$B$7,2,FALSE)</f>
        <v>Filiale Zentrum</v>
      </c>
      <c r="C884" s="3" t="str" cm="1">
        <f t="array" ref="C884">INDEX(Stammdaten!$A$11:$A$25,INT((ROW()-5)/12)+1 - INT((ROW()-5)/180)*15)</f>
        <v>A014</v>
      </c>
      <c r="D884" s="2" t="str">
        <f>VLOOKUP(C884,Stammdaten!$A$11:$B$25,2,FALSE)</f>
        <v>Kefir 500ml</v>
      </c>
      <c r="E884" s="3" t="str">
        <f>VLOOKUP(C884,Stammdaten!$A$11:$C$25,3,FALSE)</f>
        <v>Milch</v>
      </c>
      <c r="F884" s="19">
        <f>VLOOKUP(C884,Stammdaten!$A$11:$D$25,4,FALSE)</f>
        <v>1.39</v>
      </c>
      <c r="G884" s="4">
        <f t="shared" si="169"/>
        <v>4</v>
      </c>
      <c r="H884" s="20" t="str">
        <f>VLOOKUP(G884,Stammdaten!$A$30:$B$41,2,FALSE)</f>
        <v>April</v>
      </c>
      <c r="I884" s="4">
        <v>234</v>
      </c>
      <c r="J884" s="4">
        <v>223</v>
      </c>
      <c r="K884" s="4">
        <f t="shared" si="170"/>
        <v>-11</v>
      </c>
      <c r="L884" s="27">
        <f t="shared" si="171"/>
        <v>-4.700854700854701</v>
      </c>
      <c r="M884" s="52" t="str">
        <f t="shared" si="172"/>
        <v>Schwund</v>
      </c>
      <c r="N884" s="28">
        <f t="shared" si="173"/>
        <v>15.29</v>
      </c>
      <c r="O884" s="5">
        <v>5</v>
      </c>
      <c r="P884" s="4">
        <v>0</v>
      </c>
      <c r="Q884" s="28">
        <f t="shared" si="174"/>
        <v>3.8224999999999998</v>
      </c>
      <c r="R884" s="50">
        <f t="shared" si="175"/>
        <v>4.5869999999999997</v>
      </c>
      <c r="S884" s="2" t="str">
        <f t="shared" si="176"/>
        <v>Ostern</v>
      </c>
      <c r="T884" s="4">
        <v>0</v>
      </c>
      <c r="U884" s="4" t="str">
        <f t="shared" si="177"/>
        <v>Nein</v>
      </c>
      <c r="V884" s="4">
        <f t="shared" si="178"/>
        <v>0</v>
      </c>
      <c r="W884" s="19">
        <f t="shared" si="179"/>
        <v>1.39</v>
      </c>
      <c r="X884" s="5">
        <v>0</v>
      </c>
      <c r="Y884" s="28">
        <f t="shared" si="180"/>
        <v>0</v>
      </c>
      <c r="Z884" s="31" t="s">
        <v>172</v>
      </c>
      <c r="AA884" t="str">
        <f t="shared" si="181"/>
        <v>Diebstahlrisiko</v>
      </c>
    </row>
    <row r="885" spans="1:27" x14ac:dyDescent="0.35">
      <c r="A885" s="32" t="s">
        <v>18</v>
      </c>
      <c r="B885" s="2" t="str">
        <f>VLOOKUP(A885,Stammdaten!$A$3:$B$7,2,FALSE)</f>
        <v>Filiale Zentrum</v>
      </c>
      <c r="C885" s="3" t="str" cm="1">
        <f t="array" ref="C885">INDEX(Stammdaten!$A$11:$A$25,INT((ROW()-5)/12)+1 - INT((ROW()-5)/180)*15)</f>
        <v>A014</v>
      </c>
      <c r="D885" s="2" t="str">
        <f>VLOOKUP(C885,Stammdaten!$A$11:$B$25,2,FALSE)</f>
        <v>Kefir 500ml</v>
      </c>
      <c r="E885" s="3" t="str">
        <f>VLOOKUP(C885,Stammdaten!$A$11:$C$25,3,FALSE)</f>
        <v>Milch</v>
      </c>
      <c r="F885" s="19">
        <f>VLOOKUP(C885,Stammdaten!$A$11:$D$25,4,FALSE)</f>
        <v>1.39</v>
      </c>
      <c r="G885" s="4">
        <f t="shared" si="169"/>
        <v>5</v>
      </c>
      <c r="H885" s="20" t="str">
        <f>VLOOKUP(G885,Stammdaten!$A$30:$B$41,2,FALSE)</f>
        <v>Mai</v>
      </c>
      <c r="I885" s="4">
        <v>205</v>
      </c>
      <c r="J885" s="4">
        <v>196</v>
      </c>
      <c r="K885" s="4">
        <f t="shared" si="170"/>
        <v>-9</v>
      </c>
      <c r="L885" s="27">
        <f t="shared" si="171"/>
        <v>-4.3902439024390238</v>
      </c>
      <c r="M885" s="52" t="str">
        <f t="shared" si="172"/>
        <v>Schwund</v>
      </c>
      <c r="N885" s="28">
        <f t="shared" si="173"/>
        <v>12.51</v>
      </c>
      <c r="O885" s="5">
        <v>10</v>
      </c>
      <c r="P885" s="4">
        <v>4</v>
      </c>
      <c r="Q885" s="28">
        <f t="shared" si="174"/>
        <v>3.1274999999999999</v>
      </c>
      <c r="R885" s="50">
        <f t="shared" si="175"/>
        <v>3.7529999999999997</v>
      </c>
      <c r="S885" s="2" t="str">
        <f t="shared" si="176"/>
        <v>Normal</v>
      </c>
      <c r="T885" s="4">
        <v>0</v>
      </c>
      <c r="U885" s="4" t="str">
        <f t="shared" si="177"/>
        <v>Nein</v>
      </c>
      <c r="V885" s="4">
        <f t="shared" si="178"/>
        <v>0</v>
      </c>
      <c r="W885" s="19">
        <f t="shared" si="179"/>
        <v>1.39</v>
      </c>
      <c r="X885" s="5">
        <v>0</v>
      </c>
      <c r="Y885" s="28">
        <f t="shared" si="180"/>
        <v>0</v>
      </c>
      <c r="Z885" s="31" t="s">
        <v>172</v>
      </c>
      <c r="AA885" t="str">
        <f t="shared" si="181"/>
        <v>Diebstahlrisiko</v>
      </c>
    </row>
    <row r="886" spans="1:27" x14ac:dyDescent="0.35">
      <c r="A886" s="32" t="s">
        <v>18</v>
      </c>
      <c r="B886" s="2" t="str">
        <f>VLOOKUP(A886,Stammdaten!$A$3:$B$7,2,FALSE)</f>
        <v>Filiale Zentrum</v>
      </c>
      <c r="C886" s="3" t="str" cm="1">
        <f t="array" ref="C886">INDEX(Stammdaten!$A$11:$A$25,INT((ROW()-5)/12)+1 - INT((ROW()-5)/180)*15)</f>
        <v>A014</v>
      </c>
      <c r="D886" s="2" t="str">
        <f>VLOOKUP(C886,Stammdaten!$A$11:$B$25,2,FALSE)</f>
        <v>Kefir 500ml</v>
      </c>
      <c r="E886" s="3" t="str">
        <f>VLOOKUP(C886,Stammdaten!$A$11:$C$25,3,FALSE)</f>
        <v>Milch</v>
      </c>
      <c r="F886" s="19">
        <f>VLOOKUP(C886,Stammdaten!$A$11:$D$25,4,FALSE)</f>
        <v>1.39</v>
      </c>
      <c r="G886" s="4">
        <f t="shared" si="169"/>
        <v>6</v>
      </c>
      <c r="H886" s="20" t="str">
        <f>VLOOKUP(G886,Stammdaten!$A$30:$B$41,2,FALSE)</f>
        <v>Juni</v>
      </c>
      <c r="I886" s="4">
        <v>204</v>
      </c>
      <c r="J886" s="4">
        <v>199</v>
      </c>
      <c r="K886" s="4">
        <f t="shared" si="170"/>
        <v>-5</v>
      </c>
      <c r="L886" s="27">
        <f t="shared" si="171"/>
        <v>-2.4509803921568629</v>
      </c>
      <c r="M886" s="52" t="str">
        <f t="shared" si="172"/>
        <v>Schwund</v>
      </c>
      <c r="N886" s="28">
        <f t="shared" si="173"/>
        <v>6.9499999999999993</v>
      </c>
      <c r="O886" s="5">
        <v>1</v>
      </c>
      <c r="P886" s="4">
        <v>2</v>
      </c>
      <c r="Q886" s="28">
        <f t="shared" si="174"/>
        <v>1.7374999999999998</v>
      </c>
      <c r="R886" s="50">
        <f t="shared" si="175"/>
        <v>2.0849999999999995</v>
      </c>
      <c r="S886" s="2" t="str">
        <f t="shared" si="176"/>
        <v>Normal</v>
      </c>
      <c r="T886" s="4">
        <v>0</v>
      </c>
      <c r="U886" s="4" t="str">
        <f t="shared" si="177"/>
        <v>Ja - 20% Reduzierung</v>
      </c>
      <c r="V886" s="4">
        <f t="shared" si="178"/>
        <v>20</v>
      </c>
      <c r="W886" s="19">
        <f t="shared" si="179"/>
        <v>1.1100000000000001</v>
      </c>
      <c r="X886" s="5">
        <v>24</v>
      </c>
      <c r="Y886" s="28">
        <f t="shared" si="180"/>
        <v>6.67</v>
      </c>
      <c r="Z886" s="31" t="s">
        <v>164</v>
      </c>
      <c r="AA886" t="str">
        <f t="shared" si="181"/>
        <v>MHD - Prozessfehler</v>
      </c>
    </row>
    <row r="887" spans="1:27" x14ac:dyDescent="0.35">
      <c r="A887" s="32" t="s">
        <v>18</v>
      </c>
      <c r="B887" s="2" t="str">
        <f>VLOOKUP(A887,Stammdaten!$A$3:$B$7,2,FALSE)</f>
        <v>Filiale Zentrum</v>
      </c>
      <c r="C887" s="3" t="str" cm="1">
        <f t="array" ref="C887">INDEX(Stammdaten!$A$11:$A$25,INT((ROW()-5)/12)+1 - INT((ROW()-5)/180)*15)</f>
        <v>A014</v>
      </c>
      <c r="D887" s="2" t="str">
        <f>VLOOKUP(C887,Stammdaten!$A$11:$B$25,2,FALSE)</f>
        <v>Kefir 500ml</v>
      </c>
      <c r="E887" s="3" t="str">
        <f>VLOOKUP(C887,Stammdaten!$A$11:$C$25,3,FALSE)</f>
        <v>Milch</v>
      </c>
      <c r="F887" s="19">
        <f>VLOOKUP(C887,Stammdaten!$A$11:$D$25,4,FALSE)</f>
        <v>1.39</v>
      </c>
      <c r="G887" s="4">
        <f t="shared" si="169"/>
        <v>7</v>
      </c>
      <c r="H887" s="20" t="str">
        <f>VLOOKUP(G887,Stammdaten!$A$30:$B$41,2,FALSE)</f>
        <v>Juli</v>
      </c>
      <c r="I887" s="4">
        <v>225</v>
      </c>
      <c r="J887" s="4">
        <v>227</v>
      </c>
      <c r="K887" s="4">
        <f t="shared" si="170"/>
        <v>2</v>
      </c>
      <c r="L887" s="27">
        <f t="shared" si="171"/>
        <v>0.88888888888888884</v>
      </c>
      <c r="M887" s="52" t="str">
        <f t="shared" si="172"/>
        <v>Überbestand</v>
      </c>
      <c r="N887" s="28">
        <f t="shared" si="173"/>
        <v>2.78</v>
      </c>
      <c r="O887" s="5">
        <v>0</v>
      </c>
      <c r="P887" s="4">
        <v>3</v>
      </c>
      <c r="Q887" s="28">
        <f t="shared" si="174"/>
        <v>0</v>
      </c>
      <c r="R887" s="50">
        <f t="shared" si="175"/>
        <v>0</v>
      </c>
      <c r="S887" s="2" t="str">
        <f t="shared" si="176"/>
        <v>Normal</v>
      </c>
      <c r="T887" s="4">
        <v>2</v>
      </c>
      <c r="U887" s="4" t="str">
        <f t="shared" si="177"/>
        <v>Abschreibung</v>
      </c>
      <c r="V887" s="4">
        <f t="shared" si="178"/>
        <v>100</v>
      </c>
      <c r="W887" s="19">
        <f t="shared" si="179"/>
        <v>0</v>
      </c>
      <c r="X887" s="5">
        <v>7</v>
      </c>
      <c r="Y887" s="28">
        <f t="shared" si="180"/>
        <v>9.73</v>
      </c>
      <c r="Z887" s="31" t="s">
        <v>173</v>
      </c>
      <c r="AA887" t="str">
        <f t="shared" si="181"/>
        <v>Verderb - Abgelaufen</v>
      </c>
    </row>
    <row r="888" spans="1:27" x14ac:dyDescent="0.35">
      <c r="A888" s="32" t="s">
        <v>18</v>
      </c>
      <c r="B888" s="2" t="str">
        <f>VLOOKUP(A888,Stammdaten!$A$3:$B$7,2,FALSE)</f>
        <v>Filiale Zentrum</v>
      </c>
      <c r="C888" s="3" t="str" cm="1">
        <f t="array" ref="C888">INDEX(Stammdaten!$A$11:$A$25,INT((ROW()-5)/12)+1 - INT((ROW()-5)/180)*15)</f>
        <v>A014</v>
      </c>
      <c r="D888" s="2" t="str">
        <f>VLOOKUP(C888,Stammdaten!$A$11:$B$25,2,FALSE)</f>
        <v>Kefir 500ml</v>
      </c>
      <c r="E888" s="3" t="str">
        <f>VLOOKUP(C888,Stammdaten!$A$11:$C$25,3,FALSE)</f>
        <v>Milch</v>
      </c>
      <c r="F888" s="19">
        <f>VLOOKUP(C888,Stammdaten!$A$11:$D$25,4,FALSE)</f>
        <v>1.39</v>
      </c>
      <c r="G888" s="4">
        <f t="shared" si="169"/>
        <v>8</v>
      </c>
      <c r="H888" s="20" t="str">
        <f>VLOOKUP(G888,Stammdaten!$A$30:$B$41,2,FALSE)</f>
        <v>August</v>
      </c>
      <c r="I888" s="4">
        <v>220</v>
      </c>
      <c r="J888" s="4">
        <v>220</v>
      </c>
      <c r="K888" s="4">
        <f t="shared" si="170"/>
        <v>0</v>
      </c>
      <c r="L888" s="27">
        <f t="shared" si="171"/>
        <v>0</v>
      </c>
      <c r="M888" s="52" t="str">
        <f t="shared" si="172"/>
        <v>Perfekt</v>
      </c>
      <c r="N888" s="28">
        <f t="shared" si="173"/>
        <v>0</v>
      </c>
      <c r="O888" s="5">
        <v>6</v>
      </c>
      <c r="P888" s="4">
        <v>2</v>
      </c>
      <c r="Q888" s="28">
        <f t="shared" si="174"/>
        <v>0</v>
      </c>
      <c r="R888" s="50">
        <f t="shared" si="175"/>
        <v>0</v>
      </c>
      <c r="S888" s="2" t="str">
        <f t="shared" si="176"/>
        <v>Normal</v>
      </c>
      <c r="T888" s="4">
        <v>0</v>
      </c>
      <c r="U888" s="4" t="str">
        <f t="shared" si="177"/>
        <v>Nein</v>
      </c>
      <c r="V888" s="4">
        <f t="shared" si="178"/>
        <v>0</v>
      </c>
      <c r="W888" s="19">
        <f t="shared" si="179"/>
        <v>1.39</v>
      </c>
      <c r="X888" s="5">
        <v>0</v>
      </c>
      <c r="Y888" s="28">
        <f t="shared" si="180"/>
        <v>0</v>
      </c>
      <c r="Z888" s="31" t="s">
        <v>172</v>
      </c>
      <c r="AA888" t="str">
        <f t="shared" si="181"/>
        <v>Normal/Gering</v>
      </c>
    </row>
    <row r="889" spans="1:27" x14ac:dyDescent="0.35">
      <c r="A889" s="32" t="s">
        <v>18</v>
      </c>
      <c r="B889" s="2" t="str">
        <f>VLOOKUP(A889,Stammdaten!$A$3:$B$7,2,FALSE)</f>
        <v>Filiale Zentrum</v>
      </c>
      <c r="C889" s="3" t="str" cm="1">
        <f t="array" ref="C889">INDEX(Stammdaten!$A$11:$A$25,INT((ROW()-5)/12)+1 - INT((ROW()-5)/180)*15)</f>
        <v>A014</v>
      </c>
      <c r="D889" s="2" t="str">
        <f>VLOOKUP(C889,Stammdaten!$A$11:$B$25,2,FALSE)</f>
        <v>Kefir 500ml</v>
      </c>
      <c r="E889" s="3" t="str">
        <f>VLOOKUP(C889,Stammdaten!$A$11:$C$25,3,FALSE)</f>
        <v>Milch</v>
      </c>
      <c r="F889" s="19">
        <f>VLOOKUP(C889,Stammdaten!$A$11:$D$25,4,FALSE)</f>
        <v>1.39</v>
      </c>
      <c r="G889" s="4">
        <f t="shared" si="169"/>
        <v>9</v>
      </c>
      <c r="H889" s="20" t="str">
        <f>VLOOKUP(G889,Stammdaten!$A$30:$B$41,2,FALSE)</f>
        <v>September</v>
      </c>
      <c r="I889" s="4">
        <v>178</v>
      </c>
      <c r="J889" s="4">
        <v>174</v>
      </c>
      <c r="K889" s="4">
        <f t="shared" si="170"/>
        <v>-4</v>
      </c>
      <c r="L889" s="27">
        <f t="shared" si="171"/>
        <v>-2.2471910112359552</v>
      </c>
      <c r="M889" s="52" t="str">
        <f t="shared" si="172"/>
        <v>Schwund</v>
      </c>
      <c r="N889" s="28">
        <f t="shared" si="173"/>
        <v>5.56</v>
      </c>
      <c r="O889" s="5">
        <v>10</v>
      </c>
      <c r="P889" s="4">
        <v>3</v>
      </c>
      <c r="Q889" s="28">
        <f t="shared" si="174"/>
        <v>1.39</v>
      </c>
      <c r="R889" s="50">
        <f t="shared" si="175"/>
        <v>1.6679999999999999</v>
      </c>
      <c r="S889" s="2" t="str">
        <f t="shared" si="176"/>
        <v>Normal</v>
      </c>
      <c r="T889" s="4">
        <v>0</v>
      </c>
      <c r="U889" s="4" t="str">
        <f t="shared" si="177"/>
        <v>Nein</v>
      </c>
      <c r="V889" s="4">
        <f t="shared" si="178"/>
        <v>0</v>
      </c>
      <c r="W889" s="19">
        <f t="shared" si="179"/>
        <v>1.39</v>
      </c>
      <c r="X889" s="5">
        <v>0</v>
      </c>
      <c r="Y889" s="28">
        <f t="shared" si="180"/>
        <v>0</v>
      </c>
      <c r="Z889" s="31" t="s">
        <v>172</v>
      </c>
      <c r="AA889" t="str">
        <f t="shared" si="181"/>
        <v>Prozessfehler</v>
      </c>
    </row>
    <row r="890" spans="1:27" x14ac:dyDescent="0.35">
      <c r="A890" s="32" t="s">
        <v>18</v>
      </c>
      <c r="B890" s="2" t="str">
        <f>VLOOKUP(A890,Stammdaten!$A$3:$B$7,2,FALSE)</f>
        <v>Filiale Zentrum</v>
      </c>
      <c r="C890" s="3" t="str" cm="1">
        <f t="array" ref="C890">INDEX(Stammdaten!$A$11:$A$25,INT((ROW()-5)/12)+1 - INT((ROW()-5)/180)*15)</f>
        <v>A014</v>
      </c>
      <c r="D890" s="2" t="str">
        <f>VLOOKUP(C890,Stammdaten!$A$11:$B$25,2,FALSE)</f>
        <v>Kefir 500ml</v>
      </c>
      <c r="E890" s="3" t="str">
        <f>VLOOKUP(C890,Stammdaten!$A$11:$C$25,3,FALSE)</f>
        <v>Milch</v>
      </c>
      <c r="F890" s="19">
        <f>VLOOKUP(C890,Stammdaten!$A$11:$D$25,4,FALSE)</f>
        <v>1.39</v>
      </c>
      <c r="G890" s="4">
        <f t="shared" si="169"/>
        <v>10</v>
      </c>
      <c r="H890" s="20" t="str">
        <f>VLOOKUP(G890,Stammdaten!$A$30:$B$41,2,FALSE)</f>
        <v>Oktober</v>
      </c>
      <c r="I890" s="4">
        <v>201</v>
      </c>
      <c r="J890" s="4">
        <v>195</v>
      </c>
      <c r="K890" s="4">
        <f t="shared" si="170"/>
        <v>-6</v>
      </c>
      <c r="L890" s="27">
        <f t="shared" si="171"/>
        <v>-2.9850746268656714</v>
      </c>
      <c r="M890" s="52" t="str">
        <f t="shared" si="172"/>
        <v>Schwund</v>
      </c>
      <c r="N890" s="28">
        <f t="shared" si="173"/>
        <v>8.34</v>
      </c>
      <c r="O890" s="5">
        <v>10</v>
      </c>
      <c r="P890" s="4">
        <v>2</v>
      </c>
      <c r="Q890" s="28">
        <f t="shared" si="174"/>
        <v>2.085</v>
      </c>
      <c r="R890" s="50">
        <f t="shared" si="175"/>
        <v>2.5019999999999998</v>
      </c>
      <c r="S890" s="2" t="str">
        <f t="shared" si="176"/>
        <v>Normal</v>
      </c>
      <c r="T890" s="4">
        <v>0</v>
      </c>
      <c r="U890" s="4" t="str">
        <f t="shared" si="177"/>
        <v>Nein</v>
      </c>
      <c r="V890" s="4">
        <f t="shared" si="178"/>
        <v>0</v>
      </c>
      <c r="W890" s="19">
        <f t="shared" si="179"/>
        <v>1.39</v>
      </c>
      <c r="X890" s="5">
        <v>0</v>
      </c>
      <c r="Y890" s="28">
        <f t="shared" si="180"/>
        <v>0</v>
      </c>
      <c r="Z890" s="31" t="s">
        <v>172</v>
      </c>
      <c r="AA890" t="str">
        <f t="shared" si="181"/>
        <v>Prozessfehler</v>
      </c>
    </row>
    <row r="891" spans="1:27" x14ac:dyDescent="0.35">
      <c r="A891" s="32" t="s">
        <v>18</v>
      </c>
      <c r="B891" s="2" t="str">
        <f>VLOOKUP(A891,Stammdaten!$A$3:$B$7,2,FALSE)</f>
        <v>Filiale Zentrum</v>
      </c>
      <c r="C891" s="3" t="str" cm="1">
        <f t="array" ref="C891">INDEX(Stammdaten!$A$11:$A$25,INT((ROW()-5)/12)+1 - INT((ROW()-5)/180)*15)</f>
        <v>A014</v>
      </c>
      <c r="D891" s="2" t="str">
        <f>VLOOKUP(C891,Stammdaten!$A$11:$B$25,2,FALSE)</f>
        <v>Kefir 500ml</v>
      </c>
      <c r="E891" s="3" t="str">
        <f>VLOOKUP(C891,Stammdaten!$A$11:$C$25,3,FALSE)</f>
        <v>Milch</v>
      </c>
      <c r="F891" s="19">
        <f>VLOOKUP(C891,Stammdaten!$A$11:$D$25,4,FALSE)</f>
        <v>1.39</v>
      </c>
      <c r="G891" s="4">
        <f t="shared" si="169"/>
        <v>11</v>
      </c>
      <c r="H891" s="20" t="str">
        <f>VLOOKUP(G891,Stammdaten!$A$30:$B$41,2,FALSE)</f>
        <v>November</v>
      </c>
      <c r="I891" s="4">
        <v>212</v>
      </c>
      <c r="J891" s="4">
        <v>212</v>
      </c>
      <c r="K891" s="4">
        <f t="shared" si="170"/>
        <v>0</v>
      </c>
      <c r="L891" s="27">
        <f t="shared" si="171"/>
        <v>0</v>
      </c>
      <c r="M891" s="52" t="str">
        <f t="shared" si="172"/>
        <v>Perfekt</v>
      </c>
      <c r="N891" s="28">
        <f t="shared" si="173"/>
        <v>0</v>
      </c>
      <c r="O891" s="5">
        <v>10</v>
      </c>
      <c r="P891" s="4">
        <v>4</v>
      </c>
      <c r="Q891" s="28">
        <f t="shared" si="174"/>
        <v>0</v>
      </c>
      <c r="R891" s="50">
        <f t="shared" si="175"/>
        <v>0</v>
      </c>
      <c r="S891" s="2" t="str">
        <f t="shared" si="176"/>
        <v>Black Friday</v>
      </c>
      <c r="T891" s="4">
        <v>0</v>
      </c>
      <c r="U891" s="4" t="str">
        <f t="shared" si="177"/>
        <v>Nein</v>
      </c>
      <c r="V891" s="4">
        <f t="shared" si="178"/>
        <v>0</v>
      </c>
      <c r="W891" s="19">
        <f t="shared" si="179"/>
        <v>1.39</v>
      </c>
      <c r="X891" s="5">
        <v>0</v>
      </c>
      <c r="Y891" s="28">
        <f t="shared" si="180"/>
        <v>0</v>
      </c>
      <c r="Z891" s="31" t="s">
        <v>172</v>
      </c>
      <c r="AA891" t="str">
        <f t="shared" si="181"/>
        <v>Normal/Gering</v>
      </c>
    </row>
    <row r="892" spans="1:27" x14ac:dyDescent="0.35">
      <c r="A892" s="32" t="s">
        <v>18</v>
      </c>
      <c r="B892" s="2" t="str">
        <f>VLOOKUP(A892,Stammdaten!$A$3:$B$7,2,FALSE)</f>
        <v>Filiale Zentrum</v>
      </c>
      <c r="C892" s="3" t="str" cm="1">
        <f t="array" ref="C892">INDEX(Stammdaten!$A$11:$A$25,INT((ROW()-5)/12)+1 - INT((ROW()-5)/180)*15)</f>
        <v>A014</v>
      </c>
      <c r="D892" s="2" t="str">
        <f>VLOOKUP(C892,Stammdaten!$A$11:$B$25,2,FALSE)</f>
        <v>Kefir 500ml</v>
      </c>
      <c r="E892" s="3" t="str">
        <f>VLOOKUP(C892,Stammdaten!$A$11:$C$25,3,FALSE)</f>
        <v>Milch</v>
      </c>
      <c r="F892" s="19">
        <f>VLOOKUP(C892,Stammdaten!$A$11:$D$25,4,FALSE)</f>
        <v>1.39</v>
      </c>
      <c r="G892" s="4">
        <f t="shared" si="169"/>
        <v>12</v>
      </c>
      <c r="H892" s="20" t="str">
        <f>VLOOKUP(G892,Stammdaten!$A$30:$B$41,2,FALSE)</f>
        <v>Dezember</v>
      </c>
      <c r="I892" s="4">
        <v>284</v>
      </c>
      <c r="J892" s="4">
        <v>273</v>
      </c>
      <c r="K892" s="4">
        <f t="shared" si="170"/>
        <v>-11</v>
      </c>
      <c r="L892" s="27">
        <f t="shared" si="171"/>
        <v>-3.873239436619718</v>
      </c>
      <c r="M892" s="52" t="str">
        <f t="shared" si="172"/>
        <v>Schwund</v>
      </c>
      <c r="N892" s="28">
        <f t="shared" si="173"/>
        <v>15.29</v>
      </c>
      <c r="O892" s="5">
        <v>8</v>
      </c>
      <c r="P892" s="4">
        <v>0</v>
      </c>
      <c r="Q892" s="28">
        <f t="shared" si="174"/>
        <v>3.8224999999999998</v>
      </c>
      <c r="R892" s="50">
        <f t="shared" si="175"/>
        <v>4.5869999999999997</v>
      </c>
      <c r="S892" s="2" t="str">
        <f t="shared" si="176"/>
        <v>Weihnachten/Silvester</v>
      </c>
      <c r="T892" s="4">
        <v>0</v>
      </c>
      <c r="U892" s="4" t="str">
        <f t="shared" si="177"/>
        <v>Nein</v>
      </c>
      <c r="V892" s="4">
        <f t="shared" si="178"/>
        <v>0</v>
      </c>
      <c r="W892" s="19">
        <f t="shared" si="179"/>
        <v>1.39</v>
      </c>
      <c r="X892" s="5">
        <v>0</v>
      </c>
      <c r="Y892" s="28">
        <f t="shared" si="180"/>
        <v>0</v>
      </c>
      <c r="Z892" s="31" t="s">
        <v>172</v>
      </c>
      <c r="AA892" t="str">
        <f t="shared" si="181"/>
        <v>Diebstahlrisiko</v>
      </c>
    </row>
    <row r="893" spans="1:27" x14ac:dyDescent="0.35">
      <c r="A893" s="32" t="s">
        <v>18</v>
      </c>
      <c r="B893" s="2" t="str">
        <f>VLOOKUP(A893,Stammdaten!$A$3:$B$7,2,FALSE)</f>
        <v>Filiale Zentrum</v>
      </c>
      <c r="C893" s="3" t="str" cm="1">
        <f t="array" ref="C893">INDEX(Stammdaten!$A$11:$A$25,INT((ROW()-5)/12)+1 - INT((ROW()-5)/180)*15)</f>
        <v>A015</v>
      </c>
      <c r="D893" s="2" t="str">
        <f>VLOOKUP(C893,Stammdaten!$A$11:$B$25,2,FALSE)</f>
        <v>Frischkäse 200g</v>
      </c>
      <c r="E893" s="3" t="str">
        <f>VLOOKUP(C893,Stammdaten!$A$11:$C$25,3,FALSE)</f>
        <v>Käse</v>
      </c>
      <c r="F893" s="19">
        <f>VLOOKUP(C893,Stammdaten!$A$11:$D$25,4,FALSE)</f>
        <v>1.49</v>
      </c>
      <c r="G893" s="4">
        <f t="shared" si="169"/>
        <v>1</v>
      </c>
      <c r="H893" s="20" t="str">
        <f>VLOOKUP(G893,Stammdaten!$A$30:$B$41,2,FALSE)</f>
        <v>Januar</v>
      </c>
      <c r="I893" s="4">
        <v>241</v>
      </c>
      <c r="J893" s="4">
        <v>236</v>
      </c>
      <c r="K893" s="4">
        <f t="shared" si="170"/>
        <v>-5</v>
      </c>
      <c r="L893" s="27">
        <f t="shared" si="171"/>
        <v>-2.0746887966804977</v>
      </c>
      <c r="M893" s="52" t="str">
        <f t="shared" si="172"/>
        <v>Schwund</v>
      </c>
      <c r="N893" s="28">
        <f t="shared" si="173"/>
        <v>7.45</v>
      </c>
      <c r="O893" s="5">
        <v>7</v>
      </c>
      <c r="P893" s="4">
        <v>6</v>
      </c>
      <c r="Q893" s="28">
        <f t="shared" si="174"/>
        <v>1.8625</v>
      </c>
      <c r="R893" s="50">
        <f t="shared" si="175"/>
        <v>2.2349999999999999</v>
      </c>
      <c r="S893" s="2" t="str">
        <f t="shared" si="176"/>
        <v>Normal</v>
      </c>
      <c r="T893" s="4">
        <v>0</v>
      </c>
      <c r="U893" s="4" t="str">
        <f t="shared" si="177"/>
        <v>Nein</v>
      </c>
      <c r="V893" s="4">
        <f t="shared" si="178"/>
        <v>0</v>
      </c>
      <c r="W893" s="19">
        <f t="shared" si="179"/>
        <v>1.49</v>
      </c>
      <c r="X893" s="5">
        <v>0</v>
      </c>
      <c r="Y893" s="28">
        <f t="shared" si="180"/>
        <v>0</v>
      </c>
      <c r="Z893" s="31" t="s">
        <v>172</v>
      </c>
      <c r="AA893" t="str">
        <f t="shared" si="181"/>
        <v>Prozessfehler</v>
      </c>
    </row>
    <row r="894" spans="1:27" x14ac:dyDescent="0.35">
      <c r="A894" s="32" t="s">
        <v>18</v>
      </c>
      <c r="B894" s="2" t="str">
        <f>VLOOKUP(A894,Stammdaten!$A$3:$B$7,2,FALSE)</f>
        <v>Filiale Zentrum</v>
      </c>
      <c r="C894" s="3" t="str" cm="1">
        <f t="array" ref="C894">INDEX(Stammdaten!$A$11:$A$25,INT((ROW()-5)/12)+1 - INT((ROW()-5)/180)*15)</f>
        <v>A015</v>
      </c>
      <c r="D894" s="2" t="str">
        <f>VLOOKUP(C894,Stammdaten!$A$11:$B$25,2,FALSE)</f>
        <v>Frischkäse 200g</v>
      </c>
      <c r="E894" s="3" t="str">
        <f>VLOOKUP(C894,Stammdaten!$A$11:$C$25,3,FALSE)</f>
        <v>Käse</v>
      </c>
      <c r="F894" s="19">
        <f>VLOOKUP(C894,Stammdaten!$A$11:$D$25,4,FALSE)</f>
        <v>1.49</v>
      </c>
      <c r="G894" s="4">
        <f t="shared" si="169"/>
        <v>2</v>
      </c>
      <c r="H894" s="20" t="str">
        <f>VLOOKUP(G894,Stammdaten!$A$30:$B$41,2,FALSE)</f>
        <v>Februar</v>
      </c>
      <c r="I894" s="4">
        <v>219</v>
      </c>
      <c r="J894" s="4">
        <v>216</v>
      </c>
      <c r="K894" s="4">
        <f t="shared" si="170"/>
        <v>-3</v>
      </c>
      <c r="L894" s="27">
        <f t="shared" si="171"/>
        <v>-1.3698630136986301</v>
      </c>
      <c r="M894" s="52" t="str">
        <f t="shared" si="172"/>
        <v>Schwund</v>
      </c>
      <c r="N894" s="28">
        <f t="shared" si="173"/>
        <v>4.47</v>
      </c>
      <c r="O894" s="5">
        <v>2</v>
      </c>
      <c r="P894" s="4">
        <v>5</v>
      </c>
      <c r="Q894" s="28">
        <f t="shared" si="174"/>
        <v>1.1174999999999999</v>
      </c>
      <c r="R894" s="50">
        <f t="shared" si="175"/>
        <v>1.341</v>
      </c>
      <c r="S894" s="2" t="str">
        <f t="shared" si="176"/>
        <v>Karneval</v>
      </c>
      <c r="T894" s="4">
        <v>0</v>
      </c>
      <c r="U894" s="4" t="str">
        <f t="shared" si="177"/>
        <v>Ja - 20% Reduzierung</v>
      </c>
      <c r="V894" s="4">
        <f t="shared" si="178"/>
        <v>20</v>
      </c>
      <c r="W894" s="19">
        <f t="shared" si="179"/>
        <v>1.19</v>
      </c>
      <c r="X894" s="5">
        <v>26</v>
      </c>
      <c r="Y894" s="28">
        <f t="shared" si="180"/>
        <v>7.75</v>
      </c>
      <c r="Z894" s="31" t="s">
        <v>173</v>
      </c>
      <c r="AA894" t="str">
        <f t="shared" si="181"/>
        <v>Normal/Gering</v>
      </c>
    </row>
    <row r="895" spans="1:27" x14ac:dyDescent="0.35">
      <c r="A895" s="32" t="s">
        <v>18</v>
      </c>
      <c r="B895" s="2" t="str">
        <f>VLOOKUP(A895,Stammdaten!$A$3:$B$7,2,FALSE)</f>
        <v>Filiale Zentrum</v>
      </c>
      <c r="C895" s="3" t="str" cm="1">
        <f t="array" ref="C895">INDEX(Stammdaten!$A$11:$A$25,INT((ROW()-5)/12)+1 - INT((ROW()-5)/180)*15)</f>
        <v>A015</v>
      </c>
      <c r="D895" s="2" t="str">
        <f>VLOOKUP(C895,Stammdaten!$A$11:$B$25,2,FALSE)</f>
        <v>Frischkäse 200g</v>
      </c>
      <c r="E895" s="3" t="str">
        <f>VLOOKUP(C895,Stammdaten!$A$11:$C$25,3,FALSE)</f>
        <v>Käse</v>
      </c>
      <c r="F895" s="19">
        <f>VLOOKUP(C895,Stammdaten!$A$11:$D$25,4,FALSE)</f>
        <v>1.49</v>
      </c>
      <c r="G895" s="4">
        <f t="shared" si="169"/>
        <v>3</v>
      </c>
      <c r="H895" s="20" t="str">
        <f>VLOOKUP(G895,Stammdaten!$A$30:$B$41,2,FALSE)</f>
        <v>März</v>
      </c>
      <c r="I895" s="4">
        <v>278</v>
      </c>
      <c r="J895" s="4">
        <v>271</v>
      </c>
      <c r="K895" s="4">
        <f t="shared" si="170"/>
        <v>-7</v>
      </c>
      <c r="L895" s="27">
        <f t="shared" si="171"/>
        <v>-2.5179856115107913</v>
      </c>
      <c r="M895" s="52" t="str">
        <f t="shared" si="172"/>
        <v>Schwund</v>
      </c>
      <c r="N895" s="28">
        <f t="shared" si="173"/>
        <v>10.43</v>
      </c>
      <c r="O895" s="5">
        <v>21</v>
      </c>
      <c r="P895" s="4">
        <v>1</v>
      </c>
      <c r="Q895" s="28">
        <f t="shared" si="174"/>
        <v>2.6074999999999999</v>
      </c>
      <c r="R895" s="50">
        <f t="shared" si="175"/>
        <v>3.129</v>
      </c>
      <c r="S895" s="2" t="str">
        <f t="shared" si="176"/>
        <v>Normal</v>
      </c>
      <c r="T895" s="4">
        <v>0</v>
      </c>
      <c r="U895" s="4" t="str">
        <f t="shared" si="177"/>
        <v>Nein</v>
      </c>
      <c r="V895" s="4">
        <f t="shared" si="178"/>
        <v>0</v>
      </c>
      <c r="W895" s="19">
        <f t="shared" si="179"/>
        <v>1.49</v>
      </c>
      <c r="X895" s="5">
        <v>0</v>
      </c>
      <c r="Y895" s="28">
        <f t="shared" si="180"/>
        <v>0</v>
      </c>
      <c r="Z895" s="31" t="s">
        <v>172</v>
      </c>
      <c r="AA895" t="str">
        <f t="shared" si="181"/>
        <v>Buchungsfehler Wareneingang</v>
      </c>
    </row>
    <row r="896" spans="1:27" x14ac:dyDescent="0.35">
      <c r="A896" s="32" t="s">
        <v>18</v>
      </c>
      <c r="B896" s="2" t="str">
        <f>VLOOKUP(A896,Stammdaten!$A$3:$B$7,2,FALSE)</f>
        <v>Filiale Zentrum</v>
      </c>
      <c r="C896" s="3" t="str" cm="1">
        <f t="array" ref="C896">INDEX(Stammdaten!$A$11:$A$25,INT((ROW()-5)/12)+1 - INT((ROW()-5)/180)*15)</f>
        <v>A015</v>
      </c>
      <c r="D896" s="2" t="str">
        <f>VLOOKUP(C896,Stammdaten!$A$11:$B$25,2,FALSE)</f>
        <v>Frischkäse 200g</v>
      </c>
      <c r="E896" s="3" t="str">
        <f>VLOOKUP(C896,Stammdaten!$A$11:$C$25,3,FALSE)</f>
        <v>Käse</v>
      </c>
      <c r="F896" s="19">
        <f>VLOOKUP(C896,Stammdaten!$A$11:$D$25,4,FALSE)</f>
        <v>1.49</v>
      </c>
      <c r="G896" s="4">
        <f t="shared" si="169"/>
        <v>4</v>
      </c>
      <c r="H896" s="20" t="str">
        <f>VLOOKUP(G896,Stammdaten!$A$30:$B$41,2,FALSE)</f>
        <v>April</v>
      </c>
      <c r="I896" s="4">
        <v>325</v>
      </c>
      <c r="J896" s="4">
        <v>318</v>
      </c>
      <c r="K896" s="4">
        <f t="shared" si="170"/>
        <v>-7</v>
      </c>
      <c r="L896" s="27">
        <f t="shared" si="171"/>
        <v>-2.1538461538461537</v>
      </c>
      <c r="M896" s="52" t="str">
        <f t="shared" si="172"/>
        <v>Schwund</v>
      </c>
      <c r="N896" s="28">
        <f t="shared" si="173"/>
        <v>10.43</v>
      </c>
      <c r="O896" s="5">
        <v>5</v>
      </c>
      <c r="P896" s="4">
        <v>2</v>
      </c>
      <c r="Q896" s="28">
        <f t="shared" si="174"/>
        <v>2.6074999999999999</v>
      </c>
      <c r="R896" s="50">
        <f t="shared" si="175"/>
        <v>3.129</v>
      </c>
      <c r="S896" s="2" t="str">
        <f t="shared" si="176"/>
        <v>Ostern</v>
      </c>
      <c r="T896" s="4">
        <v>0</v>
      </c>
      <c r="U896" s="4" t="str">
        <f t="shared" si="177"/>
        <v>Nein</v>
      </c>
      <c r="V896" s="4">
        <f t="shared" si="178"/>
        <v>0</v>
      </c>
      <c r="W896" s="19">
        <f t="shared" si="179"/>
        <v>1.49</v>
      </c>
      <c r="X896" s="5">
        <v>0</v>
      </c>
      <c r="Y896" s="28">
        <f t="shared" si="180"/>
        <v>0</v>
      </c>
      <c r="Z896" s="31" t="s">
        <v>172</v>
      </c>
      <c r="AA896" t="str">
        <f t="shared" si="181"/>
        <v>Prozessfehler</v>
      </c>
    </row>
    <row r="897" spans="1:27" x14ac:dyDescent="0.35">
      <c r="A897" s="32" t="s">
        <v>18</v>
      </c>
      <c r="B897" s="2" t="str">
        <f>VLOOKUP(A897,Stammdaten!$A$3:$B$7,2,FALSE)</f>
        <v>Filiale Zentrum</v>
      </c>
      <c r="C897" s="3" t="str" cm="1">
        <f t="array" ref="C897">INDEX(Stammdaten!$A$11:$A$25,INT((ROW()-5)/12)+1 - INT((ROW()-5)/180)*15)</f>
        <v>A015</v>
      </c>
      <c r="D897" s="2" t="str">
        <f>VLOOKUP(C897,Stammdaten!$A$11:$B$25,2,FALSE)</f>
        <v>Frischkäse 200g</v>
      </c>
      <c r="E897" s="3" t="str">
        <f>VLOOKUP(C897,Stammdaten!$A$11:$C$25,3,FALSE)</f>
        <v>Käse</v>
      </c>
      <c r="F897" s="19">
        <f>VLOOKUP(C897,Stammdaten!$A$11:$D$25,4,FALSE)</f>
        <v>1.49</v>
      </c>
      <c r="G897" s="4">
        <f t="shared" si="169"/>
        <v>5</v>
      </c>
      <c r="H897" s="20" t="str">
        <f>VLOOKUP(G897,Stammdaten!$A$30:$B$41,2,FALSE)</f>
        <v>Mai</v>
      </c>
      <c r="I897" s="4">
        <v>247</v>
      </c>
      <c r="J897" s="4">
        <v>240</v>
      </c>
      <c r="K897" s="4">
        <f t="shared" si="170"/>
        <v>-7</v>
      </c>
      <c r="L897" s="27">
        <f t="shared" si="171"/>
        <v>-2.834008097165992</v>
      </c>
      <c r="M897" s="52" t="str">
        <f t="shared" si="172"/>
        <v>Schwund</v>
      </c>
      <c r="N897" s="28">
        <f t="shared" si="173"/>
        <v>10.43</v>
      </c>
      <c r="O897" s="5">
        <v>12</v>
      </c>
      <c r="P897" s="4">
        <v>6</v>
      </c>
      <c r="Q897" s="28">
        <f t="shared" si="174"/>
        <v>2.6074999999999999</v>
      </c>
      <c r="R897" s="50">
        <f t="shared" si="175"/>
        <v>3.129</v>
      </c>
      <c r="S897" s="2" t="str">
        <f t="shared" si="176"/>
        <v>Normal</v>
      </c>
      <c r="T897" s="4">
        <v>0</v>
      </c>
      <c r="U897" s="4" t="str">
        <f t="shared" si="177"/>
        <v>Nein</v>
      </c>
      <c r="V897" s="4">
        <f t="shared" si="178"/>
        <v>0</v>
      </c>
      <c r="W897" s="19">
        <f t="shared" si="179"/>
        <v>1.49</v>
      </c>
      <c r="X897" s="5">
        <v>0</v>
      </c>
      <c r="Y897" s="28">
        <f t="shared" si="180"/>
        <v>0</v>
      </c>
      <c r="Z897" s="31" t="s">
        <v>172</v>
      </c>
      <c r="AA897" t="str">
        <f t="shared" si="181"/>
        <v>Prozessfehler</v>
      </c>
    </row>
    <row r="898" spans="1:27" x14ac:dyDescent="0.35">
      <c r="A898" s="32" t="s">
        <v>18</v>
      </c>
      <c r="B898" s="2" t="str">
        <f>VLOOKUP(A898,Stammdaten!$A$3:$B$7,2,FALSE)</f>
        <v>Filiale Zentrum</v>
      </c>
      <c r="C898" s="3" t="str" cm="1">
        <f t="array" ref="C898">INDEX(Stammdaten!$A$11:$A$25,INT((ROW()-5)/12)+1 - INT((ROW()-5)/180)*15)</f>
        <v>A015</v>
      </c>
      <c r="D898" s="2" t="str">
        <f>VLOOKUP(C898,Stammdaten!$A$11:$B$25,2,FALSE)</f>
        <v>Frischkäse 200g</v>
      </c>
      <c r="E898" s="3" t="str">
        <f>VLOOKUP(C898,Stammdaten!$A$11:$C$25,3,FALSE)</f>
        <v>Käse</v>
      </c>
      <c r="F898" s="19">
        <f>VLOOKUP(C898,Stammdaten!$A$11:$D$25,4,FALSE)</f>
        <v>1.49</v>
      </c>
      <c r="G898" s="4">
        <f t="shared" si="169"/>
        <v>6</v>
      </c>
      <c r="H898" s="20" t="str">
        <f>VLOOKUP(G898,Stammdaten!$A$30:$B$41,2,FALSE)</f>
        <v>Juni</v>
      </c>
      <c r="I898" s="4">
        <v>289</v>
      </c>
      <c r="J898" s="4">
        <v>280</v>
      </c>
      <c r="K898" s="4">
        <f t="shared" si="170"/>
        <v>-9</v>
      </c>
      <c r="L898" s="27">
        <f t="shared" si="171"/>
        <v>-3.1141868512110724</v>
      </c>
      <c r="M898" s="52" t="str">
        <f t="shared" si="172"/>
        <v>Schwund</v>
      </c>
      <c r="N898" s="28">
        <f t="shared" si="173"/>
        <v>13.41</v>
      </c>
      <c r="O898" s="5">
        <v>3</v>
      </c>
      <c r="P898" s="4">
        <v>1</v>
      </c>
      <c r="Q898" s="28">
        <f t="shared" si="174"/>
        <v>3.3525</v>
      </c>
      <c r="R898" s="50">
        <f t="shared" si="175"/>
        <v>4.0229999999999997</v>
      </c>
      <c r="S898" s="2" t="str">
        <f t="shared" si="176"/>
        <v>Normal</v>
      </c>
      <c r="T898" s="4">
        <v>0</v>
      </c>
      <c r="U898" s="4" t="str">
        <f t="shared" si="177"/>
        <v>Ja - 20% Reduzierung</v>
      </c>
      <c r="V898" s="4">
        <f t="shared" si="178"/>
        <v>20</v>
      </c>
      <c r="W898" s="19">
        <f t="shared" si="179"/>
        <v>1.19</v>
      </c>
      <c r="X898" s="5">
        <v>26</v>
      </c>
      <c r="Y898" s="28">
        <f t="shared" si="180"/>
        <v>7.75</v>
      </c>
      <c r="Z898" s="31" t="s">
        <v>167</v>
      </c>
      <c r="AA898" t="str">
        <f t="shared" si="181"/>
        <v>MHD - Prozessfehler</v>
      </c>
    </row>
    <row r="899" spans="1:27" x14ac:dyDescent="0.35">
      <c r="A899" s="32" t="s">
        <v>18</v>
      </c>
      <c r="B899" s="2" t="str">
        <f>VLOOKUP(A899,Stammdaten!$A$3:$B$7,2,FALSE)</f>
        <v>Filiale Zentrum</v>
      </c>
      <c r="C899" s="3" t="str" cm="1">
        <f t="array" ref="C899">INDEX(Stammdaten!$A$11:$A$25,INT((ROW()-5)/12)+1 - INT((ROW()-5)/180)*15)</f>
        <v>A015</v>
      </c>
      <c r="D899" s="2" t="str">
        <f>VLOOKUP(C899,Stammdaten!$A$11:$B$25,2,FALSE)</f>
        <v>Frischkäse 200g</v>
      </c>
      <c r="E899" s="3" t="str">
        <f>VLOOKUP(C899,Stammdaten!$A$11:$C$25,3,FALSE)</f>
        <v>Käse</v>
      </c>
      <c r="F899" s="19">
        <f>VLOOKUP(C899,Stammdaten!$A$11:$D$25,4,FALSE)</f>
        <v>1.49</v>
      </c>
      <c r="G899" s="4">
        <f t="shared" si="169"/>
        <v>7</v>
      </c>
      <c r="H899" s="20" t="str">
        <f>VLOOKUP(G899,Stammdaten!$A$30:$B$41,2,FALSE)</f>
        <v>Juli</v>
      </c>
      <c r="I899" s="4">
        <v>309</v>
      </c>
      <c r="J899" s="4">
        <v>300</v>
      </c>
      <c r="K899" s="4">
        <f t="shared" si="170"/>
        <v>-9</v>
      </c>
      <c r="L899" s="27">
        <f t="shared" si="171"/>
        <v>-2.912621359223301</v>
      </c>
      <c r="M899" s="52" t="str">
        <f t="shared" si="172"/>
        <v>Schwund</v>
      </c>
      <c r="N899" s="28">
        <f t="shared" si="173"/>
        <v>13.41</v>
      </c>
      <c r="O899" s="5">
        <v>9</v>
      </c>
      <c r="P899" s="4">
        <v>7</v>
      </c>
      <c r="Q899" s="28">
        <f t="shared" si="174"/>
        <v>3.3525</v>
      </c>
      <c r="R899" s="50">
        <f t="shared" si="175"/>
        <v>4.0229999999999997</v>
      </c>
      <c r="S899" s="2" t="str">
        <f t="shared" si="176"/>
        <v>Normal</v>
      </c>
      <c r="T899" s="4">
        <v>0</v>
      </c>
      <c r="U899" s="4" t="str">
        <f t="shared" si="177"/>
        <v>Nein</v>
      </c>
      <c r="V899" s="4">
        <f t="shared" si="178"/>
        <v>0</v>
      </c>
      <c r="W899" s="19">
        <f t="shared" si="179"/>
        <v>1.49</v>
      </c>
      <c r="X899" s="5">
        <v>0</v>
      </c>
      <c r="Y899" s="28">
        <f t="shared" si="180"/>
        <v>0</v>
      </c>
      <c r="Z899" s="31" t="s">
        <v>172</v>
      </c>
      <c r="AA899" t="str">
        <f t="shared" si="181"/>
        <v>Prozessfehler</v>
      </c>
    </row>
    <row r="900" spans="1:27" x14ac:dyDescent="0.35">
      <c r="A900" s="32" t="s">
        <v>18</v>
      </c>
      <c r="B900" s="2" t="str">
        <f>VLOOKUP(A900,Stammdaten!$A$3:$B$7,2,FALSE)</f>
        <v>Filiale Zentrum</v>
      </c>
      <c r="C900" s="3" t="str" cm="1">
        <f t="array" ref="C900">INDEX(Stammdaten!$A$11:$A$25,INT((ROW()-5)/12)+1 - INT((ROW()-5)/180)*15)</f>
        <v>A015</v>
      </c>
      <c r="D900" s="2" t="str">
        <f>VLOOKUP(C900,Stammdaten!$A$11:$B$25,2,FALSE)</f>
        <v>Frischkäse 200g</v>
      </c>
      <c r="E900" s="3" t="str">
        <f>VLOOKUP(C900,Stammdaten!$A$11:$C$25,3,FALSE)</f>
        <v>Käse</v>
      </c>
      <c r="F900" s="19">
        <f>VLOOKUP(C900,Stammdaten!$A$11:$D$25,4,FALSE)</f>
        <v>1.49</v>
      </c>
      <c r="G900" s="4">
        <f t="shared" si="169"/>
        <v>8</v>
      </c>
      <c r="H900" s="20" t="str">
        <f>VLOOKUP(G900,Stammdaten!$A$30:$B$41,2,FALSE)</f>
        <v>August</v>
      </c>
      <c r="I900" s="4">
        <v>302</v>
      </c>
      <c r="J900" s="4">
        <v>293</v>
      </c>
      <c r="K900" s="4">
        <f t="shared" si="170"/>
        <v>-9</v>
      </c>
      <c r="L900" s="27">
        <f t="shared" si="171"/>
        <v>-2.9801324503311259</v>
      </c>
      <c r="M900" s="52" t="str">
        <f t="shared" si="172"/>
        <v>Schwund</v>
      </c>
      <c r="N900" s="28">
        <f t="shared" si="173"/>
        <v>13.41</v>
      </c>
      <c r="O900" s="5">
        <v>2</v>
      </c>
      <c r="P900" s="4">
        <v>3</v>
      </c>
      <c r="Q900" s="28">
        <f t="shared" si="174"/>
        <v>3.3525</v>
      </c>
      <c r="R900" s="50">
        <f t="shared" si="175"/>
        <v>4.0229999999999997</v>
      </c>
      <c r="S900" s="2" t="str">
        <f t="shared" si="176"/>
        <v>Normal</v>
      </c>
      <c r="T900" s="4">
        <v>0</v>
      </c>
      <c r="U900" s="4" t="str">
        <f t="shared" si="177"/>
        <v>Ja - 20% Reduzierung</v>
      </c>
      <c r="V900" s="4">
        <f t="shared" si="178"/>
        <v>20</v>
      </c>
      <c r="W900" s="19">
        <f t="shared" si="179"/>
        <v>1.19</v>
      </c>
      <c r="X900" s="5">
        <v>42</v>
      </c>
      <c r="Y900" s="28">
        <f t="shared" si="180"/>
        <v>12.52</v>
      </c>
      <c r="Z900" s="31" t="s">
        <v>173</v>
      </c>
      <c r="AA900" t="str">
        <f t="shared" si="181"/>
        <v>Prozessfehler</v>
      </c>
    </row>
    <row r="901" spans="1:27" x14ac:dyDescent="0.35">
      <c r="A901" s="32" t="s">
        <v>18</v>
      </c>
      <c r="B901" s="2" t="str">
        <f>VLOOKUP(A901,Stammdaten!$A$3:$B$7,2,FALSE)</f>
        <v>Filiale Zentrum</v>
      </c>
      <c r="C901" s="3" t="str" cm="1">
        <f t="array" ref="C901">INDEX(Stammdaten!$A$11:$A$25,INT((ROW()-5)/12)+1 - INT((ROW()-5)/180)*15)</f>
        <v>A015</v>
      </c>
      <c r="D901" s="2" t="str">
        <f>VLOOKUP(C901,Stammdaten!$A$11:$B$25,2,FALSE)</f>
        <v>Frischkäse 200g</v>
      </c>
      <c r="E901" s="3" t="str">
        <f>VLOOKUP(C901,Stammdaten!$A$11:$C$25,3,FALSE)</f>
        <v>Käse</v>
      </c>
      <c r="F901" s="19">
        <f>VLOOKUP(C901,Stammdaten!$A$11:$D$25,4,FALSE)</f>
        <v>1.49</v>
      </c>
      <c r="G901" s="4">
        <f t="shared" si="169"/>
        <v>9</v>
      </c>
      <c r="H901" s="20" t="str">
        <f>VLOOKUP(G901,Stammdaten!$A$30:$B$41,2,FALSE)</f>
        <v>September</v>
      </c>
      <c r="I901" s="4">
        <v>237</v>
      </c>
      <c r="J901" s="4">
        <v>237</v>
      </c>
      <c r="K901" s="4">
        <f t="shared" si="170"/>
        <v>0</v>
      </c>
      <c r="L901" s="27">
        <f t="shared" si="171"/>
        <v>0</v>
      </c>
      <c r="M901" s="52" t="str">
        <f t="shared" si="172"/>
        <v>Perfekt</v>
      </c>
      <c r="N901" s="28">
        <f t="shared" si="173"/>
        <v>0</v>
      </c>
      <c r="O901" s="5">
        <v>13</v>
      </c>
      <c r="P901" s="4">
        <v>1</v>
      </c>
      <c r="Q901" s="28">
        <f t="shared" si="174"/>
        <v>0</v>
      </c>
      <c r="R901" s="50">
        <f t="shared" si="175"/>
        <v>0</v>
      </c>
      <c r="S901" s="2" t="str">
        <f t="shared" si="176"/>
        <v>Normal</v>
      </c>
      <c r="T901" s="4">
        <v>0</v>
      </c>
      <c r="U901" s="4" t="str">
        <f t="shared" si="177"/>
        <v>Nein</v>
      </c>
      <c r="V901" s="4">
        <f t="shared" si="178"/>
        <v>0</v>
      </c>
      <c r="W901" s="19">
        <f t="shared" si="179"/>
        <v>1.49</v>
      </c>
      <c r="X901" s="5">
        <v>0</v>
      </c>
      <c r="Y901" s="28">
        <f t="shared" si="180"/>
        <v>0</v>
      </c>
      <c r="Z901" s="31" t="s">
        <v>172</v>
      </c>
      <c r="AA901" t="str">
        <f t="shared" si="181"/>
        <v>Normal/Gering</v>
      </c>
    </row>
    <row r="902" spans="1:27" x14ac:dyDescent="0.35">
      <c r="A902" s="32" t="s">
        <v>18</v>
      </c>
      <c r="B902" s="2" t="str">
        <f>VLOOKUP(A902,Stammdaten!$A$3:$B$7,2,FALSE)</f>
        <v>Filiale Zentrum</v>
      </c>
      <c r="C902" s="3" t="str" cm="1">
        <f t="array" ref="C902">INDEX(Stammdaten!$A$11:$A$25,INT((ROW()-5)/12)+1 - INT((ROW()-5)/180)*15)</f>
        <v>A015</v>
      </c>
      <c r="D902" s="2" t="str">
        <f>VLOOKUP(C902,Stammdaten!$A$11:$B$25,2,FALSE)</f>
        <v>Frischkäse 200g</v>
      </c>
      <c r="E902" s="3" t="str">
        <f>VLOOKUP(C902,Stammdaten!$A$11:$C$25,3,FALSE)</f>
        <v>Käse</v>
      </c>
      <c r="F902" s="19">
        <f>VLOOKUP(C902,Stammdaten!$A$11:$D$25,4,FALSE)</f>
        <v>1.49</v>
      </c>
      <c r="G902" s="4">
        <f t="shared" ref="G902:G904" si="182">MOD(ROW()-5,12)+1</f>
        <v>10</v>
      </c>
      <c r="H902" s="20" t="str">
        <f>VLOOKUP(G902,Stammdaten!$A$30:$B$41,2,FALSE)</f>
        <v>Oktober</v>
      </c>
      <c r="I902" s="4">
        <v>263</v>
      </c>
      <c r="J902" s="4">
        <v>264</v>
      </c>
      <c r="K902" s="4">
        <f t="shared" ref="K902:K904" si="183">J902-I902</f>
        <v>1</v>
      </c>
      <c r="L902" s="27">
        <f t="shared" ref="L902:L904" si="184">IF(I902=0,0,(K902)/I902*100)</f>
        <v>0.38022813688212925</v>
      </c>
      <c r="M902" s="52" t="str">
        <f t="shared" ref="M902:M904" si="185">IF(K902=0,"Perfekt",IF(K902&lt;0,"Schwund","Überbestand"))</f>
        <v>Überbestand</v>
      </c>
      <c r="N902" s="28">
        <f t="shared" ref="N902:N904" si="186">ABS(K902)*F902</f>
        <v>1.49</v>
      </c>
      <c r="O902" s="5">
        <v>15</v>
      </c>
      <c r="P902" s="4">
        <v>3</v>
      </c>
      <c r="Q902" s="28">
        <f t="shared" ref="Q902:Q904" si="187">IF(K902&lt;0,ABS(N902)*0.25,0)</f>
        <v>0</v>
      </c>
      <c r="R902" s="50">
        <f t="shared" ref="R902:R904" si="188">IF(K902&lt;0,ABS(N902)*0.3,0)</f>
        <v>0</v>
      </c>
      <c r="S902" s="2" t="str">
        <f t="shared" ref="S902:S904" si="189">IF(G902=4,"Ostern",IF(G902=12,"Weihnachten/Silvester",IF(G902=11,"Black Friday",IF(G902=2,"Karneval","Normal"))))</f>
        <v>Normal</v>
      </c>
      <c r="T902" s="4">
        <v>1</v>
      </c>
      <c r="U902" s="4" t="str">
        <f t="shared" ref="U902:U904" si="190">IF(O902&lt;=0,"Abschreibung",IF(O902&lt;=3,"Ja - 20% Reduzierung","Nein"))</f>
        <v>Nein</v>
      </c>
      <c r="V902" s="4">
        <f t="shared" ref="V902:V904" si="191">IF(O902&lt;=0,100,IF(O902&lt;=3,20,0))</f>
        <v>0</v>
      </c>
      <c r="W902" s="19">
        <f t="shared" ref="W902:W904" si="192">IF(V902=100,0,ROUND(F902*(1-V902/100),2))</f>
        <v>1.49</v>
      </c>
      <c r="X902" s="5">
        <v>0</v>
      </c>
      <c r="Y902" s="28">
        <f t="shared" ref="Y902:Y904" si="193">ROUND(X902*F902*(V902/100),2)</f>
        <v>0</v>
      </c>
      <c r="Z902" s="31" t="s">
        <v>172</v>
      </c>
      <c r="AA902" t="str">
        <f t="shared" ref="AA902:AA904" si="194">IF(O902&lt;=0,"Verderb - Abgelaufen",IF(AND(O902&lt;=3,Z902&lt;&gt;"Korrekt",Z902&lt;&gt;"Kein MHD - Prozess"),"MHD - Prozessfehler",IF(K902&gt;0,"Kassenfehler (Überbestand)",IF(AND(ABS(L902)&gt;3,A902="F005"),"Diebstahlrisiko",IF(AND(ABS(L902)&gt;2,P902&lt;2),"Buchungsfehler Wareneingang",IF(ABS(L902)&gt;2,"Prozessfehler","Normal/Gering"))))))</f>
        <v>Kassenfehler (Überbestand)</v>
      </c>
    </row>
    <row r="903" spans="1:27" x14ac:dyDescent="0.35">
      <c r="A903" s="32" t="s">
        <v>18</v>
      </c>
      <c r="B903" s="2" t="str">
        <f>VLOOKUP(A903,Stammdaten!$A$3:$B$7,2,FALSE)</f>
        <v>Filiale Zentrum</v>
      </c>
      <c r="C903" s="3" t="str" cm="1">
        <f t="array" ref="C903">INDEX(Stammdaten!$A$11:$A$25,INT((ROW()-5)/12)+1 - INT((ROW()-5)/180)*15)</f>
        <v>A015</v>
      </c>
      <c r="D903" s="2" t="str">
        <f>VLOOKUP(C903,Stammdaten!$A$11:$B$25,2,FALSE)</f>
        <v>Frischkäse 200g</v>
      </c>
      <c r="E903" s="3" t="str">
        <f>VLOOKUP(C903,Stammdaten!$A$11:$C$25,3,FALSE)</f>
        <v>Käse</v>
      </c>
      <c r="F903" s="19">
        <f>VLOOKUP(C903,Stammdaten!$A$11:$D$25,4,FALSE)</f>
        <v>1.49</v>
      </c>
      <c r="G903" s="4">
        <f t="shared" si="182"/>
        <v>11</v>
      </c>
      <c r="H903" s="20" t="str">
        <f>VLOOKUP(G903,Stammdaten!$A$30:$B$41,2,FALSE)</f>
        <v>November</v>
      </c>
      <c r="I903" s="4">
        <v>289</v>
      </c>
      <c r="J903" s="4">
        <v>285</v>
      </c>
      <c r="K903" s="4">
        <f t="shared" si="183"/>
        <v>-4</v>
      </c>
      <c r="L903" s="27">
        <f t="shared" si="184"/>
        <v>-1.3840830449826991</v>
      </c>
      <c r="M903" s="52" t="str">
        <f t="shared" si="185"/>
        <v>Schwund</v>
      </c>
      <c r="N903" s="28">
        <f t="shared" si="186"/>
        <v>5.96</v>
      </c>
      <c r="O903" s="5">
        <v>0</v>
      </c>
      <c r="P903" s="4">
        <v>0</v>
      </c>
      <c r="Q903" s="28">
        <f t="shared" si="187"/>
        <v>1.49</v>
      </c>
      <c r="R903" s="50">
        <f t="shared" si="188"/>
        <v>1.788</v>
      </c>
      <c r="S903" s="2" t="str">
        <f t="shared" si="189"/>
        <v>Black Friday</v>
      </c>
      <c r="T903" s="4">
        <v>0</v>
      </c>
      <c r="U903" s="4" t="str">
        <f t="shared" si="190"/>
        <v>Abschreibung</v>
      </c>
      <c r="V903" s="4">
        <f t="shared" si="191"/>
        <v>100</v>
      </c>
      <c r="W903" s="19">
        <f t="shared" si="192"/>
        <v>0</v>
      </c>
      <c r="X903" s="5">
        <v>3</v>
      </c>
      <c r="Y903" s="28">
        <f t="shared" si="193"/>
        <v>4.47</v>
      </c>
      <c r="Z903" s="31" t="s">
        <v>167</v>
      </c>
      <c r="AA903" t="str">
        <f t="shared" si="194"/>
        <v>Verderb - Abgelaufen</v>
      </c>
    </row>
    <row r="904" spans="1:27" x14ac:dyDescent="0.35">
      <c r="A904" s="33" t="s">
        <v>18</v>
      </c>
      <c r="B904" s="34" t="str">
        <f>VLOOKUP(A904,Stammdaten!$A$3:$B$7,2,FALSE)</f>
        <v>Filiale Zentrum</v>
      </c>
      <c r="C904" s="35" t="str" cm="1">
        <f t="array" ref="C904">INDEX(Stammdaten!$A$11:$A$25,INT((ROW()-5)/12)+1 - INT((ROW()-5)/180)*15)</f>
        <v>A015</v>
      </c>
      <c r="D904" s="34" t="str">
        <f>VLOOKUP(C904,Stammdaten!$A$11:$B$25,2,FALSE)</f>
        <v>Frischkäse 200g</v>
      </c>
      <c r="E904" s="35" t="str">
        <f>VLOOKUP(C904,Stammdaten!$A$11:$C$25,3,FALSE)</f>
        <v>Käse</v>
      </c>
      <c r="F904" s="36">
        <f>VLOOKUP(C904,Stammdaten!$A$11:$D$25,4,FALSE)</f>
        <v>1.49</v>
      </c>
      <c r="G904" s="37">
        <f t="shared" si="182"/>
        <v>12</v>
      </c>
      <c r="H904" s="38" t="str">
        <f>VLOOKUP(G904,Stammdaten!$A$30:$B$41,2,FALSE)</f>
        <v>Dezember</v>
      </c>
      <c r="I904" s="37">
        <v>371</v>
      </c>
      <c r="J904" s="37">
        <v>373</v>
      </c>
      <c r="K904" s="37">
        <f t="shared" si="183"/>
        <v>2</v>
      </c>
      <c r="L904" s="39">
        <f t="shared" si="184"/>
        <v>0.53908355795148255</v>
      </c>
      <c r="M904" s="53" t="str">
        <f t="shared" si="185"/>
        <v>Überbestand</v>
      </c>
      <c r="N904" s="40">
        <f t="shared" si="186"/>
        <v>2.98</v>
      </c>
      <c r="O904" s="41">
        <v>9</v>
      </c>
      <c r="P904" s="37">
        <v>0</v>
      </c>
      <c r="Q904" s="40">
        <f t="shared" si="187"/>
        <v>0</v>
      </c>
      <c r="R904" s="51">
        <f t="shared" si="188"/>
        <v>0</v>
      </c>
      <c r="S904" s="34" t="str">
        <f t="shared" si="189"/>
        <v>Weihnachten/Silvester</v>
      </c>
      <c r="T904" s="37">
        <v>2</v>
      </c>
      <c r="U904" s="37" t="str">
        <f t="shared" si="190"/>
        <v>Nein</v>
      </c>
      <c r="V904" s="37">
        <f t="shared" si="191"/>
        <v>0</v>
      </c>
      <c r="W904" s="36">
        <f t="shared" si="192"/>
        <v>1.49</v>
      </c>
      <c r="X904" s="41">
        <v>0</v>
      </c>
      <c r="Y904" s="40">
        <f t="shared" si="193"/>
        <v>0</v>
      </c>
      <c r="Z904" s="42" t="s">
        <v>172</v>
      </c>
      <c r="AA904" t="str">
        <f t="shared" si="194"/>
        <v>Kassenfehler (Überbestand)</v>
      </c>
    </row>
    <row r="905" spans="1:27" x14ac:dyDescent="0.35">
      <c r="H905" t="s">
        <v>120</v>
      </c>
      <c r="I905">
        <f>MIN(I5:I904)</f>
        <v>99</v>
      </c>
      <c r="K905" s="25">
        <f>MIN(K5:K904)</f>
        <v>-63</v>
      </c>
      <c r="T905">
        <f>COUNTIF(T5:T904,"&lt;&gt;0")</f>
        <v>150</v>
      </c>
    </row>
    <row r="906" spans="1:27" x14ac:dyDescent="0.35">
      <c r="H906" t="s">
        <v>121</v>
      </c>
      <c r="I906">
        <f>MAX(I5:I904)</f>
        <v>1011</v>
      </c>
      <c r="K906" s="25">
        <f>MAX(K5:K904)</f>
        <v>8</v>
      </c>
      <c r="M906">
        <f>COUNTIF(M5:M904,"Schwund")</f>
        <v>669</v>
      </c>
    </row>
    <row r="907" spans="1:27" x14ac:dyDescent="0.35">
      <c r="H907" t="s">
        <v>122</v>
      </c>
      <c r="I907">
        <f>AVERAGE(I5:I904)</f>
        <v>343.27444444444444</v>
      </c>
      <c r="M907">
        <f>COUNTIF(M5:M904,"Überbestand")</f>
        <v>150</v>
      </c>
    </row>
    <row r="908" spans="1:27" x14ac:dyDescent="0.35">
      <c r="M908">
        <f>COUNTIF(M5:M904,"Perfekt")</f>
        <v>81</v>
      </c>
    </row>
    <row r="927" spans="1:2" ht="217.5" x14ac:dyDescent="0.35">
      <c r="A927" s="22" t="s">
        <v>117</v>
      </c>
      <c r="B927" s="22" t="s">
        <v>230</v>
      </c>
    </row>
    <row r="928" spans="1:2" ht="58" x14ac:dyDescent="0.35">
      <c r="A928" s="22" t="s">
        <v>118</v>
      </c>
      <c r="B928" s="23" t="s">
        <v>228</v>
      </c>
    </row>
    <row r="929" spans="1:2" ht="290" x14ac:dyDescent="0.35">
      <c r="A929" s="22" t="s">
        <v>119</v>
      </c>
      <c r="B929" s="24" t="s">
        <v>231</v>
      </c>
    </row>
    <row r="930" spans="1:2" ht="87" x14ac:dyDescent="0.35">
      <c r="A930" s="22" t="s">
        <v>123</v>
      </c>
      <c r="B930" s="22" t="s">
        <v>169</v>
      </c>
    </row>
    <row r="931" spans="1:2" ht="72.5" x14ac:dyDescent="0.35">
      <c r="A931" s="22" t="s">
        <v>168</v>
      </c>
      <c r="B931" s="24" t="s">
        <v>229</v>
      </c>
    </row>
    <row r="932" spans="1:2" ht="116" x14ac:dyDescent="0.35">
      <c r="A932" s="22" t="s">
        <v>170</v>
      </c>
      <c r="B932" s="24" t="s">
        <v>232</v>
      </c>
    </row>
    <row r="933" spans="1:2" ht="246.5" x14ac:dyDescent="0.35">
      <c r="A933" s="22" t="s">
        <v>171</v>
      </c>
      <c r="B933" s="24" t="s">
        <v>233</v>
      </c>
    </row>
  </sheetData>
  <mergeCells count="3">
    <mergeCell ref="A1:H1"/>
    <mergeCell ref="A2:H2"/>
    <mergeCell ref="A3:H3"/>
  </mergeCells>
  <phoneticPr fontId="8" type="noConversion"/>
  <conditionalFormatting sqref="L5:L904">
    <cfRule type="cellIs" dxfId="24" priority="12" operator="greaterThan">
      <formula>1.5</formula>
    </cfRule>
    <cfRule type="cellIs" dxfId="23" priority="14" operator="between">
      <formula>-1</formula>
      <formula>1.5</formula>
    </cfRule>
    <cfRule type="cellIs" dxfId="22" priority="15" operator="between">
      <formula>-3</formula>
      <formula>-1</formula>
    </cfRule>
    <cfRule type="cellIs" dxfId="21" priority="16" operator="lessThan">
      <formula>-3</formula>
    </cfRule>
  </conditionalFormatting>
  <conditionalFormatting sqref="M5:M904">
    <cfRule type="containsText" dxfId="20" priority="17" operator="containsText" text="Perfekt">
      <formula>NOT(ISERROR(SEARCH("Perfekt",M5)))</formula>
    </cfRule>
    <cfRule type="containsText" dxfId="19" priority="18" operator="containsText" text="Überbestand">
      <formula>NOT(ISERROR(SEARCH("Überbestand",M5)))</formula>
    </cfRule>
    <cfRule type="containsText" dxfId="18" priority="19" operator="containsText" text="Schwund">
      <formula>NOT(ISERROR(SEARCH("Schwund",M5)))</formula>
    </cfRule>
    <cfRule type="containsText" dxfId="17" priority="20" operator="containsText" text="&quot;Schwund&quot;">
      <formula>NOT(ISERROR(SEARCH("""Schwund""",M5)))</formula>
    </cfRule>
  </conditionalFormatting>
  <conditionalFormatting sqref="T5:T904">
    <cfRule type="cellIs" dxfId="16" priority="9" operator="notEqual">
      <formula>0</formula>
    </cfRule>
  </conditionalFormatting>
  <conditionalFormatting sqref="U5:U904">
    <cfRule type="containsText" dxfId="15" priority="1" operator="containsText" text="Ja">
      <formula>NOT(ISERROR(SEARCH("Ja",U5)))</formula>
    </cfRule>
    <cfRule type="containsText" dxfId="14" priority="2" operator="containsText" text="Abschreibung">
      <formula>NOT(ISERROR(SEARCH("Abschreibung",U5)))</formula>
    </cfRule>
  </conditionalFormatting>
  <conditionalFormatting sqref="U89:U904">
    <cfRule type="containsText" dxfId="13" priority="10" operator="containsText" text="Ja - 20% Reduzierung">
      <formula>NOT(ISERROR(SEARCH("Ja - 20% Reduzierung",U89)))</formula>
    </cfRule>
    <cfRule type="containsText" dxfId="12" priority="11" operator="containsText" text="Abgelaufen">
      <formula>NOT(ISERROR(SEARCH("Abgelaufen",U89)))</formula>
    </cfRule>
  </conditionalFormatting>
  <conditionalFormatting sqref="Z5:Z904">
    <cfRule type="containsText" dxfId="11" priority="3" operator="containsText" text="FIFO">
      <formula>NOT(ISERROR(SEARCH("FIFO",Z5)))</formula>
    </cfRule>
    <cfRule type="containsText" dxfId="10" priority="4" operator="containsText" text="Eingabefehler">
      <formula>NOT(ISERROR(SEARCH("Eingabefehler",Z5)))</formula>
    </cfRule>
    <cfRule type="containsText" dxfId="9" priority="5" operator="containsText" text="Produkt">
      <formula>NOT(ISERROR(SEARCH("Produkt",Z5)))</formula>
    </cfRule>
    <cfRule type="containsText" dxfId="8" priority="6" operator="containsText" text="Zählfehler">
      <formula>NOT(ISERROR(SEARCH("Zählfehler",Z5)))</formula>
    </cfRule>
    <cfRule type="containsText" dxfId="7" priority="7" operator="containsText" text="Korrekt">
      <formula>NOT(ISERROR(SEARCH("Korrekt",Z5)))</formula>
    </cfRule>
    <cfRule type="containsText" dxfId="6" priority="8" operator="containsText" text="Kein MHD - Prozess">
      <formula>NOT(ISERROR(SEARCH("Kein MHD - Prozess",Z5)))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BA5E-1E1E-42BD-B4C6-1158A1CB3C25}">
  <sheetPr>
    <tabColor rgb="FF92D050"/>
  </sheetPr>
  <dimension ref="A1:M74"/>
  <sheetViews>
    <sheetView topLeftCell="B9" zoomScale="85" zoomScaleNormal="85" workbookViewId="0">
      <selection activeCell="I49" sqref="I49"/>
    </sheetView>
  </sheetViews>
  <sheetFormatPr defaultRowHeight="14.5" x14ac:dyDescent="0.35"/>
  <cols>
    <col min="1" max="1" width="49.26953125" bestFit="1" customWidth="1"/>
    <col min="2" max="2" width="63.26953125" bestFit="1" customWidth="1"/>
    <col min="3" max="3" width="16.7265625" customWidth="1"/>
    <col min="4" max="4" width="18.81640625" style="7" customWidth="1"/>
    <col min="5" max="5" width="15.08984375" customWidth="1"/>
    <col min="6" max="6" width="13.08984375" customWidth="1"/>
    <col min="7" max="7" width="18.90625" customWidth="1"/>
    <col min="8" max="8" width="29.08984375" customWidth="1"/>
    <col min="9" max="9" width="21.453125" customWidth="1"/>
    <col min="10" max="10" width="30.6328125" customWidth="1"/>
    <col min="11" max="11" width="14.36328125" customWidth="1"/>
    <col min="12" max="12" width="16.6328125" bestFit="1" customWidth="1"/>
    <col min="13" max="13" width="19.453125" bestFit="1" customWidth="1"/>
  </cols>
  <sheetData>
    <row r="1" spans="1:13" ht="21" x14ac:dyDescent="0.35">
      <c r="A1" s="100" t="s">
        <v>176</v>
      </c>
      <c r="B1" s="100"/>
      <c r="C1" s="100"/>
      <c r="D1" s="100"/>
      <c r="E1" s="100"/>
      <c r="F1" s="100"/>
      <c r="G1" s="100"/>
      <c r="H1" s="100"/>
    </row>
    <row r="2" spans="1:13" x14ac:dyDescent="0.35">
      <c r="A2" s="101" t="s">
        <v>174</v>
      </c>
      <c r="B2" s="101"/>
      <c r="C2" s="101"/>
      <c r="D2" s="101"/>
      <c r="E2" s="101"/>
      <c r="F2" s="101"/>
      <c r="G2" s="101"/>
      <c r="H2" s="101"/>
    </row>
    <row r="4" spans="1:13" ht="16" x14ac:dyDescent="0.35">
      <c r="A4" s="62" t="s">
        <v>3</v>
      </c>
      <c r="B4" s="63" t="s">
        <v>4</v>
      </c>
      <c r="C4" s="63" t="s">
        <v>5</v>
      </c>
      <c r="D4" s="64" t="s">
        <v>6</v>
      </c>
      <c r="E4" s="63" t="s">
        <v>177</v>
      </c>
      <c r="F4" s="63" t="s">
        <v>178</v>
      </c>
      <c r="G4" s="63" t="s">
        <v>179</v>
      </c>
      <c r="H4" s="63" t="s">
        <v>180</v>
      </c>
      <c r="I4" s="63" t="s">
        <v>181</v>
      </c>
      <c r="J4" s="63" t="s">
        <v>182</v>
      </c>
      <c r="K4" s="63" t="s">
        <v>183</v>
      </c>
      <c r="L4" s="63" t="s">
        <v>184</v>
      </c>
      <c r="M4" s="65" t="s">
        <v>185</v>
      </c>
    </row>
    <row r="5" spans="1:13" x14ac:dyDescent="0.35">
      <c r="A5" s="60" t="s">
        <v>34</v>
      </c>
      <c r="B5" s="5" t="str">
        <f>VLOOKUP(A5,Stammdaten!$A$11:$B$25,2,FALSE)</f>
        <v>Fruchtjoghurt 4er</v>
      </c>
      <c r="C5" s="5" t="str">
        <f>VLOOKUP(A5,Stammdaten!$A$11:$C$25,3,FALSE)</f>
        <v>Joghurt</v>
      </c>
      <c r="D5" s="28">
        <f>VLOOKUP(A5,Stammdaten!$A$11:$D$25,4,FALSE)</f>
        <v>1.89</v>
      </c>
      <c r="E5" s="5">
        <f>SUMIFS(Rohdaten!I:I,Rohdaten!C:C,A5)</f>
        <v>23066</v>
      </c>
      <c r="F5" s="5">
        <f>SUMIFS(Rohdaten!J:J,Rohdaten!C:C,A5)</f>
        <v>22403</v>
      </c>
      <c r="G5" s="5">
        <f t="shared" ref="G5:G19" si="0">F5-E5</f>
        <v>-663</v>
      </c>
      <c r="H5" s="28">
        <f>SUMIFS(Rohdaten!N:N,Rohdaten!C:C,A5)</f>
        <v>1442.0699999999995</v>
      </c>
      <c r="I5" s="5">
        <f>AVERAGEIFS(Rohdaten!L:L,Rohdaten!C:C,A5)</f>
        <v>-2.8688885691654149</v>
      </c>
      <c r="J5" s="59">
        <f t="shared" ref="J5:J19" si="1">H5/$H$20*100</f>
        <v>12.483617129946234</v>
      </c>
      <c r="K5" s="21">
        <f>J5</f>
        <v>12.483617129946234</v>
      </c>
      <c r="L5" s="5" t="str">
        <f t="shared" ref="L5:L19" si="2">IF(K5&lt;=80,"A",IF(K5&lt;=95,"B","C"))</f>
        <v>A</v>
      </c>
      <c r="M5" s="61" t="str">
        <f t="shared" ref="M5:M19" si="3">IF(L5="A","Wöchentlich",IF(L5="B","Monatlich","Quartalsweise"))</f>
        <v>Wöchentlich</v>
      </c>
    </row>
    <row r="6" spans="1:13" x14ac:dyDescent="0.35">
      <c r="A6" s="60" t="s">
        <v>27</v>
      </c>
      <c r="B6" s="5" t="str">
        <f>VLOOKUP(A6,Stammdaten!$A$11:$B$25,2,FALSE)</f>
        <v>Vollmilch 1L</v>
      </c>
      <c r="C6" s="5" t="str">
        <f>VLOOKUP(A6,Stammdaten!$A$11:$C$25,3,FALSE)</f>
        <v>Milch</v>
      </c>
      <c r="D6" s="28">
        <f>VLOOKUP(A6,Stammdaten!$A$11:$D$25,4,FALSE)</f>
        <v>1.19</v>
      </c>
      <c r="E6" s="5">
        <f>SUMIFS(Rohdaten!I:I,Rohdaten!C:C,A6)</f>
        <v>33237</v>
      </c>
      <c r="F6" s="5">
        <f>SUMIFS(Rohdaten!J:J,Rohdaten!C:C,A6)</f>
        <v>32178</v>
      </c>
      <c r="G6" s="5">
        <f t="shared" si="0"/>
        <v>-1059</v>
      </c>
      <c r="H6" s="28">
        <f>SUMIFS(Rohdaten!N:N,Rohdaten!C:C,A6)</f>
        <v>1422.0500000000002</v>
      </c>
      <c r="I6" s="5">
        <f>AVERAGEIFS(Rohdaten!L:L,Rohdaten!C:C,A6)</f>
        <v>-3.1702371040274175</v>
      </c>
      <c r="J6" s="59">
        <f t="shared" si="1"/>
        <v>12.310309305123921</v>
      </c>
      <c r="K6" s="21">
        <f>J6+K5</f>
        <v>24.793926435070155</v>
      </c>
      <c r="L6" s="5" t="str">
        <f t="shared" si="2"/>
        <v>A</v>
      </c>
      <c r="M6" s="61" t="str">
        <f t="shared" si="3"/>
        <v>Wöchentlich</v>
      </c>
    </row>
    <row r="7" spans="1:13" x14ac:dyDescent="0.35">
      <c r="A7" s="60" t="s">
        <v>28</v>
      </c>
      <c r="B7" s="5" t="str">
        <f>VLOOKUP(A7,Stammdaten!$A$11:$B$25,2,FALSE)</f>
        <v>Fettarme Milch 1L</v>
      </c>
      <c r="C7" s="5" t="str">
        <f>VLOOKUP(A7,Stammdaten!$A$11:$C$25,3,FALSE)</f>
        <v>Milch</v>
      </c>
      <c r="D7" s="28">
        <f>VLOOKUP(A7,Stammdaten!$A$11:$D$25,4,FALSE)</f>
        <v>1.0900000000000001</v>
      </c>
      <c r="E7" s="5">
        <f>SUMIFS(Rohdaten!I:I,Rohdaten!C:C,A7)</f>
        <v>29658</v>
      </c>
      <c r="F7" s="5">
        <f>SUMIFS(Rohdaten!J:J,Rohdaten!C:C,A7)</f>
        <v>28602</v>
      </c>
      <c r="G7" s="5">
        <f t="shared" si="0"/>
        <v>-1056</v>
      </c>
      <c r="H7" s="28">
        <f>SUMIFS(Rohdaten!N:N,Rohdaten!C:C,A7)</f>
        <v>1240.4199999999998</v>
      </c>
      <c r="I7" s="5">
        <f>AVERAGEIFS(Rohdaten!L:L,Rohdaten!C:C,A7)</f>
        <v>-3.3861402993695888</v>
      </c>
      <c r="J7" s="59">
        <f t="shared" si="1"/>
        <v>10.737986616688449</v>
      </c>
      <c r="K7" s="21">
        <f t="shared" ref="K7:K19" si="4">J7+K6</f>
        <v>35.531913051758607</v>
      </c>
      <c r="L7" s="5" t="str">
        <f t="shared" si="2"/>
        <v>A</v>
      </c>
      <c r="M7" s="61" t="str">
        <f t="shared" si="3"/>
        <v>Wöchentlich</v>
      </c>
    </row>
    <row r="8" spans="1:13" x14ac:dyDescent="0.35">
      <c r="A8" s="60" t="s">
        <v>33</v>
      </c>
      <c r="B8" s="5" t="str">
        <f>VLOOKUP(A8,Stammdaten!$A$11:$B$25,2,FALSE)</f>
        <v>Naturjoghurt 500g</v>
      </c>
      <c r="C8" s="5" t="str">
        <f>VLOOKUP(A8,Stammdaten!$A$11:$C$25,3,FALSE)</f>
        <v>Joghurt</v>
      </c>
      <c r="D8" s="28">
        <f>VLOOKUP(A8,Stammdaten!$A$11:$D$25,4,FALSE)</f>
        <v>0.89</v>
      </c>
      <c r="E8" s="5">
        <f>SUMIFS(Rohdaten!I:I,Rohdaten!C:C,A8)</f>
        <v>36346</v>
      </c>
      <c r="F8" s="5">
        <f>SUMIFS(Rohdaten!J:J,Rohdaten!C:C,A8)</f>
        <v>35341</v>
      </c>
      <c r="G8" s="5">
        <f t="shared" si="0"/>
        <v>-1005</v>
      </c>
      <c r="H8" s="28">
        <f>SUMIFS(Rohdaten!N:N,Rohdaten!C:C,A8)</f>
        <v>983.44999999999982</v>
      </c>
      <c r="I8" s="5">
        <f>AVERAGEIFS(Rohdaten!L:L,Rohdaten!C:C,A8)</f>
        <v>-2.7308620516105888</v>
      </c>
      <c r="J8" s="59">
        <f t="shared" si="1"/>
        <v>8.5134655505250283</v>
      </c>
      <c r="K8" s="21">
        <f t="shared" si="4"/>
        <v>44.045378602283634</v>
      </c>
      <c r="L8" s="5" t="str">
        <f t="shared" si="2"/>
        <v>A</v>
      </c>
      <c r="M8" s="61" t="str">
        <f t="shared" si="3"/>
        <v>Wöchentlich</v>
      </c>
    </row>
    <row r="9" spans="1:13" x14ac:dyDescent="0.35">
      <c r="A9" s="60" t="s">
        <v>38</v>
      </c>
      <c r="B9" s="5" t="str">
        <f>VLOOKUP(A9,Stammdaten!$A$11:$B$25,2,FALSE)</f>
        <v>Quark 500g</v>
      </c>
      <c r="C9" s="5" t="str">
        <f>VLOOKUP(A9,Stammdaten!$A$11:$C$25,3,FALSE)</f>
        <v>Quark</v>
      </c>
      <c r="D9" s="28">
        <f>VLOOKUP(A9,Stammdaten!$A$11:$D$25,4,FALSE)</f>
        <v>1.39</v>
      </c>
      <c r="E9" s="5">
        <f>SUMIFS(Rohdaten!I:I,Rohdaten!C:C,A9)</f>
        <v>26445</v>
      </c>
      <c r="F9" s="5">
        <f>SUMIFS(Rohdaten!J:J,Rohdaten!C:C,A9)</f>
        <v>25847</v>
      </c>
      <c r="G9" s="5">
        <f t="shared" si="0"/>
        <v>-598</v>
      </c>
      <c r="H9" s="28">
        <f>SUMIFS(Rohdaten!N:N,Rohdaten!C:C,A9)</f>
        <v>911.84</v>
      </c>
      <c r="I9" s="5">
        <f>AVERAGEIFS(Rohdaten!L:L,Rohdaten!C:C,A9)</f>
        <v>-2.1644225397160901</v>
      </c>
      <c r="J9" s="59">
        <f t="shared" si="1"/>
        <v>7.8935567925067289</v>
      </c>
      <c r="K9" s="21">
        <f t="shared" si="4"/>
        <v>51.938935394790363</v>
      </c>
      <c r="L9" s="5" t="str">
        <f t="shared" si="2"/>
        <v>A</v>
      </c>
      <c r="M9" s="61" t="str">
        <f t="shared" si="3"/>
        <v>Wöchentlich</v>
      </c>
    </row>
    <row r="10" spans="1:13" x14ac:dyDescent="0.35">
      <c r="A10" s="60" t="s">
        <v>32</v>
      </c>
      <c r="B10" s="5" t="str">
        <f>VLOOKUP(A10,Stammdaten!$A$11:$B$25,2,FALSE)</f>
        <v>Emmentaler 200g</v>
      </c>
      <c r="C10" s="5" t="str">
        <f>VLOOKUP(A10,Stammdaten!$A$11:$C$25,3,FALSE)</f>
        <v>Käse</v>
      </c>
      <c r="D10" s="28">
        <f>VLOOKUP(A10,Stammdaten!$A$11:$D$25,4,FALSE)</f>
        <v>2.4900000000000002</v>
      </c>
      <c r="E10" s="5">
        <f>SUMIFS(Rohdaten!I:I,Rohdaten!C:C,A10)</f>
        <v>16507</v>
      </c>
      <c r="F10" s="5">
        <f>SUMIFS(Rohdaten!J:J,Rohdaten!C:C,A10)</f>
        <v>16233</v>
      </c>
      <c r="G10" s="5">
        <f t="shared" si="0"/>
        <v>-274</v>
      </c>
      <c r="H10" s="28">
        <f>SUMIFS(Rohdaten!N:N,Rohdaten!C:C,A10)</f>
        <v>841.61999999999989</v>
      </c>
      <c r="I10" s="5">
        <f>AVERAGEIFS(Rohdaten!L:L,Rohdaten!C:C,A10)</f>
        <v>-1.575894655889251</v>
      </c>
      <c r="J10" s="59">
        <f t="shared" si="1"/>
        <v>7.2856808954526144</v>
      </c>
      <c r="K10" s="21">
        <f t="shared" si="4"/>
        <v>59.224616290242977</v>
      </c>
      <c r="L10" s="5" t="str">
        <f t="shared" si="2"/>
        <v>A</v>
      </c>
      <c r="M10" s="61" t="str">
        <f t="shared" si="3"/>
        <v>Wöchentlich</v>
      </c>
    </row>
    <row r="11" spans="1:13" x14ac:dyDescent="0.35">
      <c r="A11" s="60" t="s">
        <v>37</v>
      </c>
      <c r="B11" s="5" t="str">
        <f>VLOOKUP(A11,Stammdaten!$A$11:$B$25,2,FALSE)</f>
        <v>Mozzarella 125g</v>
      </c>
      <c r="C11" s="5" t="str">
        <f>VLOOKUP(A11,Stammdaten!$A$11:$C$25,3,FALSE)</f>
        <v>Käse</v>
      </c>
      <c r="D11" s="28">
        <f>VLOOKUP(A11,Stammdaten!$A$11:$D$25,4,FALSE)</f>
        <v>1.19</v>
      </c>
      <c r="E11" s="5">
        <f>SUMIFS(Rohdaten!I:I,Rohdaten!C:C,A11)</f>
        <v>19855</v>
      </c>
      <c r="F11" s="5">
        <f>SUMIFS(Rohdaten!J:J,Rohdaten!C:C,A11)</f>
        <v>19302</v>
      </c>
      <c r="G11" s="5">
        <f t="shared" si="0"/>
        <v>-553</v>
      </c>
      <c r="H11" s="28">
        <f>SUMIFS(Rohdaten!N:N,Rohdaten!C:C,A11)</f>
        <v>743.74999999999977</v>
      </c>
      <c r="I11" s="5">
        <f>AVERAGEIFS(Rohdaten!L:L,Rohdaten!C:C,A11)</f>
        <v>-2.6518331951259624</v>
      </c>
      <c r="J11" s="59">
        <f t="shared" si="1"/>
        <v>6.4384462892907504</v>
      </c>
      <c r="K11" s="21">
        <f t="shared" si="4"/>
        <v>65.663062579533729</v>
      </c>
      <c r="L11" s="5" t="str">
        <f t="shared" si="2"/>
        <v>A</v>
      </c>
      <c r="M11" s="61" t="str">
        <f t="shared" si="3"/>
        <v>Wöchentlich</v>
      </c>
    </row>
    <row r="12" spans="1:13" x14ac:dyDescent="0.35">
      <c r="A12" s="60" t="s">
        <v>39</v>
      </c>
      <c r="B12" s="5" t="str">
        <f>VLOOKUP(A12,Stammdaten!$A$11:$B$25,2,FALSE)</f>
        <v>Skyr 450g</v>
      </c>
      <c r="C12" s="5" t="str">
        <f>VLOOKUP(A12,Stammdaten!$A$11:$C$25,3,FALSE)</f>
        <v>Joghurt</v>
      </c>
      <c r="D12" s="28">
        <f>VLOOKUP(A12,Stammdaten!$A$11:$D$25,4,FALSE)</f>
        <v>1.99</v>
      </c>
      <c r="E12" s="5">
        <f>SUMIFS(Rohdaten!I:I,Rohdaten!C:C,A12)</f>
        <v>16417</v>
      </c>
      <c r="F12" s="5">
        <f>SUMIFS(Rohdaten!J:J,Rohdaten!C:C,A12)</f>
        <v>16130</v>
      </c>
      <c r="G12" s="5">
        <f t="shared" si="0"/>
        <v>-287</v>
      </c>
      <c r="H12" s="28">
        <f>SUMIFS(Rohdaten!N:N,Rohdaten!C:C,A12)</f>
        <v>722.36999999999989</v>
      </c>
      <c r="I12" s="5">
        <f>AVERAGEIFS(Rohdaten!L:L,Rohdaten!C:C,A12)</f>
        <v>-1.6665344064099812</v>
      </c>
      <c r="J12" s="59">
        <f t="shared" si="1"/>
        <v>6.2533653055394423</v>
      </c>
      <c r="K12" s="21">
        <f t="shared" si="4"/>
        <v>71.916427885073176</v>
      </c>
      <c r="L12" s="5" t="str">
        <f t="shared" si="2"/>
        <v>A</v>
      </c>
      <c r="M12" s="61" t="str">
        <f t="shared" si="3"/>
        <v>Wöchentlich</v>
      </c>
    </row>
    <row r="13" spans="1:13" x14ac:dyDescent="0.35">
      <c r="A13" s="60" t="s">
        <v>30</v>
      </c>
      <c r="B13" s="5" t="str">
        <f>VLOOKUP(A13,Stammdaten!$A$11:$B$25,2,FALSE)</f>
        <v>Butter 250g</v>
      </c>
      <c r="C13" s="5" t="str">
        <f>VLOOKUP(A13,Stammdaten!$A$11:$C$25,3,FALSE)</f>
        <v>Butter</v>
      </c>
      <c r="D13" s="28">
        <f>VLOOKUP(A13,Stammdaten!$A$11:$D$25,4,FALSE)</f>
        <v>2.29</v>
      </c>
      <c r="E13" s="5">
        <f>SUMIFS(Rohdaten!I:I,Rohdaten!C:C,A13)</f>
        <v>26429</v>
      </c>
      <c r="F13" s="5">
        <f>SUMIFS(Rohdaten!J:J,Rohdaten!C:C,A13)</f>
        <v>26196</v>
      </c>
      <c r="G13" s="5">
        <f t="shared" si="0"/>
        <v>-233</v>
      </c>
      <c r="H13" s="28">
        <f>SUMIFS(Rohdaten!N:N,Rohdaten!C:C,A13)</f>
        <v>703.03000000000031</v>
      </c>
      <c r="I13" s="5">
        <f>AVERAGEIFS(Rohdaten!L:L,Rohdaten!C:C,A13)</f>
        <v>-0.90832327404089552</v>
      </c>
      <c r="J13" s="59">
        <f t="shared" si="1"/>
        <v>6.0859440601816193</v>
      </c>
      <c r="K13" s="21">
        <f t="shared" si="4"/>
        <v>78.002371945254794</v>
      </c>
      <c r="L13" s="5" t="str">
        <f t="shared" si="2"/>
        <v>A</v>
      </c>
      <c r="M13" s="61" t="str">
        <f t="shared" si="3"/>
        <v>Wöchentlich</v>
      </c>
    </row>
    <row r="14" spans="1:13" x14ac:dyDescent="0.35">
      <c r="A14" s="60" t="s">
        <v>31</v>
      </c>
      <c r="B14" s="5" t="str">
        <f>VLOOKUP(A14,Stammdaten!$A$11:$B$25,2,FALSE)</f>
        <v>Gouda 200g</v>
      </c>
      <c r="C14" s="5" t="str">
        <f>VLOOKUP(A14,Stammdaten!$A$11:$C$25,3,FALSE)</f>
        <v>Käse</v>
      </c>
      <c r="D14" s="28">
        <f>VLOOKUP(A14,Stammdaten!$A$11:$D$25,4,FALSE)</f>
        <v>1.99</v>
      </c>
      <c r="E14" s="5">
        <f>SUMIFS(Rohdaten!I:I,Rohdaten!C:C,A14)</f>
        <v>19774</v>
      </c>
      <c r="F14" s="5">
        <f>SUMIFS(Rohdaten!J:J,Rohdaten!C:C,A14)</f>
        <v>19519</v>
      </c>
      <c r="G14" s="5">
        <f t="shared" si="0"/>
        <v>-255</v>
      </c>
      <c r="H14" s="28">
        <f>SUMIFS(Rohdaten!N:N,Rohdaten!C:C,A14)</f>
        <v>682.56999999999982</v>
      </c>
      <c r="I14" s="5">
        <f>AVERAGEIFS(Rohdaten!L:L,Rohdaten!C:C,A14)</f>
        <v>-1.2385950304250826</v>
      </c>
      <c r="J14" s="59">
        <f t="shared" si="1"/>
        <v>5.9088272721763868</v>
      </c>
      <c r="K14" s="21">
        <f t="shared" si="4"/>
        <v>83.911199217431175</v>
      </c>
      <c r="L14" s="5" t="str">
        <f t="shared" si="2"/>
        <v>B</v>
      </c>
      <c r="M14" s="61" t="str">
        <f t="shared" si="3"/>
        <v>Monatlich</v>
      </c>
    </row>
    <row r="15" spans="1:13" x14ac:dyDescent="0.35">
      <c r="A15" s="60" t="s">
        <v>29</v>
      </c>
      <c r="B15" s="5" t="str">
        <f>VLOOKUP(A15,Stammdaten!$A$11:$B$25,2,FALSE)</f>
        <v>Bio-Milch 1L</v>
      </c>
      <c r="C15" s="5" t="str">
        <f>VLOOKUP(A15,Stammdaten!$A$11:$C$25,3,FALSE)</f>
        <v>Milch</v>
      </c>
      <c r="D15" s="28">
        <f>VLOOKUP(A15,Stammdaten!$A$11:$D$25,4,FALSE)</f>
        <v>1.59</v>
      </c>
      <c r="E15" s="5">
        <f>SUMIFS(Rohdaten!I:I,Rohdaten!C:C,A15)</f>
        <v>13094</v>
      </c>
      <c r="F15" s="5">
        <f>SUMIFS(Rohdaten!J:J,Rohdaten!C:C,A15)</f>
        <v>12871</v>
      </c>
      <c r="G15" s="5">
        <f t="shared" si="0"/>
        <v>-223</v>
      </c>
      <c r="H15" s="28">
        <f>SUMIFS(Rohdaten!N:N,Rohdaten!C:C,A15)</f>
        <v>682.11000000000013</v>
      </c>
      <c r="I15" s="5">
        <f>AVERAGEIFS(Rohdaten!L:L,Rohdaten!C:C,A15)</f>
        <v>-1.6231096926159487</v>
      </c>
      <c r="J15" s="59">
        <f t="shared" si="1"/>
        <v>5.9048451743033494</v>
      </c>
      <c r="K15" s="21">
        <f t="shared" si="4"/>
        <v>89.816044391734522</v>
      </c>
      <c r="L15" s="5" t="str">
        <f t="shared" si="2"/>
        <v>B</v>
      </c>
      <c r="M15" s="61" t="str">
        <f t="shared" si="3"/>
        <v>Monatlich</v>
      </c>
    </row>
    <row r="16" spans="1:13" x14ac:dyDescent="0.35">
      <c r="A16" s="60" t="s">
        <v>40</v>
      </c>
      <c r="B16" s="5" t="str">
        <f>VLOOKUP(A16,Stammdaten!$A$11:$B$25,2,FALSE)</f>
        <v>Kefir 500ml</v>
      </c>
      <c r="C16" s="5" t="str">
        <f>VLOOKUP(A16,Stammdaten!$A$11:$C$25,3,FALSE)</f>
        <v>Milch</v>
      </c>
      <c r="D16" s="28">
        <f>VLOOKUP(A16,Stammdaten!$A$11:$D$25,4,FALSE)</f>
        <v>1.39</v>
      </c>
      <c r="E16" s="5">
        <f>SUMIFS(Rohdaten!I:I,Rohdaten!C:C,A16)</f>
        <v>9844</v>
      </c>
      <c r="F16" s="5">
        <f>SUMIFS(Rohdaten!J:J,Rohdaten!C:C,A16)</f>
        <v>9627</v>
      </c>
      <c r="G16" s="5">
        <f t="shared" si="0"/>
        <v>-217</v>
      </c>
      <c r="H16" s="28">
        <f>SUMIFS(Rohdaten!N:N,Rohdaten!C:C,A16)</f>
        <v>398.92999999999995</v>
      </c>
      <c r="I16" s="5">
        <f>AVERAGEIFS(Rohdaten!L:L,Rohdaten!C:C,A16)</f>
        <v>-2.1925603036312507</v>
      </c>
      <c r="J16" s="59">
        <f t="shared" si="1"/>
        <v>3.4534310967216939</v>
      </c>
      <c r="K16" s="21">
        <f t="shared" si="4"/>
        <v>93.269475488456209</v>
      </c>
      <c r="L16" s="5" t="str">
        <f t="shared" si="2"/>
        <v>B</v>
      </c>
      <c r="M16" s="61" t="str">
        <f t="shared" si="3"/>
        <v>Monatlich</v>
      </c>
    </row>
    <row r="17" spans="1:13" x14ac:dyDescent="0.35">
      <c r="A17" s="60" t="s">
        <v>41</v>
      </c>
      <c r="B17" s="5" t="str">
        <f>VLOOKUP(A17,Stammdaten!$A$11:$B$25,2,FALSE)</f>
        <v>Frischkäse 200g</v>
      </c>
      <c r="C17" s="5" t="str">
        <f>VLOOKUP(A17,Stammdaten!$A$11:$C$25,3,FALSE)</f>
        <v>Käse</v>
      </c>
      <c r="D17" s="28">
        <f>VLOOKUP(A17,Stammdaten!$A$11:$D$25,4,FALSE)</f>
        <v>1.49</v>
      </c>
      <c r="E17" s="5">
        <f>SUMIFS(Rohdaten!I:I,Rohdaten!C:C,A17)</f>
        <v>13241</v>
      </c>
      <c r="F17" s="5">
        <f>SUMIFS(Rohdaten!J:J,Rohdaten!C:C,A17)</f>
        <v>13061</v>
      </c>
      <c r="G17" s="5">
        <f t="shared" si="0"/>
        <v>-180</v>
      </c>
      <c r="H17" s="28">
        <f>SUMIFS(Rohdaten!N:N,Rohdaten!C:C,A17)</f>
        <v>366.54</v>
      </c>
      <c r="I17" s="5">
        <f>AVERAGEIFS(Rohdaten!L:L,Rohdaten!C:C,A17)</f>
        <v>-1.3169084824913178</v>
      </c>
      <c r="J17" s="59">
        <f t="shared" si="1"/>
        <v>3.1730394660526149</v>
      </c>
      <c r="K17" s="21">
        <f t="shared" si="4"/>
        <v>96.442514954508823</v>
      </c>
      <c r="L17" s="5" t="str">
        <f t="shared" si="2"/>
        <v>C</v>
      </c>
      <c r="M17" s="61" t="str">
        <f t="shared" si="3"/>
        <v>Quartalsweise</v>
      </c>
    </row>
    <row r="18" spans="1:13" x14ac:dyDescent="0.35">
      <c r="A18" s="60" t="s">
        <v>35</v>
      </c>
      <c r="B18" s="5" t="str">
        <f>VLOOKUP(A18,Stammdaten!$A$11:$B$25,2,FALSE)</f>
        <v>Sahne 200ml</v>
      </c>
      <c r="C18" s="5" t="str">
        <f>VLOOKUP(A18,Stammdaten!$A$11:$C$25,3,FALSE)</f>
        <v>Sahne</v>
      </c>
      <c r="D18" s="28">
        <f>VLOOKUP(A18,Stammdaten!$A$11:$D$25,4,FALSE)</f>
        <v>0.79</v>
      </c>
      <c r="E18" s="5">
        <f>SUMIFS(Rohdaten!I:I,Rohdaten!C:C,A18)</f>
        <v>13190</v>
      </c>
      <c r="F18" s="5">
        <f>SUMIFS(Rohdaten!J:J,Rohdaten!C:C,A18)</f>
        <v>12982</v>
      </c>
      <c r="G18" s="5">
        <f t="shared" si="0"/>
        <v>-208</v>
      </c>
      <c r="H18" s="28">
        <f>SUMIFS(Rohdaten!N:N,Rohdaten!C:C,A18)</f>
        <v>233.84</v>
      </c>
      <c r="I18" s="5">
        <f>AVERAGEIFS(Rohdaten!L:L,Rohdaten!C:C,A18)</f>
        <v>-1.506928761242595</v>
      </c>
      <c r="J18" s="59">
        <f t="shared" si="1"/>
        <v>2.0242907970255457</v>
      </c>
      <c r="K18" s="21">
        <f t="shared" si="4"/>
        <v>98.466805751534366</v>
      </c>
      <c r="L18" s="5" t="str">
        <f t="shared" si="2"/>
        <v>C</v>
      </c>
      <c r="M18" s="61" t="str">
        <f t="shared" si="3"/>
        <v>Quartalsweise</v>
      </c>
    </row>
    <row r="19" spans="1:13" x14ac:dyDescent="0.35">
      <c r="A19" s="66" t="s">
        <v>36</v>
      </c>
      <c r="B19" s="41" t="str">
        <f>VLOOKUP(A19,Stammdaten!$A$11:$B$25,2,FALSE)</f>
        <v>Schmand 200g</v>
      </c>
      <c r="C19" s="41" t="str">
        <f>VLOOKUP(A19,Stammdaten!$A$11:$C$25,3,FALSE)</f>
        <v>Sahne</v>
      </c>
      <c r="D19" s="40">
        <f>VLOOKUP(A19,Stammdaten!$A$11:$D$25,4,FALSE)</f>
        <v>0.89</v>
      </c>
      <c r="E19" s="41">
        <f>SUMIFS(Rohdaten!I:I,Rohdaten!C:C,A19)</f>
        <v>11844</v>
      </c>
      <c r="F19" s="41">
        <f>SUMIFS(Rohdaten!J:J,Rohdaten!C:C,A19)</f>
        <v>11675</v>
      </c>
      <c r="G19" s="41">
        <f t="shared" si="0"/>
        <v>-169</v>
      </c>
      <c r="H19" s="40">
        <f>SUMIFS(Rohdaten!N:N,Rohdaten!C:C,A19)</f>
        <v>177.11000000000004</v>
      </c>
      <c r="I19" s="41">
        <f>AVERAGEIFS(Rohdaten!L:L,Rohdaten!C:C,A19)</f>
        <v>-1.3647399290906919</v>
      </c>
      <c r="J19" s="67">
        <f t="shared" si="1"/>
        <v>1.5331942484655938</v>
      </c>
      <c r="K19" s="21">
        <f t="shared" si="4"/>
        <v>99.999999999999957</v>
      </c>
      <c r="L19" s="41" t="str">
        <f t="shared" si="2"/>
        <v>C</v>
      </c>
      <c r="M19" s="69" t="str">
        <f t="shared" si="3"/>
        <v>Quartalsweise</v>
      </c>
    </row>
    <row r="20" spans="1:13" x14ac:dyDescent="0.35">
      <c r="G20" s="73" t="s">
        <v>186</v>
      </c>
      <c r="H20" s="72">
        <f>SUM(H5:H19)</f>
        <v>11551.700000000003</v>
      </c>
      <c r="J20" s="58">
        <f t="shared" ref="J20" si="5">H20/$H$20</f>
        <v>1</v>
      </c>
    </row>
    <row r="22" spans="1:13" x14ac:dyDescent="0.35">
      <c r="A22" s="106" t="s">
        <v>187</v>
      </c>
      <c r="B22" s="107"/>
      <c r="C22" s="107"/>
      <c r="D22" s="107"/>
      <c r="E22" s="108"/>
    </row>
    <row r="23" spans="1:13" x14ac:dyDescent="0.35">
      <c r="A23" s="71" t="s">
        <v>184</v>
      </c>
      <c r="B23" s="75" t="s">
        <v>188</v>
      </c>
      <c r="C23" s="75" t="s">
        <v>189</v>
      </c>
      <c r="D23" s="76" t="s">
        <v>190</v>
      </c>
      <c r="E23" s="70" t="s">
        <v>185</v>
      </c>
    </row>
    <row r="24" spans="1:13" x14ac:dyDescent="0.35">
      <c r="A24" s="74" t="s">
        <v>191</v>
      </c>
      <c r="B24" s="5">
        <f>COUNTIF(L5:L19,"A")</f>
        <v>9</v>
      </c>
      <c r="C24" s="5">
        <f>B24/15*100</f>
        <v>60</v>
      </c>
      <c r="D24" s="21">
        <f>SUMIFS(H5:H19,L5:L19,"A")/$H$20*100</f>
        <v>78.002371945254794</v>
      </c>
      <c r="E24" s="61" t="s">
        <v>194</v>
      </c>
    </row>
    <row r="25" spans="1:13" x14ac:dyDescent="0.35">
      <c r="A25" s="74" t="s">
        <v>192</v>
      </c>
      <c r="B25" s="5">
        <f>COUNTIF(L5:L19,"B")</f>
        <v>3</v>
      </c>
      <c r="C25" s="5">
        <f t="shared" ref="C25:C26" si="6">B25/15*100</f>
        <v>20</v>
      </c>
      <c r="D25" s="21">
        <f>SUMIFS(H5:H19,L5:L19,"B")/$H$20*100</f>
        <v>15.267103543201427</v>
      </c>
      <c r="E25" s="61" t="s">
        <v>195</v>
      </c>
    </row>
    <row r="26" spans="1:13" x14ac:dyDescent="0.35">
      <c r="A26" s="77" t="s">
        <v>193</v>
      </c>
      <c r="B26" s="41">
        <f>COUNTIF(L5:L19,"C")</f>
        <v>3</v>
      </c>
      <c r="C26" s="41">
        <f t="shared" si="6"/>
        <v>20</v>
      </c>
      <c r="D26" s="68">
        <f>SUMIFS(H5:H19,L5:L19,"C")/$H$20*100</f>
        <v>6.7305245115437531</v>
      </c>
      <c r="E26" s="69" t="s">
        <v>196</v>
      </c>
    </row>
    <row r="66" spans="1:2" ht="21" x14ac:dyDescent="0.5">
      <c r="A66" s="109" t="s">
        <v>197</v>
      </c>
      <c r="B66" s="109"/>
    </row>
    <row r="67" spans="1:2" ht="16" x14ac:dyDescent="0.4">
      <c r="A67" s="79" t="s">
        <v>198</v>
      </c>
      <c r="B67" s="80" t="s">
        <v>199</v>
      </c>
    </row>
    <row r="68" spans="1:2" ht="16" x14ac:dyDescent="0.4">
      <c r="A68" s="81" t="s">
        <v>200</v>
      </c>
      <c r="B68" s="83" t="s">
        <v>201</v>
      </c>
    </row>
    <row r="69" spans="1:2" ht="16" x14ac:dyDescent="0.4">
      <c r="A69" s="81" t="s">
        <v>202</v>
      </c>
      <c r="B69" s="83" t="s">
        <v>203</v>
      </c>
    </row>
    <row r="70" spans="1:2" ht="16" x14ac:dyDescent="0.4">
      <c r="A70" s="81" t="s">
        <v>204</v>
      </c>
      <c r="B70" s="83" t="s">
        <v>205</v>
      </c>
    </row>
    <row r="71" spans="1:2" ht="16" x14ac:dyDescent="0.4">
      <c r="A71" s="81" t="s">
        <v>206</v>
      </c>
      <c r="B71" s="83" t="s">
        <v>207</v>
      </c>
    </row>
    <row r="72" spans="1:2" ht="16" x14ac:dyDescent="0.4">
      <c r="A72" s="81" t="s">
        <v>208</v>
      </c>
      <c r="B72" s="83" t="s">
        <v>209</v>
      </c>
    </row>
    <row r="73" spans="1:2" ht="16" x14ac:dyDescent="0.4">
      <c r="A73" s="82" t="s">
        <v>210</v>
      </c>
      <c r="B73" s="84" t="s">
        <v>211</v>
      </c>
    </row>
    <row r="74" spans="1:2" ht="16" x14ac:dyDescent="0.4">
      <c r="A74" s="78"/>
      <c r="B74" s="78"/>
    </row>
  </sheetData>
  <sortState xmlns:xlrd2="http://schemas.microsoft.com/office/spreadsheetml/2017/richdata2" ref="A5:I19">
    <sortCondition descending="1" ref="H5:H19"/>
  </sortState>
  <mergeCells count="4">
    <mergeCell ref="A1:H1"/>
    <mergeCell ref="A2:H2"/>
    <mergeCell ref="A22:E22"/>
    <mergeCell ref="A66:B66"/>
  </mergeCells>
  <conditionalFormatting sqref="L5:L19">
    <cfRule type="containsText" dxfId="5" priority="4" operator="containsText" text="C">
      <formula>NOT(ISERROR(SEARCH("C",L5)))</formula>
    </cfRule>
    <cfRule type="containsText" dxfId="4" priority="5" operator="containsText" text="B">
      <formula>NOT(ISERROR(SEARCH("B",L5)))</formula>
    </cfRule>
    <cfRule type="containsText" dxfId="3" priority="6" operator="containsText" text="A">
      <formula>NOT(ISERROR(SEARCH("A",L5)))</formula>
    </cfRule>
  </conditionalFormatting>
  <conditionalFormatting sqref="M5:M19">
    <cfRule type="containsText" dxfId="2" priority="1" operator="containsText" text="Quartalsweise">
      <formula>NOT(ISERROR(SEARCH("Quartalsweise",M5)))</formula>
    </cfRule>
    <cfRule type="containsText" dxfId="1" priority="2" operator="containsText" text="Monatlich">
      <formula>NOT(ISERROR(SEARCH("Monatlich",M5)))</formula>
    </cfRule>
    <cfRule type="containsText" dxfId="0" priority="3" operator="containsText" text="Wöchentlich">
      <formula>NOT(ISERROR(SEARCH("Wöchentlich",M5)))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5062-82EA-409B-8D93-C497C6E2F152}">
  <sheetPr>
    <tabColor rgb="FFFFC000"/>
  </sheetPr>
  <dimension ref="A1:F100"/>
  <sheetViews>
    <sheetView workbookViewId="0">
      <selection activeCell="C17" sqref="C17"/>
    </sheetView>
  </sheetViews>
  <sheetFormatPr defaultRowHeight="14.5" x14ac:dyDescent="0.35"/>
  <cols>
    <col min="1" max="1" width="20.54296875" bestFit="1" customWidth="1"/>
    <col min="2" max="2" width="25.90625" bestFit="1" customWidth="1"/>
    <col min="3" max="3" width="30.453125" bestFit="1" customWidth="1"/>
    <col min="4" max="4" width="14" customWidth="1"/>
    <col min="6" max="6" width="16.36328125" customWidth="1"/>
  </cols>
  <sheetData>
    <row r="1" spans="1:6" ht="21" x14ac:dyDescent="0.35">
      <c r="A1" s="110" t="s">
        <v>212</v>
      </c>
      <c r="B1" s="110"/>
      <c r="C1" s="110"/>
      <c r="D1" s="110"/>
      <c r="E1" s="110"/>
      <c r="F1" s="110"/>
    </row>
    <row r="2" spans="1:6" x14ac:dyDescent="0.35">
      <c r="A2" s="111" t="s">
        <v>213</v>
      </c>
      <c r="B2" s="111"/>
      <c r="C2" s="111"/>
      <c r="D2" s="111"/>
      <c r="E2" s="111"/>
      <c r="F2" s="111"/>
    </row>
    <row r="4" spans="1:6" x14ac:dyDescent="0.35">
      <c r="A4" s="85" t="s">
        <v>2</v>
      </c>
      <c r="B4" t="s">
        <v>215</v>
      </c>
      <c r="C4" t="s">
        <v>216</v>
      </c>
    </row>
    <row r="5" spans="1:6" x14ac:dyDescent="0.35">
      <c r="A5" s="86" t="s">
        <v>19</v>
      </c>
      <c r="B5" s="88">
        <v>2232.1400000000012</v>
      </c>
      <c r="C5" s="87">
        <v>-1.9633946912138784</v>
      </c>
    </row>
    <row r="6" spans="1:6" x14ac:dyDescent="0.35">
      <c r="A6" s="86" t="s">
        <v>21</v>
      </c>
      <c r="B6" s="88">
        <v>2155.6799999999994</v>
      </c>
      <c r="C6" s="87">
        <v>-2.0551909411770217</v>
      </c>
    </row>
    <row r="7" spans="1:6" x14ac:dyDescent="0.35">
      <c r="A7" s="86" t="s">
        <v>20</v>
      </c>
      <c r="B7" s="88">
        <v>1814.6100000000017</v>
      </c>
      <c r="C7" s="87">
        <v>-1.8499624587630943</v>
      </c>
    </row>
    <row r="8" spans="1:6" x14ac:dyDescent="0.35">
      <c r="A8" s="86" t="s">
        <v>22</v>
      </c>
      <c r="B8" s="88">
        <v>3152.7200000000003</v>
      </c>
      <c r="C8" s="87">
        <v>-2.3804558186317588</v>
      </c>
    </row>
    <row r="9" spans="1:6" x14ac:dyDescent="0.35">
      <c r="A9" s="86" t="s">
        <v>225</v>
      </c>
      <c r="B9" s="88">
        <v>2196.5500000000002</v>
      </c>
      <c r="C9" s="87">
        <v>-1.8729888551649376</v>
      </c>
    </row>
    <row r="10" spans="1:6" x14ac:dyDescent="0.35">
      <c r="A10" s="86" t="s">
        <v>214</v>
      </c>
      <c r="B10" s="7">
        <v>11551.69999999999</v>
      </c>
      <c r="C10" s="87">
        <v>-2.0243985529901392</v>
      </c>
    </row>
    <row r="18" spans="1:2" x14ac:dyDescent="0.35">
      <c r="A18" s="85" t="s">
        <v>8</v>
      </c>
      <c r="B18" t="s">
        <v>215</v>
      </c>
    </row>
    <row r="19" spans="1:2" x14ac:dyDescent="0.35">
      <c r="A19" s="86" t="s">
        <v>73</v>
      </c>
      <c r="B19" s="7">
        <v>670.98</v>
      </c>
    </row>
    <row r="20" spans="1:2" x14ac:dyDescent="0.35">
      <c r="A20" s="86" t="s">
        <v>74</v>
      </c>
      <c r="B20" s="7">
        <v>625.21</v>
      </c>
    </row>
    <row r="21" spans="1:2" x14ac:dyDescent="0.35">
      <c r="A21" s="86" t="s">
        <v>75</v>
      </c>
      <c r="B21" s="7">
        <v>842.81</v>
      </c>
    </row>
    <row r="22" spans="1:2" x14ac:dyDescent="0.35">
      <c r="A22" s="86" t="s">
        <v>76</v>
      </c>
      <c r="B22" s="7">
        <v>1266.4699999999998</v>
      </c>
    </row>
    <row r="23" spans="1:2" x14ac:dyDescent="0.35">
      <c r="A23" s="86" t="s">
        <v>77</v>
      </c>
      <c r="B23" s="7">
        <v>821.6999999999997</v>
      </c>
    </row>
    <row r="24" spans="1:2" x14ac:dyDescent="0.35">
      <c r="A24" s="86" t="s">
        <v>78</v>
      </c>
      <c r="B24" s="7">
        <v>959.61</v>
      </c>
    </row>
    <row r="25" spans="1:2" x14ac:dyDescent="0.35">
      <c r="A25" s="86" t="s">
        <v>79</v>
      </c>
      <c r="B25" s="7">
        <v>1226.1800000000003</v>
      </c>
    </row>
    <row r="26" spans="1:2" x14ac:dyDescent="0.35">
      <c r="A26" s="86" t="s">
        <v>80</v>
      </c>
      <c r="B26" s="7">
        <v>952.48</v>
      </c>
    </row>
    <row r="27" spans="1:2" x14ac:dyDescent="0.35">
      <c r="A27" s="86" t="s">
        <v>81</v>
      </c>
      <c r="B27" s="7">
        <v>819.7700000000001</v>
      </c>
    </row>
    <row r="28" spans="1:2" x14ac:dyDescent="0.35">
      <c r="A28" s="86" t="s">
        <v>82</v>
      </c>
      <c r="B28" s="7">
        <v>876.7</v>
      </c>
    </row>
    <row r="29" spans="1:2" x14ac:dyDescent="0.35">
      <c r="A29" s="86" t="s">
        <v>83</v>
      </c>
      <c r="B29" s="7">
        <v>972.12000000000012</v>
      </c>
    </row>
    <row r="30" spans="1:2" x14ac:dyDescent="0.35">
      <c r="A30" s="86" t="s">
        <v>84</v>
      </c>
      <c r="B30" s="7">
        <v>1517.67</v>
      </c>
    </row>
    <row r="31" spans="1:2" x14ac:dyDescent="0.35">
      <c r="A31" s="86" t="s">
        <v>214</v>
      </c>
      <c r="B31" s="7">
        <v>11551.7</v>
      </c>
    </row>
    <row r="39" spans="1:3" x14ac:dyDescent="0.35">
      <c r="A39" s="85" t="s">
        <v>5</v>
      </c>
      <c r="B39" t="s">
        <v>215</v>
      </c>
      <c r="C39" t="s">
        <v>216</v>
      </c>
    </row>
    <row r="40" spans="1:3" x14ac:dyDescent="0.35">
      <c r="A40" s="86" t="s">
        <v>61</v>
      </c>
      <c r="B40" s="7">
        <v>703.03000000000031</v>
      </c>
      <c r="C40" s="87">
        <v>-0.90832327404089552</v>
      </c>
    </row>
    <row r="41" spans="1:3" x14ac:dyDescent="0.35">
      <c r="A41" s="86" t="s">
        <v>65</v>
      </c>
      <c r="B41" s="7">
        <v>3147.89</v>
      </c>
      <c r="C41" s="87">
        <v>-2.4220950090619935</v>
      </c>
    </row>
    <row r="42" spans="1:3" x14ac:dyDescent="0.35">
      <c r="A42" s="86" t="s">
        <v>64</v>
      </c>
      <c r="B42" s="7">
        <v>2634.4800000000032</v>
      </c>
      <c r="C42" s="87">
        <v>-1.6958078409829025</v>
      </c>
    </row>
    <row r="43" spans="1:3" x14ac:dyDescent="0.35">
      <c r="A43" s="86" t="s">
        <v>60</v>
      </c>
      <c r="B43" s="7">
        <v>3743.5099999999979</v>
      </c>
      <c r="C43" s="87">
        <v>-2.5930118499110524</v>
      </c>
    </row>
    <row r="44" spans="1:3" x14ac:dyDescent="0.35">
      <c r="A44" s="86" t="s">
        <v>63</v>
      </c>
      <c r="B44" s="7">
        <v>911.84</v>
      </c>
      <c r="C44" s="87">
        <v>-2.1644225397160901</v>
      </c>
    </row>
    <row r="45" spans="1:3" x14ac:dyDescent="0.35">
      <c r="A45" s="86" t="s">
        <v>62</v>
      </c>
      <c r="B45" s="7">
        <v>410.94999999999993</v>
      </c>
      <c r="C45" s="87">
        <v>-1.4358343451666431</v>
      </c>
    </row>
    <row r="46" spans="1:3" x14ac:dyDescent="0.35">
      <c r="A46" s="86" t="s">
        <v>214</v>
      </c>
      <c r="B46" s="7">
        <v>11551.7</v>
      </c>
      <c r="C46" s="87">
        <v>-2.0243985529901352</v>
      </c>
    </row>
    <row r="57" spans="1:2" x14ac:dyDescent="0.35">
      <c r="A57" s="85" t="s">
        <v>221</v>
      </c>
      <c r="B57" t="s">
        <v>220</v>
      </c>
    </row>
    <row r="58" spans="1:2" x14ac:dyDescent="0.35">
      <c r="A58" s="86" t="s">
        <v>217</v>
      </c>
      <c r="B58">
        <v>81</v>
      </c>
    </row>
    <row r="59" spans="1:2" x14ac:dyDescent="0.35">
      <c r="A59" s="86" t="s">
        <v>218</v>
      </c>
      <c r="B59">
        <v>669</v>
      </c>
    </row>
    <row r="60" spans="1:2" x14ac:dyDescent="0.35">
      <c r="A60" s="86" t="s">
        <v>219</v>
      </c>
      <c r="B60">
        <v>150</v>
      </c>
    </row>
    <row r="61" spans="1:2" x14ac:dyDescent="0.35">
      <c r="A61" s="86" t="s">
        <v>214</v>
      </c>
      <c r="B61">
        <v>900</v>
      </c>
    </row>
    <row r="75" spans="1:2" x14ac:dyDescent="0.35">
      <c r="A75" s="85" t="s">
        <v>59</v>
      </c>
      <c r="B75" t="s">
        <v>215</v>
      </c>
    </row>
    <row r="76" spans="1:2" x14ac:dyDescent="0.35">
      <c r="A76" s="86" t="s">
        <v>110</v>
      </c>
      <c r="B76" s="7">
        <v>972.12000000000012</v>
      </c>
    </row>
    <row r="77" spans="1:2" x14ac:dyDescent="0.35">
      <c r="A77" s="86" t="s">
        <v>101</v>
      </c>
      <c r="B77" s="7">
        <v>625.21</v>
      </c>
    </row>
    <row r="78" spans="1:2" x14ac:dyDescent="0.35">
      <c r="A78" s="86" t="s">
        <v>94</v>
      </c>
      <c r="B78" s="7">
        <v>7170.2299999999923</v>
      </c>
    </row>
    <row r="79" spans="1:2" x14ac:dyDescent="0.35">
      <c r="A79" s="86" t="s">
        <v>222</v>
      </c>
      <c r="B79" s="7">
        <v>1266.4699999999998</v>
      </c>
    </row>
    <row r="80" spans="1:2" x14ac:dyDescent="0.35">
      <c r="A80" s="86" t="s">
        <v>223</v>
      </c>
      <c r="B80" s="7">
        <v>1517.67</v>
      </c>
    </row>
    <row r="81" spans="1:2" x14ac:dyDescent="0.35">
      <c r="A81" s="86" t="s">
        <v>214</v>
      </c>
      <c r="B81" s="7">
        <v>11551.699999999992</v>
      </c>
    </row>
    <row r="93" spans="1:2" x14ac:dyDescent="0.35">
      <c r="A93" s="85" t="s">
        <v>129</v>
      </c>
      <c r="B93" t="s">
        <v>224</v>
      </c>
    </row>
    <row r="94" spans="1:2" x14ac:dyDescent="0.35">
      <c r="A94" s="86" t="s">
        <v>167</v>
      </c>
      <c r="B94">
        <v>16</v>
      </c>
    </row>
    <row r="95" spans="1:2" x14ac:dyDescent="0.35">
      <c r="A95" s="86" t="s">
        <v>172</v>
      </c>
      <c r="B95">
        <v>627</v>
      </c>
    </row>
    <row r="96" spans="1:2" x14ac:dyDescent="0.35">
      <c r="A96" s="86" t="s">
        <v>173</v>
      </c>
      <c r="B96">
        <v>233</v>
      </c>
    </row>
    <row r="97" spans="1:2" x14ac:dyDescent="0.35">
      <c r="A97" s="86" t="s">
        <v>226</v>
      </c>
      <c r="B97">
        <v>4</v>
      </c>
    </row>
    <row r="98" spans="1:2" x14ac:dyDescent="0.35">
      <c r="A98" s="86" t="s">
        <v>164</v>
      </c>
      <c r="B98">
        <v>16</v>
      </c>
    </row>
    <row r="99" spans="1:2" x14ac:dyDescent="0.35">
      <c r="A99" s="86" t="s">
        <v>227</v>
      </c>
      <c r="B99">
        <v>4</v>
      </c>
    </row>
    <row r="100" spans="1:2" x14ac:dyDescent="0.35">
      <c r="A100" s="86" t="s">
        <v>214</v>
      </c>
      <c r="B100">
        <v>900</v>
      </c>
    </row>
  </sheetData>
  <mergeCells count="2">
    <mergeCell ref="A1:F1"/>
    <mergeCell ref="A2:F2"/>
  </mergeCells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8173-BDAE-4A94-BC2B-6112D45E30BE}">
  <sheetPr>
    <tabColor rgb="FFFF0000"/>
  </sheetPr>
  <dimension ref="A1:F12"/>
  <sheetViews>
    <sheetView topLeftCell="A15" workbookViewId="0">
      <selection activeCell="G33" sqref="G33"/>
    </sheetView>
  </sheetViews>
  <sheetFormatPr defaultRowHeight="14.5" x14ac:dyDescent="0.35"/>
  <cols>
    <col min="1" max="1" width="25.6328125" bestFit="1" customWidth="1"/>
    <col min="2" max="2" width="16.36328125" bestFit="1" customWidth="1"/>
    <col min="3" max="3" width="26.6328125" bestFit="1" customWidth="1"/>
    <col min="4" max="4" width="13" customWidth="1"/>
    <col min="6" max="6" width="14" customWidth="1"/>
  </cols>
  <sheetData>
    <row r="1" spans="1:6" ht="21" x14ac:dyDescent="0.35">
      <c r="A1" s="112" t="s">
        <v>275</v>
      </c>
      <c r="B1" s="112"/>
      <c r="C1" s="112"/>
      <c r="D1" s="112"/>
      <c r="E1" s="112"/>
      <c r="F1" s="112"/>
    </row>
    <row r="2" spans="1:6" x14ac:dyDescent="0.35">
      <c r="A2" s="113" t="s">
        <v>276</v>
      </c>
      <c r="B2" s="113"/>
      <c r="C2" s="113"/>
      <c r="D2" s="113"/>
      <c r="E2" s="113"/>
      <c r="F2" s="113"/>
    </row>
    <row r="4" spans="1:6" x14ac:dyDescent="0.35">
      <c r="A4" s="85" t="s">
        <v>277</v>
      </c>
      <c r="B4" t="s">
        <v>285</v>
      </c>
      <c r="C4" t="s">
        <v>215</v>
      </c>
    </row>
    <row r="5" spans="1:6" x14ac:dyDescent="0.35">
      <c r="A5" s="86" t="s">
        <v>278</v>
      </c>
      <c r="B5">
        <v>131</v>
      </c>
      <c r="C5" s="7">
        <v>2270.4099999999994</v>
      </c>
    </row>
    <row r="6" spans="1:6" x14ac:dyDescent="0.35">
      <c r="A6" s="86" t="s">
        <v>279</v>
      </c>
      <c r="B6">
        <v>63</v>
      </c>
      <c r="C6" s="7">
        <v>1805.4099999999996</v>
      </c>
    </row>
    <row r="7" spans="1:6" x14ac:dyDescent="0.35">
      <c r="A7" s="86" t="s">
        <v>280</v>
      </c>
      <c r="B7">
        <v>136</v>
      </c>
      <c r="C7" s="7">
        <v>883.55000000000052</v>
      </c>
    </row>
    <row r="8" spans="1:6" x14ac:dyDescent="0.35">
      <c r="A8" s="86" t="s">
        <v>281</v>
      </c>
      <c r="B8">
        <v>30</v>
      </c>
      <c r="C8" s="7">
        <v>497.73</v>
      </c>
    </row>
    <row r="9" spans="1:6" x14ac:dyDescent="0.35">
      <c r="A9" s="86" t="s">
        <v>282</v>
      </c>
      <c r="B9">
        <v>231</v>
      </c>
      <c r="C9" s="7">
        <v>1236.9500000000012</v>
      </c>
    </row>
    <row r="10" spans="1:6" x14ac:dyDescent="0.35">
      <c r="A10" s="86" t="s">
        <v>283</v>
      </c>
      <c r="B10">
        <v>245</v>
      </c>
      <c r="C10" s="7">
        <v>4129.7699999999986</v>
      </c>
    </row>
    <row r="11" spans="1:6" x14ac:dyDescent="0.35">
      <c r="A11" s="86" t="s">
        <v>284</v>
      </c>
      <c r="B11">
        <v>64</v>
      </c>
      <c r="C11" s="7">
        <v>727.88</v>
      </c>
    </row>
    <row r="12" spans="1:6" x14ac:dyDescent="0.35">
      <c r="A12" s="86" t="s">
        <v>214</v>
      </c>
      <c r="B12">
        <v>900</v>
      </c>
      <c r="C12" s="7">
        <v>11551.699999999995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5D52-6201-4D32-B345-48F62F33F499}">
  <sheetPr>
    <tabColor rgb="FF7030A0"/>
  </sheetPr>
  <dimension ref="A1:H39"/>
  <sheetViews>
    <sheetView tabSelected="1" topLeftCell="A6" workbookViewId="0">
      <selection activeCell="I30" sqref="I30"/>
    </sheetView>
  </sheetViews>
  <sheetFormatPr defaultRowHeight="14.5" x14ac:dyDescent="0.35"/>
  <cols>
    <col min="1" max="1" width="25.6328125" bestFit="1" customWidth="1"/>
    <col min="2" max="2" width="14.81640625" customWidth="1"/>
    <col min="3" max="3" width="22.7265625" customWidth="1"/>
    <col min="4" max="4" width="23.90625" customWidth="1"/>
    <col min="5" max="5" width="11.1796875" customWidth="1"/>
    <col min="6" max="6" width="18.36328125" customWidth="1"/>
    <col min="7" max="7" width="23.7265625" customWidth="1"/>
  </cols>
  <sheetData>
    <row r="1" spans="1:8" ht="21" x14ac:dyDescent="0.5">
      <c r="A1" s="114" t="s">
        <v>286</v>
      </c>
      <c r="B1" s="114"/>
      <c r="C1" s="114"/>
      <c r="D1" s="114"/>
      <c r="E1" s="114"/>
      <c r="F1" s="114"/>
      <c r="G1" s="114"/>
      <c r="H1" s="114"/>
    </row>
    <row r="2" spans="1:8" x14ac:dyDescent="0.35">
      <c r="A2" s="113" t="s">
        <v>287</v>
      </c>
      <c r="B2" s="113"/>
      <c r="C2" s="113"/>
      <c r="D2" s="113"/>
      <c r="E2" s="113"/>
      <c r="F2" s="113"/>
      <c r="G2" s="113"/>
      <c r="H2" s="113"/>
    </row>
    <row r="4" spans="1:8" ht="16" x14ac:dyDescent="0.35">
      <c r="A4" s="95" t="s">
        <v>7</v>
      </c>
      <c r="B4" s="95" t="s">
        <v>8</v>
      </c>
      <c r="C4" s="95" t="s">
        <v>288</v>
      </c>
      <c r="D4" s="95" t="s">
        <v>289</v>
      </c>
      <c r="E4" s="95" t="s">
        <v>290</v>
      </c>
      <c r="F4" s="95" t="s">
        <v>291</v>
      </c>
      <c r="G4" s="95" t="s">
        <v>292</v>
      </c>
      <c r="H4" s="95"/>
    </row>
    <row r="5" spans="1:8" x14ac:dyDescent="0.35">
      <c r="A5" s="96">
        <v>1</v>
      </c>
      <c r="B5" s="93" t="s">
        <v>73</v>
      </c>
      <c r="C5" s="93">
        <f>SUMIFS(Rohdaten!N:N,Rohdaten!G:G,A5)</f>
        <v>670.98</v>
      </c>
      <c r="D5" s="93"/>
      <c r="E5" s="93"/>
      <c r="F5" s="93"/>
      <c r="G5" s="93"/>
    </row>
    <row r="6" spans="1:8" x14ac:dyDescent="0.35">
      <c r="A6" s="96">
        <v>2</v>
      </c>
      <c r="B6" s="93" t="s">
        <v>74</v>
      </c>
      <c r="C6" s="93">
        <f>SUMIFS(Rohdaten!N:N,Rohdaten!G:G,A6)</f>
        <v>625.21</v>
      </c>
      <c r="D6" s="93"/>
      <c r="E6" s="93"/>
      <c r="F6" s="93"/>
      <c r="G6" s="93"/>
    </row>
    <row r="7" spans="1:8" x14ac:dyDescent="0.35">
      <c r="A7" s="96">
        <v>3</v>
      </c>
      <c r="B7" s="93" t="s">
        <v>75</v>
      </c>
      <c r="C7" s="93">
        <f>SUMIFS(Rohdaten!N:N,Rohdaten!G:G,A7)</f>
        <v>842.81</v>
      </c>
      <c r="E7" s="93"/>
      <c r="F7" s="93"/>
      <c r="G7" s="93"/>
    </row>
    <row r="8" spans="1:8" x14ac:dyDescent="0.35">
      <c r="A8" s="96">
        <v>4</v>
      </c>
      <c r="B8" s="93" t="s">
        <v>76</v>
      </c>
      <c r="C8" s="93">
        <f>SUMIFS(Rohdaten!N:N,Rohdaten!G:G,A8)</f>
        <v>1266.4699999999998</v>
      </c>
      <c r="D8" s="98">
        <f>AVERAGE(C5:C7)</f>
        <v>713</v>
      </c>
      <c r="E8" s="98">
        <f>D8</f>
        <v>713</v>
      </c>
      <c r="F8" s="98">
        <f>ABS(C8-D8)</f>
        <v>553.4699999999998</v>
      </c>
      <c r="G8" s="98">
        <f>IF(C8=0,0,F8/C8*100)</f>
        <v>43.701785277187767</v>
      </c>
    </row>
    <row r="9" spans="1:8" x14ac:dyDescent="0.35">
      <c r="A9" s="96">
        <v>5</v>
      </c>
      <c r="B9" s="93" t="s">
        <v>77</v>
      </c>
      <c r="C9" s="93">
        <f>SUMIFS(Rohdaten!N:N,Rohdaten!G:G,A9)</f>
        <v>821.6999999999997</v>
      </c>
      <c r="D9" s="98">
        <f>AVERAGE(C6:C8)</f>
        <v>911.49666666666656</v>
      </c>
      <c r="E9" s="98">
        <f t="shared" ref="E9:E16" si="0">D9</f>
        <v>911.49666666666656</v>
      </c>
      <c r="F9" s="98">
        <f t="shared" ref="F9:F16" si="1">ABS(C9-D9)</f>
        <v>89.796666666666852</v>
      </c>
      <c r="G9" s="98">
        <f t="shared" ref="G9:G16" si="2">IF(C9=0,0,F9/C9*100)</f>
        <v>10.928157072735413</v>
      </c>
    </row>
    <row r="10" spans="1:8" x14ac:dyDescent="0.35">
      <c r="A10" s="96">
        <v>6</v>
      </c>
      <c r="B10" s="93" t="s">
        <v>78</v>
      </c>
      <c r="C10" s="93">
        <f>SUMIFS(Rohdaten!N:N,Rohdaten!G:G,A10)</f>
        <v>959.61</v>
      </c>
      <c r="D10" s="98">
        <f t="shared" ref="D10:D16" si="3">AVERAGE(C7:C9)</f>
        <v>976.99333333333323</v>
      </c>
      <c r="E10" s="98">
        <f t="shared" si="0"/>
        <v>976.99333333333323</v>
      </c>
      <c r="F10" s="98">
        <f t="shared" si="1"/>
        <v>17.383333333333212</v>
      </c>
      <c r="G10" s="98">
        <f t="shared" si="2"/>
        <v>1.8114998106869677</v>
      </c>
    </row>
    <row r="11" spans="1:8" x14ac:dyDescent="0.35">
      <c r="A11" s="96">
        <v>7</v>
      </c>
      <c r="B11" s="93" t="s">
        <v>79</v>
      </c>
      <c r="C11" s="93">
        <f>SUMIFS(Rohdaten!N:N,Rohdaten!G:G,A11)</f>
        <v>1226.1800000000003</v>
      </c>
      <c r="D11" s="98">
        <f t="shared" si="3"/>
        <v>1015.9266666666666</v>
      </c>
      <c r="E11" s="98">
        <f t="shared" si="0"/>
        <v>1015.9266666666666</v>
      </c>
      <c r="F11" s="98">
        <f t="shared" si="1"/>
        <v>210.25333333333367</v>
      </c>
      <c r="G11" s="98">
        <f t="shared" si="2"/>
        <v>17.147020285221878</v>
      </c>
    </row>
    <row r="12" spans="1:8" x14ac:dyDescent="0.35">
      <c r="A12" s="96">
        <v>8</v>
      </c>
      <c r="B12" s="93" t="s">
        <v>80</v>
      </c>
      <c r="C12" s="93">
        <f>SUMIFS(Rohdaten!N:N,Rohdaten!G:G,A12)</f>
        <v>952.48</v>
      </c>
      <c r="D12" s="98">
        <f t="shared" si="3"/>
        <v>1002.4966666666666</v>
      </c>
      <c r="E12" s="98">
        <f t="shared" si="0"/>
        <v>1002.4966666666666</v>
      </c>
      <c r="F12" s="98">
        <f t="shared" si="1"/>
        <v>50.016666666666538</v>
      </c>
      <c r="G12" s="98">
        <f t="shared" si="2"/>
        <v>5.2512038747970076</v>
      </c>
    </row>
    <row r="13" spans="1:8" x14ac:dyDescent="0.35">
      <c r="A13" s="96">
        <v>9</v>
      </c>
      <c r="B13" s="93" t="s">
        <v>81</v>
      </c>
      <c r="C13" s="93">
        <f>SUMIFS(Rohdaten!N:N,Rohdaten!G:G,A13)</f>
        <v>819.7700000000001</v>
      </c>
      <c r="D13" s="98">
        <f t="shared" si="3"/>
        <v>1046.0900000000001</v>
      </c>
      <c r="E13" s="98">
        <f t="shared" si="0"/>
        <v>1046.0900000000001</v>
      </c>
      <c r="F13" s="98">
        <f t="shared" si="1"/>
        <v>226.32000000000005</v>
      </c>
      <c r="G13" s="98">
        <f t="shared" si="2"/>
        <v>27.607743635409935</v>
      </c>
    </row>
    <row r="14" spans="1:8" x14ac:dyDescent="0.35">
      <c r="A14" s="96">
        <v>10</v>
      </c>
      <c r="B14" s="93" t="s">
        <v>82</v>
      </c>
      <c r="C14" s="93">
        <f>SUMIFS(Rohdaten!N:N,Rohdaten!G:G,A14)</f>
        <v>876.7</v>
      </c>
      <c r="D14" s="98">
        <f t="shared" si="3"/>
        <v>999.4766666666668</v>
      </c>
      <c r="E14" s="98">
        <f t="shared" si="0"/>
        <v>999.4766666666668</v>
      </c>
      <c r="F14" s="98">
        <f t="shared" si="1"/>
        <v>122.77666666666676</v>
      </c>
      <c r="G14" s="98">
        <f t="shared" si="2"/>
        <v>14.004410478689033</v>
      </c>
    </row>
    <row r="15" spans="1:8" x14ac:dyDescent="0.35">
      <c r="A15" s="96">
        <v>11</v>
      </c>
      <c r="B15" s="93" t="s">
        <v>83</v>
      </c>
      <c r="C15" s="93">
        <f>SUMIFS(Rohdaten!N:N,Rohdaten!G:G,A15)</f>
        <v>972.12000000000012</v>
      </c>
      <c r="D15" s="98">
        <f t="shared" si="3"/>
        <v>882.98333333333323</v>
      </c>
      <c r="E15" s="98">
        <f t="shared" si="0"/>
        <v>882.98333333333323</v>
      </c>
      <c r="F15" s="98">
        <f t="shared" si="1"/>
        <v>89.136666666666883</v>
      </c>
      <c r="G15" s="98">
        <f t="shared" si="2"/>
        <v>9.1693069442730195</v>
      </c>
    </row>
    <row r="16" spans="1:8" x14ac:dyDescent="0.35">
      <c r="A16" s="96">
        <v>12</v>
      </c>
      <c r="B16" s="93" t="s">
        <v>84</v>
      </c>
      <c r="C16" s="93">
        <f>SUMIFS(Rohdaten!N:N,Rohdaten!G:G,A16)</f>
        <v>1517.67</v>
      </c>
      <c r="D16" s="98">
        <f t="shared" si="3"/>
        <v>889.53000000000009</v>
      </c>
      <c r="E16" s="98">
        <f t="shared" si="0"/>
        <v>889.53000000000009</v>
      </c>
      <c r="F16" s="98">
        <f t="shared" si="1"/>
        <v>628.14</v>
      </c>
      <c r="G16" s="98">
        <f t="shared" si="2"/>
        <v>41.388444128170157</v>
      </c>
    </row>
    <row r="17" spans="1:7" x14ac:dyDescent="0.35">
      <c r="A17" s="93"/>
      <c r="B17" s="93"/>
      <c r="C17" s="93"/>
      <c r="D17" s="93"/>
      <c r="E17" s="93"/>
      <c r="F17" s="93"/>
      <c r="G17" s="93"/>
    </row>
    <row r="18" spans="1:7" x14ac:dyDescent="0.35">
      <c r="A18" s="92" t="s">
        <v>293</v>
      </c>
      <c r="B18" s="97">
        <f>AVERAGE(G8:G16)</f>
        <v>19.0010635007968</v>
      </c>
      <c r="C18" s="92" t="s">
        <v>294</v>
      </c>
      <c r="D18" s="93"/>
      <c r="E18" s="93"/>
      <c r="F18" s="93"/>
      <c r="G18" s="93"/>
    </row>
    <row r="19" spans="1:7" x14ac:dyDescent="0.35">
      <c r="A19" s="93"/>
      <c r="B19" s="93"/>
      <c r="C19" s="93"/>
      <c r="D19" s="93"/>
      <c r="E19" s="93"/>
      <c r="F19" s="93"/>
      <c r="G19" s="93"/>
    </row>
    <row r="20" spans="1:7" x14ac:dyDescent="0.35">
      <c r="A20" s="93"/>
      <c r="B20" s="93"/>
      <c r="C20" s="93"/>
      <c r="D20" s="93"/>
      <c r="E20" s="93"/>
      <c r="F20" s="93"/>
      <c r="G20" s="93"/>
    </row>
    <row r="21" spans="1:7" x14ac:dyDescent="0.35">
      <c r="A21" s="93"/>
      <c r="B21" s="93"/>
      <c r="C21" s="93"/>
      <c r="D21" s="93"/>
      <c r="E21" s="93"/>
      <c r="F21" s="93"/>
      <c r="G21" s="93"/>
    </row>
    <row r="22" spans="1:7" x14ac:dyDescent="0.35">
      <c r="A22" s="93"/>
      <c r="B22" s="93"/>
      <c r="C22" s="93"/>
      <c r="D22" s="93"/>
      <c r="E22" s="93"/>
      <c r="F22" s="93"/>
      <c r="G22" s="93"/>
    </row>
    <row r="23" spans="1:7" x14ac:dyDescent="0.35">
      <c r="A23" s="93"/>
      <c r="B23" s="93"/>
      <c r="C23" s="93"/>
      <c r="D23" s="93"/>
      <c r="E23" s="93"/>
      <c r="F23" s="93"/>
      <c r="G23" s="93"/>
    </row>
    <row r="24" spans="1:7" x14ac:dyDescent="0.35">
      <c r="A24" s="93"/>
      <c r="B24" s="93"/>
      <c r="C24" s="93"/>
      <c r="D24" s="93"/>
      <c r="E24" s="93"/>
      <c r="F24" s="93"/>
      <c r="G24" s="93"/>
    </row>
    <row r="25" spans="1:7" x14ac:dyDescent="0.35">
      <c r="A25" s="93"/>
      <c r="B25" s="93"/>
      <c r="C25" s="93"/>
      <c r="D25" s="93"/>
      <c r="E25" s="93"/>
      <c r="F25" s="93"/>
      <c r="G25" s="93"/>
    </row>
    <row r="26" spans="1:7" x14ac:dyDescent="0.35">
      <c r="A26" s="93"/>
      <c r="B26" s="93"/>
      <c r="C26" s="93"/>
      <c r="D26" s="93"/>
      <c r="E26" s="93"/>
      <c r="F26" s="93"/>
      <c r="G26" s="93"/>
    </row>
    <row r="27" spans="1:7" x14ac:dyDescent="0.35">
      <c r="A27" s="93"/>
      <c r="B27" s="93"/>
      <c r="C27" s="93"/>
      <c r="D27" s="93"/>
      <c r="E27" s="93"/>
      <c r="F27" s="93"/>
      <c r="G27" s="93"/>
    </row>
    <row r="28" spans="1:7" x14ac:dyDescent="0.35">
      <c r="A28" s="93"/>
      <c r="B28" s="93"/>
      <c r="C28" s="93"/>
      <c r="D28" s="93"/>
      <c r="E28" s="93"/>
      <c r="F28" s="93"/>
      <c r="G28" s="93"/>
    </row>
    <row r="29" spans="1:7" x14ac:dyDescent="0.35">
      <c r="A29" s="93"/>
      <c r="B29" s="93"/>
      <c r="C29" s="93"/>
      <c r="D29" s="93"/>
      <c r="E29" s="93"/>
      <c r="F29" s="93"/>
      <c r="G29" s="93"/>
    </row>
    <row r="36" spans="1:1" ht="18.5" x14ac:dyDescent="0.45">
      <c r="A36" s="99" t="s">
        <v>295</v>
      </c>
    </row>
    <row r="37" spans="1:1" x14ac:dyDescent="0.35">
      <c r="A37" t="s">
        <v>296</v>
      </c>
    </row>
    <row r="38" spans="1:1" x14ac:dyDescent="0.35">
      <c r="A38" t="s">
        <v>297</v>
      </c>
    </row>
    <row r="39" spans="1:1" x14ac:dyDescent="0.35">
      <c r="A39" t="s">
        <v>298</v>
      </c>
    </row>
  </sheetData>
  <mergeCells count="2">
    <mergeCell ref="A1:H1"/>
    <mergeCell ref="A2:H2"/>
  </mergeCells>
  <phoneticPr fontId="8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B130-D3BA-4B90-94BE-F33902743632}">
  <sheetPr>
    <tabColor theme="3" tint="9.9978637043366805E-2"/>
  </sheetPr>
  <dimension ref="A1:L45"/>
  <sheetViews>
    <sheetView workbookViewId="0">
      <selection activeCell="O22" sqref="O22"/>
    </sheetView>
  </sheetViews>
  <sheetFormatPr defaultRowHeight="14.5" x14ac:dyDescent="0.35"/>
  <cols>
    <col min="1" max="1" width="16.81640625" bestFit="1" customWidth="1"/>
  </cols>
  <sheetData>
    <row r="1" spans="1:12" ht="23.5" x14ac:dyDescent="0.35">
      <c r="A1" s="139" t="s">
        <v>299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</row>
    <row r="2" spans="1:12" x14ac:dyDescent="0.35">
      <c r="A2" s="140" t="s">
        <v>300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</row>
    <row r="3" spans="1:12" ht="15" thickBot="1" x14ac:dyDescent="0.4"/>
    <row r="4" spans="1:12" x14ac:dyDescent="0.35">
      <c r="A4" s="141" t="s">
        <v>301</v>
      </c>
      <c r="B4" s="142"/>
      <c r="C4" s="143"/>
      <c r="D4" s="128" t="s">
        <v>302</v>
      </c>
      <c r="E4" s="129"/>
      <c r="F4" s="130"/>
      <c r="G4" s="128" t="s">
        <v>304</v>
      </c>
      <c r="H4" s="129"/>
      <c r="I4" s="130"/>
      <c r="J4" s="128" t="s">
        <v>306</v>
      </c>
      <c r="K4" s="129"/>
      <c r="L4" s="147"/>
    </row>
    <row r="5" spans="1:12" ht="16" customHeight="1" x14ac:dyDescent="0.35">
      <c r="A5" s="144">
        <f>SUMIFS(Rohdaten!N:N,Rohdaten!M:M,"Schwund")</f>
        <v>10566.649999999987</v>
      </c>
      <c r="B5" s="145"/>
      <c r="C5" s="146"/>
      <c r="D5" s="131" t="str">
        <f>ROUND((1-SUM(Rohdaten!N:N)/SUM(Rohdaten!I:I))*100,1) &amp; "%"</f>
        <v>96,3%</v>
      </c>
      <c r="E5" s="132"/>
      <c r="F5" s="133"/>
      <c r="G5" s="136" t="str">
        <f>ROUND(ABS(AVERAGEIFS(Rohdaten!L:L,Rohdaten!M:M,"Schwund")),1) &amp; "%"</f>
        <v>3,1%</v>
      </c>
      <c r="H5" s="137"/>
      <c r="I5" s="138"/>
      <c r="J5" s="136">
        <f>COUNTIF(Rohdaten!M:M,"Überbestand")</f>
        <v>150</v>
      </c>
      <c r="K5" s="137"/>
      <c r="L5" s="148"/>
    </row>
    <row r="6" spans="1:12" ht="14.5" customHeight="1" x14ac:dyDescent="0.35">
      <c r="A6" s="144"/>
      <c r="B6" s="145"/>
      <c r="C6" s="146"/>
      <c r="D6" s="131"/>
      <c r="E6" s="132"/>
      <c r="F6" s="133"/>
      <c r="G6" s="136"/>
      <c r="H6" s="137"/>
      <c r="I6" s="138"/>
      <c r="J6" s="136"/>
      <c r="K6" s="137"/>
      <c r="L6" s="148"/>
    </row>
    <row r="7" spans="1:12" x14ac:dyDescent="0.35">
      <c r="A7" s="122" t="str">
        <f>"Schwund Fälle: " &amp; COUNTIF(Rohdaten!M:M,"Schwund") &amp; " von 900"</f>
        <v>Schwund Fälle: 669 von 900</v>
      </c>
      <c r="B7" s="123"/>
      <c r="C7" s="124"/>
      <c r="D7" s="115" t="s">
        <v>303</v>
      </c>
      <c r="E7" s="116"/>
      <c r="F7" s="134"/>
      <c r="G7" s="115" t="s">
        <v>305</v>
      </c>
      <c r="H7" s="116"/>
      <c r="I7" s="134"/>
      <c r="J7" s="115" t="str">
        <f>"Anteil: " &amp; ROUND(COUNTIF(Rohdaten!M:M,"Überbestand")/900*100,1) &amp; "%"</f>
        <v>Anteil: 16,7%</v>
      </c>
      <c r="K7" s="116"/>
      <c r="L7" s="117"/>
    </row>
    <row r="8" spans="1:12" ht="15" thickBot="1" x14ac:dyDescent="0.4">
      <c r="A8" s="125"/>
      <c r="B8" s="126"/>
      <c r="C8" s="127"/>
      <c r="D8" s="118"/>
      <c r="E8" s="119"/>
      <c r="F8" s="135"/>
      <c r="G8" s="118"/>
      <c r="H8" s="119"/>
      <c r="I8" s="135"/>
      <c r="J8" s="118"/>
      <c r="K8" s="119"/>
      <c r="L8" s="120"/>
    </row>
    <row r="42" spans="1:12" ht="18.5" x14ac:dyDescent="0.35">
      <c r="A42" s="121" t="s">
        <v>307</v>
      </c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</row>
    <row r="43" spans="1:12" x14ac:dyDescent="0.35">
      <c r="A43" s="90" t="s">
        <v>308</v>
      </c>
      <c r="B43" t="s">
        <v>309</v>
      </c>
    </row>
    <row r="44" spans="1:12" x14ac:dyDescent="0.35">
      <c r="A44" s="90" t="s">
        <v>310</v>
      </c>
      <c r="B44" t="s">
        <v>311</v>
      </c>
    </row>
    <row r="45" spans="1:12" x14ac:dyDescent="0.35">
      <c r="A45" s="90" t="s">
        <v>312</v>
      </c>
      <c r="B45" t="s">
        <v>313</v>
      </c>
    </row>
  </sheetData>
  <mergeCells count="15">
    <mergeCell ref="A1:L1"/>
    <mergeCell ref="A2:L2"/>
    <mergeCell ref="A4:C4"/>
    <mergeCell ref="A5:C6"/>
    <mergeCell ref="J4:L4"/>
    <mergeCell ref="J5:L6"/>
    <mergeCell ref="J7:L8"/>
    <mergeCell ref="A42:L42"/>
    <mergeCell ref="A7:C8"/>
    <mergeCell ref="D4:F4"/>
    <mergeCell ref="D5:F6"/>
    <mergeCell ref="D7:F8"/>
    <mergeCell ref="G4:I4"/>
    <mergeCell ref="G5:I6"/>
    <mergeCell ref="G7:I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C7B7-D56A-4DBA-8B86-BB5FF7CB5176}">
  <sheetPr>
    <tabColor rgb="FFF3C915"/>
  </sheetPr>
  <dimension ref="A1:F42"/>
  <sheetViews>
    <sheetView topLeftCell="A12" workbookViewId="0">
      <selection activeCell="A42" sqref="A42"/>
    </sheetView>
  </sheetViews>
  <sheetFormatPr defaultRowHeight="14.5" x14ac:dyDescent="0.35"/>
  <cols>
    <col min="1" max="1" width="42.1796875" customWidth="1"/>
    <col min="2" max="2" width="46.7265625" bestFit="1" customWidth="1"/>
    <col min="3" max="3" width="52.26953125" bestFit="1" customWidth="1"/>
    <col min="4" max="4" width="19.7265625" customWidth="1"/>
    <col min="5" max="5" width="14.08984375" customWidth="1"/>
    <col min="6" max="6" width="29.08984375" customWidth="1"/>
  </cols>
  <sheetData>
    <row r="1" spans="1:6" ht="23.5" x14ac:dyDescent="0.55000000000000004">
      <c r="A1" s="150" t="s">
        <v>234</v>
      </c>
      <c r="B1" s="150"/>
      <c r="C1" s="150"/>
      <c r="D1" s="150"/>
      <c r="E1" s="150"/>
      <c r="F1" s="150"/>
    </row>
    <row r="2" spans="1:6" x14ac:dyDescent="0.35">
      <c r="A2" s="151" t="s">
        <v>235</v>
      </c>
      <c r="B2" s="151"/>
      <c r="C2" s="151"/>
      <c r="D2" s="151"/>
      <c r="E2" s="151"/>
      <c r="F2" s="151"/>
    </row>
    <row r="4" spans="1:6" ht="18.5" x14ac:dyDescent="0.35">
      <c r="A4" s="91" t="s">
        <v>236</v>
      </c>
    </row>
    <row r="6" spans="1:6" x14ac:dyDescent="0.35">
      <c r="A6" s="92" t="s">
        <v>237</v>
      </c>
      <c r="B6" s="149" t="s">
        <v>238</v>
      </c>
      <c r="C6" s="149"/>
      <c r="D6" s="149"/>
      <c r="E6" s="149"/>
      <c r="F6" s="149"/>
    </row>
    <row r="7" spans="1:6" x14ac:dyDescent="0.35">
      <c r="A7" s="92" t="s">
        <v>239</v>
      </c>
      <c r="B7" s="149" t="s">
        <v>240</v>
      </c>
      <c r="C7" s="149"/>
      <c r="D7" s="149"/>
      <c r="E7" s="149"/>
      <c r="F7" s="149"/>
    </row>
    <row r="8" spans="1:6" x14ac:dyDescent="0.35">
      <c r="A8" s="92" t="s">
        <v>241</v>
      </c>
      <c r="B8" s="149" t="s">
        <v>242</v>
      </c>
      <c r="C8" s="149"/>
      <c r="D8" s="149"/>
      <c r="E8" s="149"/>
      <c r="F8" s="149"/>
    </row>
    <row r="9" spans="1:6" x14ac:dyDescent="0.35">
      <c r="A9" s="92" t="s">
        <v>243</v>
      </c>
      <c r="B9" s="149" t="s">
        <v>244</v>
      </c>
      <c r="C9" s="149"/>
      <c r="D9" s="149"/>
      <c r="E9" s="149"/>
      <c r="F9" s="149"/>
    </row>
    <row r="10" spans="1:6" x14ac:dyDescent="0.35">
      <c r="A10" s="92" t="s">
        <v>245</v>
      </c>
      <c r="B10" s="149" t="s">
        <v>246</v>
      </c>
      <c r="C10" s="149"/>
      <c r="D10" s="149"/>
      <c r="E10" s="149"/>
      <c r="F10" s="149"/>
    </row>
    <row r="11" spans="1:6" x14ac:dyDescent="0.35">
      <c r="A11" s="93"/>
    </row>
    <row r="12" spans="1:6" x14ac:dyDescent="0.35">
      <c r="A12" s="93"/>
    </row>
    <row r="13" spans="1:6" ht="18.5" x14ac:dyDescent="0.35">
      <c r="A13" s="91" t="s">
        <v>247</v>
      </c>
    </row>
    <row r="15" spans="1:6" x14ac:dyDescent="0.35">
      <c r="A15" s="149" t="s">
        <v>248</v>
      </c>
      <c r="B15" s="149"/>
      <c r="C15" s="149"/>
      <c r="D15" s="149"/>
      <c r="E15" s="149"/>
      <c r="F15" s="149"/>
    </row>
    <row r="16" spans="1:6" x14ac:dyDescent="0.35">
      <c r="A16" s="149" t="s">
        <v>249</v>
      </c>
      <c r="B16" s="149"/>
      <c r="C16" s="149"/>
      <c r="D16" s="149"/>
      <c r="E16" s="149"/>
      <c r="F16" s="149"/>
    </row>
    <row r="17" spans="1:6" x14ac:dyDescent="0.35">
      <c r="A17" s="149" t="s">
        <v>250</v>
      </c>
      <c r="B17" s="149"/>
      <c r="C17" s="149"/>
      <c r="D17" s="149"/>
      <c r="E17" s="149"/>
      <c r="F17" s="149"/>
    </row>
    <row r="18" spans="1:6" x14ac:dyDescent="0.35">
      <c r="A18" s="149" t="s">
        <v>251</v>
      </c>
      <c r="B18" s="149"/>
      <c r="C18" s="149"/>
      <c r="D18" s="149"/>
      <c r="E18" s="149"/>
      <c r="F18" s="149"/>
    </row>
    <row r="19" spans="1:6" x14ac:dyDescent="0.35">
      <c r="A19" s="149" t="s">
        <v>252</v>
      </c>
      <c r="B19" s="149"/>
      <c r="C19" s="149"/>
      <c r="D19" s="149"/>
      <c r="E19" s="149"/>
      <c r="F19" s="149"/>
    </row>
    <row r="20" spans="1:6" x14ac:dyDescent="0.35">
      <c r="A20" s="149" t="s">
        <v>253</v>
      </c>
      <c r="B20" s="149"/>
      <c r="C20" s="149"/>
      <c r="D20" s="149"/>
      <c r="E20" s="149"/>
      <c r="F20" s="149"/>
    </row>
    <row r="21" spans="1:6" x14ac:dyDescent="0.35">
      <c r="A21" s="149" t="s">
        <v>254</v>
      </c>
      <c r="B21" s="149"/>
      <c r="C21" s="149"/>
      <c r="D21" s="149"/>
      <c r="E21" s="149"/>
      <c r="F21" s="149"/>
    </row>
    <row r="22" spans="1:6" x14ac:dyDescent="0.35">
      <c r="A22" s="93"/>
    </row>
    <row r="23" spans="1:6" x14ac:dyDescent="0.35">
      <c r="A23" s="93"/>
    </row>
    <row r="24" spans="1:6" ht="21" x14ac:dyDescent="0.35">
      <c r="A24" s="94" t="s">
        <v>197</v>
      </c>
    </row>
    <row r="25" spans="1:6" x14ac:dyDescent="0.35">
      <c r="A25" s="92" t="s">
        <v>255</v>
      </c>
      <c r="B25" s="90" t="s">
        <v>256</v>
      </c>
      <c r="C25" s="90" t="s">
        <v>199</v>
      </c>
    </row>
    <row r="26" spans="1:6" x14ac:dyDescent="0.35">
      <c r="A26" s="93">
        <v>1</v>
      </c>
      <c r="B26" s="93" t="s">
        <v>200</v>
      </c>
      <c r="C26" s="93" t="s">
        <v>263</v>
      </c>
    </row>
    <row r="27" spans="1:6" x14ac:dyDescent="0.35">
      <c r="A27" s="93">
        <v>2</v>
      </c>
      <c r="B27" s="93" t="s">
        <v>257</v>
      </c>
      <c r="C27" s="93" t="s">
        <v>264</v>
      </c>
    </row>
    <row r="28" spans="1:6" x14ac:dyDescent="0.35">
      <c r="A28" s="93">
        <v>3</v>
      </c>
      <c r="B28" s="93" t="s">
        <v>258</v>
      </c>
      <c r="C28" s="93" t="s">
        <v>265</v>
      </c>
    </row>
    <row r="29" spans="1:6" x14ac:dyDescent="0.35">
      <c r="A29" s="93">
        <v>4</v>
      </c>
      <c r="B29" s="93" t="s">
        <v>259</v>
      </c>
      <c r="C29" s="93" t="s">
        <v>266</v>
      </c>
    </row>
    <row r="30" spans="1:6" x14ac:dyDescent="0.35">
      <c r="A30" s="93">
        <v>5</v>
      </c>
      <c r="B30" s="93" t="s">
        <v>260</v>
      </c>
      <c r="C30" s="93" t="s">
        <v>267</v>
      </c>
    </row>
    <row r="31" spans="1:6" x14ac:dyDescent="0.35">
      <c r="A31" s="93">
        <v>6</v>
      </c>
      <c r="B31" s="93" t="s">
        <v>261</v>
      </c>
      <c r="C31" s="93" t="s">
        <v>268</v>
      </c>
    </row>
    <row r="32" spans="1:6" x14ac:dyDescent="0.35">
      <c r="A32" s="93">
        <v>7</v>
      </c>
      <c r="B32" s="93" t="s">
        <v>262</v>
      </c>
      <c r="C32" s="93" t="s">
        <v>269</v>
      </c>
    </row>
    <row r="33" spans="1:3" x14ac:dyDescent="0.35">
      <c r="A33" s="93">
        <v>8</v>
      </c>
      <c r="B33" s="93" t="s">
        <v>206</v>
      </c>
      <c r="C33" s="93" t="s">
        <v>270</v>
      </c>
    </row>
    <row r="34" spans="1:3" x14ac:dyDescent="0.35">
      <c r="A34" s="93"/>
    </row>
    <row r="36" spans="1:3" ht="18.5" x14ac:dyDescent="0.35">
      <c r="A36" s="91" t="s">
        <v>199</v>
      </c>
    </row>
    <row r="38" spans="1:3" x14ac:dyDescent="0.35">
      <c r="A38" s="93" t="s">
        <v>271</v>
      </c>
    </row>
    <row r="39" spans="1:3" x14ac:dyDescent="0.35">
      <c r="A39" s="93" t="s">
        <v>272</v>
      </c>
    </row>
    <row r="40" spans="1:3" x14ac:dyDescent="0.35">
      <c r="A40" s="93" t="s">
        <v>273</v>
      </c>
    </row>
    <row r="41" spans="1:3" x14ac:dyDescent="0.35">
      <c r="A41" s="93" t="s">
        <v>274</v>
      </c>
    </row>
    <row r="42" spans="1:3" x14ac:dyDescent="0.35">
      <c r="A42" s="93"/>
    </row>
  </sheetData>
  <mergeCells count="14">
    <mergeCell ref="A1:F1"/>
    <mergeCell ref="A2:F2"/>
    <mergeCell ref="A15:F15"/>
    <mergeCell ref="A16:F16"/>
    <mergeCell ref="A17:F17"/>
    <mergeCell ref="A19:F19"/>
    <mergeCell ref="A20:F20"/>
    <mergeCell ref="A21:F21"/>
    <mergeCell ref="B6:F6"/>
    <mergeCell ref="B7:F7"/>
    <mergeCell ref="B8:F8"/>
    <mergeCell ref="B9:F9"/>
    <mergeCell ref="B10:F10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Stammdaten</vt:lpstr>
      <vt:lpstr>Rohdaten</vt:lpstr>
      <vt:lpstr>ABC_Analyse</vt:lpstr>
      <vt:lpstr>Schwundanalyse</vt:lpstr>
      <vt:lpstr>Ursachenanalyse</vt:lpstr>
      <vt:lpstr>Prognose</vt:lpstr>
      <vt:lpstr>Dashboard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akshat garg</cp:lastModifiedBy>
  <dcterms:created xsi:type="dcterms:W3CDTF">2026-04-12T12:32:06Z</dcterms:created>
  <dcterms:modified xsi:type="dcterms:W3CDTF">2026-04-15T01:39:16Z</dcterms:modified>
</cp:coreProperties>
</file>